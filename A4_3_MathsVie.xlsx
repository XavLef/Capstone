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9c8639e63a457/projets_pro/ICA/Capstone/Templates_Codes_XL/AICA_CapstoneExam/"/>
    </mc:Choice>
  </mc:AlternateContent>
  <xr:revisionPtr revIDLastSave="524" documentId="8_{AA53E2C3-4DD8-46AE-8D00-09F0B9786615}" xr6:coauthVersionLast="47" xr6:coauthVersionMax="47" xr10:uidLastSave="{ADA4A8DD-DDB4-40FC-8A40-661B7E7914B0}"/>
  <bookViews>
    <workbookView xWindow="-28920" yWindow="-3045" windowWidth="29040" windowHeight="15720" activeTab="4" xr2:uid="{F0635EED-1914-473C-8B56-7AC2EAA64F70}"/>
  </bookViews>
  <sheets>
    <sheet name="Euler-Thiele" sheetId="1" r:id="rId1"/>
    <sheet name="Reserve_calculsmortalite" sheetId="3" r:id="rId2"/>
    <sheet name="Euler_kolmogorov-decr" sheetId="4" r:id="rId3"/>
    <sheet name="UniverselleB" sheetId="5" r:id="rId4"/>
    <sheet name="Universelle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" i="6"/>
  <c r="J4" i="6"/>
  <c r="J5" i="6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3" i="6"/>
  <c r="J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3" i="6"/>
  <c r="G2" i="6"/>
  <c r="H21" i="6"/>
  <c r="D21" i="6"/>
  <c r="H20" i="6"/>
  <c r="D20" i="6"/>
  <c r="H19" i="6"/>
  <c r="D19" i="6"/>
  <c r="H18" i="6"/>
  <c r="D18" i="6"/>
  <c r="H17" i="6"/>
  <c r="I17" i="6" s="1"/>
  <c r="D17" i="6"/>
  <c r="H16" i="6"/>
  <c r="D16" i="6"/>
  <c r="H15" i="6"/>
  <c r="D15" i="6"/>
  <c r="H14" i="6"/>
  <c r="I14" i="6" s="1"/>
  <c r="D14" i="6"/>
  <c r="H13" i="6"/>
  <c r="D13" i="6"/>
  <c r="I13" i="6" s="1"/>
  <c r="H12" i="6"/>
  <c r="I12" i="6" s="1"/>
  <c r="D12" i="6"/>
  <c r="H11" i="6"/>
  <c r="D11" i="6"/>
  <c r="I10" i="6"/>
  <c r="H10" i="6"/>
  <c r="D10" i="6"/>
  <c r="H9" i="6"/>
  <c r="I9" i="6"/>
  <c r="D9" i="6"/>
  <c r="H8" i="6"/>
  <c r="D8" i="6"/>
  <c r="H7" i="6"/>
  <c r="I7" i="6" s="1"/>
  <c r="D7" i="6"/>
  <c r="H6" i="6"/>
  <c r="D6" i="6"/>
  <c r="H5" i="6"/>
  <c r="I5" i="6" s="1"/>
  <c r="D5" i="6"/>
  <c r="H4" i="6"/>
  <c r="D4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H3" i="6"/>
  <c r="D3" i="6"/>
  <c r="A3" i="6"/>
  <c r="H2" i="6"/>
  <c r="D2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3" i="5"/>
  <c r="C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" i="5"/>
  <c r="E3" i="5"/>
  <c r="F3" i="5" s="1"/>
  <c r="E4" i="5"/>
  <c r="F4" i="5" s="1"/>
  <c r="E5" i="5"/>
  <c r="F5" i="5" s="1"/>
  <c r="E6" i="5"/>
  <c r="F6" i="5" s="1"/>
  <c r="E7" i="5"/>
  <c r="F7" i="5" s="1"/>
  <c r="E2" i="5"/>
  <c r="F2" i="5" s="1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G3" i="5"/>
  <c r="G4" i="5"/>
  <c r="G5" i="5"/>
  <c r="H5" i="5" s="1"/>
  <c r="G6" i="5"/>
  <c r="H6" i="5" s="1"/>
  <c r="G7" i="5"/>
  <c r="H7" i="5" s="1"/>
  <c r="G8" i="5"/>
  <c r="H8" i="5" s="1"/>
  <c r="G9" i="5"/>
  <c r="H9" i="5" s="1"/>
  <c r="G10" i="5"/>
  <c r="G11" i="5"/>
  <c r="G12" i="5"/>
  <c r="G13" i="5"/>
  <c r="G14" i="5"/>
  <c r="H14" i="5" s="1"/>
  <c r="G15" i="5"/>
  <c r="H15" i="5" s="1"/>
  <c r="G16" i="5"/>
  <c r="H16" i="5" s="1"/>
  <c r="G17" i="5"/>
  <c r="H17" i="5" s="1"/>
  <c r="G18" i="5"/>
  <c r="H18" i="5" s="1"/>
  <c r="G19" i="5"/>
  <c r="G20" i="5"/>
  <c r="G21" i="5"/>
  <c r="G2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I3" i="4"/>
  <c r="H3" i="4"/>
  <c r="G3" i="4"/>
  <c r="L7" i="4"/>
  <c r="L4" i="4"/>
  <c r="L3" i="4"/>
  <c r="L2" i="4"/>
  <c r="C2" i="4"/>
  <c r="D2" i="4" s="1"/>
  <c r="A2" i="4"/>
  <c r="I2" i="4" s="1"/>
  <c r="L1" i="4"/>
  <c r="I18" i="6" l="1"/>
  <c r="I20" i="6"/>
  <c r="I21" i="6"/>
  <c r="I8" i="6"/>
  <c r="I11" i="6"/>
  <c r="I15" i="6"/>
  <c r="I16" i="6"/>
  <c r="I19" i="6"/>
  <c r="I2" i="6"/>
  <c r="I6" i="6"/>
  <c r="I4" i="6"/>
  <c r="I3" i="6"/>
  <c r="H10" i="5"/>
  <c r="H19" i="5"/>
  <c r="H3" i="5"/>
  <c r="H11" i="5"/>
  <c r="H21" i="5"/>
  <c r="H13" i="5"/>
  <c r="H20" i="5"/>
  <c r="H12" i="5"/>
  <c r="H4" i="5"/>
  <c r="H2" i="5"/>
  <c r="I2" i="5" s="1"/>
  <c r="E2" i="4"/>
  <c r="F2" i="4" s="1"/>
  <c r="G2" i="4"/>
  <c r="H2" i="4"/>
  <c r="B3" i="4"/>
  <c r="M2" i="6" l="1"/>
  <c r="I3" i="5"/>
  <c r="K2" i="5"/>
  <c r="I4" i="5"/>
  <c r="K3" i="5"/>
  <c r="J3" i="4"/>
  <c r="B4" i="4"/>
  <c r="A3" i="4"/>
  <c r="E3" i="4"/>
  <c r="C3" i="4"/>
  <c r="J2" i="4"/>
  <c r="M3" i="6" l="1"/>
  <c r="I5" i="5"/>
  <c r="K4" i="5"/>
  <c r="D3" i="4"/>
  <c r="G4" i="4"/>
  <c r="F3" i="4"/>
  <c r="H4" i="4" s="1"/>
  <c r="I4" i="4"/>
  <c r="A4" i="4"/>
  <c r="B5" i="4"/>
  <c r="C4" i="4"/>
  <c r="D4" i="4" s="1"/>
  <c r="E4" i="4"/>
  <c r="F4" i="4" s="1"/>
  <c r="M4" i="6" l="1"/>
  <c r="I6" i="5"/>
  <c r="K5" i="5"/>
  <c r="A5" i="4"/>
  <c r="B6" i="4"/>
  <c r="E5" i="4"/>
  <c r="F5" i="4" s="1"/>
  <c r="C5" i="4"/>
  <c r="D5" i="4" s="1"/>
  <c r="J4" i="4"/>
  <c r="I5" i="4"/>
  <c r="H5" i="4"/>
  <c r="G5" i="4"/>
  <c r="M5" i="6" l="1"/>
  <c r="I7" i="5"/>
  <c r="K6" i="5"/>
  <c r="H6" i="4"/>
  <c r="J5" i="4"/>
  <c r="I6" i="4"/>
  <c r="G6" i="4"/>
  <c r="B7" i="4"/>
  <c r="A6" i="4"/>
  <c r="E6" i="4"/>
  <c r="F6" i="4" s="1"/>
  <c r="C6" i="4"/>
  <c r="D6" i="4" s="1"/>
  <c r="M6" i="6" l="1"/>
  <c r="I8" i="5"/>
  <c r="K7" i="5"/>
  <c r="J6" i="4"/>
  <c r="I7" i="4"/>
  <c r="H7" i="4"/>
  <c r="G7" i="4"/>
  <c r="B8" i="4"/>
  <c r="A7" i="4"/>
  <c r="C7" i="4"/>
  <c r="D7" i="4" s="1"/>
  <c r="E7" i="4"/>
  <c r="F7" i="4" s="1"/>
  <c r="M7" i="6" l="1"/>
  <c r="I9" i="5"/>
  <c r="K8" i="5"/>
  <c r="B9" i="4"/>
  <c r="A8" i="4"/>
  <c r="E8" i="4"/>
  <c r="F8" i="4" s="1"/>
  <c r="C8" i="4"/>
  <c r="D8" i="4" s="1"/>
  <c r="J7" i="4"/>
  <c r="I8" i="4"/>
  <c r="G8" i="4"/>
  <c r="H8" i="4"/>
  <c r="M8" i="6" l="1"/>
  <c r="I10" i="5"/>
  <c r="K9" i="5"/>
  <c r="J8" i="4"/>
  <c r="G9" i="4"/>
  <c r="I9" i="4"/>
  <c r="H9" i="4"/>
  <c r="A9" i="4"/>
  <c r="B10" i="4"/>
  <c r="E9" i="4"/>
  <c r="F9" i="4" s="1"/>
  <c r="C9" i="4"/>
  <c r="D9" i="4" s="1"/>
  <c r="M9" i="6" l="1"/>
  <c r="I11" i="5"/>
  <c r="K10" i="5"/>
  <c r="A10" i="4"/>
  <c r="B11" i="4"/>
  <c r="E10" i="4"/>
  <c r="F10" i="4" s="1"/>
  <c r="C10" i="4"/>
  <c r="D10" i="4" s="1"/>
  <c r="J9" i="4"/>
  <c r="G10" i="4"/>
  <c r="I10" i="4"/>
  <c r="H10" i="4"/>
  <c r="M10" i="6" l="1"/>
  <c r="I12" i="5"/>
  <c r="K11" i="5"/>
  <c r="J10" i="4"/>
  <c r="G11" i="4"/>
  <c r="I11" i="4"/>
  <c r="H11" i="4"/>
  <c r="B12" i="4"/>
  <c r="A11" i="4"/>
  <c r="E11" i="4"/>
  <c r="F11" i="4" s="1"/>
  <c r="C11" i="4"/>
  <c r="D11" i="4" s="1"/>
  <c r="M11" i="6" l="1"/>
  <c r="I13" i="5"/>
  <c r="K12" i="5"/>
  <c r="B13" i="4"/>
  <c r="A12" i="4"/>
  <c r="C12" i="4"/>
  <c r="D12" i="4" s="1"/>
  <c r="E12" i="4"/>
  <c r="F12" i="4" s="1"/>
  <c r="J11" i="4"/>
  <c r="I12" i="4"/>
  <c r="G12" i="4"/>
  <c r="H12" i="4"/>
  <c r="M12" i="6" l="1"/>
  <c r="I14" i="5"/>
  <c r="K13" i="5"/>
  <c r="J12" i="4"/>
  <c r="G13" i="4"/>
  <c r="I13" i="4"/>
  <c r="H13" i="4"/>
  <c r="A13" i="4"/>
  <c r="B14" i="4"/>
  <c r="E13" i="4"/>
  <c r="F13" i="4" s="1"/>
  <c r="C13" i="4"/>
  <c r="D13" i="4" s="1"/>
  <c r="M13" i="6" l="1"/>
  <c r="I15" i="5"/>
  <c r="K14" i="5"/>
  <c r="A14" i="4"/>
  <c r="B15" i="4"/>
  <c r="E14" i="4"/>
  <c r="F14" i="4" s="1"/>
  <c r="C14" i="4"/>
  <c r="D14" i="4" s="1"/>
  <c r="J13" i="4"/>
  <c r="I14" i="4"/>
  <c r="H14" i="4"/>
  <c r="G14" i="4"/>
  <c r="M14" i="6" l="1"/>
  <c r="I16" i="5"/>
  <c r="K15" i="5"/>
  <c r="B16" i="4"/>
  <c r="A15" i="4"/>
  <c r="C15" i="4"/>
  <c r="D15" i="4" s="1"/>
  <c r="E15" i="4"/>
  <c r="F15" i="4" s="1"/>
  <c r="J14" i="4"/>
  <c r="I15" i="4"/>
  <c r="G15" i="4"/>
  <c r="H15" i="4"/>
  <c r="M15" i="6" l="1"/>
  <c r="I17" i="5"/>
  <c r="K16" i="5"/>
  <c r="J15" i="4"/>
  <c r="H16" i="4"/>
  <c r="G16" i="4"/>
  <c r="I16" i="4"/>
  <c r="B17" i="4"/>
  <c r="A16" i="4"/>
  <c r="E16" i="4"/>
  <c r="F16" i="4" s="1"/>
  <c r="C16" i="4"/>
  <c r="D16" i="4" s="1"/>
  <c r="M16" i="6" l="1"/>
  <c r="I18" i="5"/>
  <c r="K17" i="5"/>
  <c r="A17" i="4"/>
  <c r="B18" i="4"/>
  <c r="E17" i="4"/>
  <c r="F17" i="4" s="1"/>
  <c r="C17" i="4"/>
  <c r="D17" i="4" s="1"/>
  <c r="J16" i="4"/>
  <c r="I17" i="4"/>
  <c r="G17" i="4"/>
  <c r="H17" i="4"/>
  <c r="M17" i="6" l="1"/>
  <c r="I19" i="5"/>
  <c r="K18" i="5"/>
  <c r="J17" i="4"/>
  <c r="G18" i="4"/>
  <c r="I18" i="4"/>
  <c r="H18" i="4"/>
  <c r="A18" i="4"/>
  <c r="B19" i="4"/>
  <c r="E18" i="4"/>
  <c r="F18" i="4" s="1"/>
  <c r="C18" i="4"/>
  <c r="D18" i="4" s="1"/>
  <c r="M18" i="6" l="1"/>
  <c r="I20" i="5"/>
  <c r="K19" i="5"/>
  <c r="B20" i="4"/>
  <c r="A19" i="4"/>
  <c r="C19" i="4"/>
  <c r="D19" i="4" s="1"/>
  <c r="E19" i="4"/>
  <c r="F19" i="4" s="1"/>
  <c r="J18" i="4"/>
  <c r="I19" i="4"/>
  <c r="H19" i="4"/>
  <c r="G19" i="4"/>
  <c r="M19" i="6" l="1"/>
  <c r="I21" i="5"/>
  <c r="K20" i="5"/>
  <c r="J19" i="4"/>
  <c r="I20" i="4"/>
  <c r="H20" i="4"/>
  <c r="G20" i="4"/>
  <c r="B21" i="4"/>
  <c r="A20" i="4"/>
  <c r="E20" i="4"/>
  <c r="F20" i="4" s="1"/>
  <c r="C20" i="4"/>
  <c r="D20" i="4" s="1"/>
  <c r="M21" i="6" l="1"/>
  <c r="M20" i="6"/>
  <c r="K21" i="5"/>
  <c r="A21" i="4"/>
  <c r="B22" i="4"/>
  <c r="C21" i="4"/>
  <c r="D21" i="4" s="1"/>
  <c r="E21" i="4"/>
  <c r="F21" i="4" s="1"/>
  <c r="J20" i="4"/>
  <c r="I21" i="4"/>
  <c r="G21" i="4"/>
  <c r="H21" i="4"/>
  <c r="J21" i="4" l="1"/>
  <c r="I22" i="4"/>
  <c r="G22" i="4"/>
  <c r="H22" i="4"/>
  <c r="B23" i="4"/>
  <c r="A22" i="4"/>
  <c r="E22" i="4"/>
  <c r="F22" i="4" s="1"/>
  <c r="C22" i="4"/>
  <c r="D22" i="4" s="1"/>
  <c r="B24" i="4" l="1"/>
  <c r="A23" i="4"/>
  <c r="C23" i="4"/>
  <c r="D23" i="4" s="1"/>
  <c r="E23" i="4"/>
  <c r="F23" i="4" s="1"/>
  <c r="J22" i="4"/>
  <c r="H23" i="4"/>
  <c r="G23" i="4"/>
  <c r="I23" i="4"/>
  <c r="J23" i="4" l="1"/>
  <c r="G24" i="4"/>
  <c r="H24" i="4"/>
  <c r="I24" i="4"/>
  <c r="B25" i="4"/>
  <c r="A24" i="4"/>
  <c r="C24" i="4"/>
  <c r="D24" i="4" s="1"/>
  <c r="E24" i="4"/>
  <c r="F24" i="4" s="1"/>
  <c r="B26" i="4" l="1"/>
  <c r="A25" i="4"/>
  <c r="E25" i="4"/>
  <c r="F25" i="4" s="1"/>
  <c r="C25" i="4"/>
  <c r="D25" i="4" s="1"/>
  <c r="J24" i="4"/>
  <c r="I25" i="4"/>
  <c r="H25" i="4"/>
  <c r="G25" i="4"/>
  <c r="J25" i="4" l="1"/>
  <c r="G26" i="4"/>
  <c r="H26" i="4"/>
  <c r="I26" i="4"/>
  <c r="B27" i="4"/>
  <c r="A26" i="4"/>
  <c r="E26" i="4"/>
  <c r="F26" i="4" s="1"/>
  <c r="C26" i="4"/>
  <c r="D26" i="4" s="1"/>
  <c r="J26" i="4" l="1"/>
  <c r="H27" i="4"/>
  <c r="I27" i="4"/>
  <c r="G27" i="4"/>
  <c r="B28" i="4"/>
  <c r="A27" i="4"/>
  <c r="E27" i="4"/>
  <c r="F27" i="4" s="1"/>
  <c r="C27" i="4"/>
  <c r="D27" i="4" s="1"/>
  <c r="A28" i="4" l="1"/>
  <c r="B29" i="4"/>
  <c r="E28" i="4"/>
  <c r="F28" i="4" s="1"/>
  <c r="C28" i="4"/>
  <c r="D28" i="4" s="1"/>
  <c r="J27" i="4"/>
  <c r="G28" i="4"/>
  <c r="I28" i="4"/>
  <c r="H28" i="4"/>
  <c r="J28" i="4" l="1"/>
  <c r="G29" i="4"/>
  <c r="I29" i="4"/>
  <c r="H29" i="4"/>
  <c r="B30" i="4"/>
  <c r="A29" i="4"/>
  <c r="E29" i="4"/>
  <c r="F29" i="4" s="1"/>
  <c r="C29" i="4"/>
  <c r="D29" i="4" s="1"/>
  <c r="B31" i="4" l="1"/>
  <c r="A30" i="4"/>
  <c r="E30" i="4"/>
  <c r="F30" i="4" s="1"/>
  <c r="C30" i="4"/>
  <c r="D30" i="4" s="1"/>
  <c r="J29" i="4"/>
  <c r="G30" i="4"/>
  <c r="I30" i="4"/>
  <c r="H30" i="4"/>
  <c r="J30" i="4" l="1"/>
  <c r="I31" i="4"/>
  <c r="H31" i="4"/>
  <c r="G31" i="4"/>
  <c r="B32" i="4"/>
  <c r="A31" i="4"/>
  <c r="E31" i="4"/>
  <c r="F31" i="4" s="1"/>
  <c r="C31" i="4"/>
  <c r="D31" i="4" s="1"/>
  <c r="J31" i="4" l="1"/>
  <c r="I32" i="4"/>
  <c r="H32" i="4"/>
  <c r="G32" i="4"/>
  <c r="A32" i="4"/>
  <c r="B33" i="4"/>
  <c r="E32" i="4"/>
  <c r="F32" i="4" s="1"/>
  <c r="C32" i="4"/>
  <c r="D32" i="4" s="1"/>
  <c r="J32" i="4" l="1"/>
  <c r="I33" i="4"/>
  <c r="G33" i="4"/>
  <c r="H33" i="4"/>
  <c r="B34" i="4"/>
  <c r="A33" i="4"/>
  <c r="E33" i="4"/>
  <c r="F33" i="4" s="1"/>
  <c r="C33" i="4"/>
  <c r="D33" i="4" s="1"/>
  <c r="B35" i="4" l="1"/>
  <c r="A34" i="4"/>
  <c r="E34" i="4"/>
  <c r="F34" i="4" s="1"/>
  <c r="C34" i="4"/>
  <c r="D34" i="4" s="1"/>
  <c r="J33" i="4"/>
  <c r="I34" i="4"/>
  <c r="H34" i="4"/>
  <c r="G34" i="4"/>
  <c r="J34" i="4" l="1"/>
  <c r="G35" i="4"/>
  <c r="I35" i="4"/>
  <c r="H35" i="4"/>
  <c r="B36" i="4"/>
  <c r="A35" i="4"/>
  <c r="C35" i="4"/>
  <c r="D35" i="4" s="1"/>
  <c r="E35" i="4"/>
  <c r="F35" i="4" s="1"/>
  <c r="A36" i="4" l="1"/>
  <c r="B37" i="4"/>
  <c r="E36" i="4"/>
  <c r="F36" i="4" s="1"/>
  <c r="C36" i="4"/>
  <c r="D36" i="4" s="1"/>
  <c r="J35" i="4"/>
  <c r="H36" i="4"/>
  <c r="G36" i="4"/>
  <c r="I36" i="4"/>
  <c r="J36" i="4" l="1"/>
  <c r="I37" i="4"/>
  <c r="H37" i="4"/>
  <c r="G37" i="4"/>
  <c r="B38" i="4"/>
  <c r="A37" i="4"/>
  <c r="E37" i="4"/>
  <c r="F37" i="4" s="1"/>
  <c r="C37" i="4"/>
  <c r="D37" i="4" s="1"/>
  <c r="B39" i="4" l="1"/>
  <c r="A38" i="4"/>
  <c r="E38" i="4"/>
  <c r="F38" i="4" s="1"/>
  <c r="C38" i="4"/>
  <c r="D38" i="4" s="1"/>
  <c r="J37" i="4"/>
  <c r="H38" i="4"/>
  <c r="G38" i="4"/>
  <c r="I38" i="4"/>
  <c r="J38" i="4" l="1"/>
  <c r="I39" i="4"/>
  <c r="H39" i="4"/>
  <c r="G39" i="4"/>
  <c r="B40" i="4"/>
  <c r="A39" i="4"/>
  <c r="E39" i="4"/>
  <c r="F39" i="4" s="1"/>
  <c r="C39" i="4"/>
  <c r="D39" i="4" s="1"/>
  <c r="J39" i="4" l="1"/>
  <c r="H40" i="4"/>
  <c r="G40" i="4"/>
  <c r="I40" i="4"/>
  <c r="A40" i="4"/>
  <c r="B41" i="4"/>
  <c r="E40" i="4"/>
  <c r="F40" i="4" s="1"/>
  <c r="C40" i="4"/>
  <c r="D40" i="4" s="1"/>
  <c r="B42" i="4" l="1"/>
  <c r="A41" i="4"/>
  <c r="E41" i="4"/>
  <c r="F41" i="4" s="1"/>
  <c r="C41" i="4"/>
  <c r="D41" i="4" s="1"/>
  <c r="J40" i="4"/>
  <c r="I41" i="4"/>
  <c r="H41" i="4"/>
  <c r="G41" i="4"/>
  <c r="J41" i="4" l="1"/>
  <c r="I42" i="4"/>
  <c r="G42" i="4"/>
  <c r="H42" i="4"/>
  <c r="B43" i="4"/>
  <c r="A42" i="4"/>
  <c r="E42" i="4"/>
  <c r="F42" i="4" s="1"/>
  <c r="C42" i="4"/>
  <c r="D42" i="4" s="1"/>
  <c r="B44" i="4" l="1"/>
  <c r="A43" i="4"/>
  <c r="C43" i="4"/>
  <c r="D43" i="4" s="1"/>
  <c r="E43" i="4"/>
  <c r="F43" i="4" s="1"/>
  <c r="J42" i="4"/>
  <c r="I43" i="4"/>
  <c r="H43" i="4"/>
  <c r="G43" i="4"/>
  <c r="J43" i="4" l="1"/>
  <c r="G44" i="4"/>
  <c r="I44" i="4"/>
  <c r="H44" i="4"/>
  <c r="A44" i="4"/>
  <c r="B45" i="4"/>
  <c r="E44" i="4"/>
  <c r="F44" i="4" s="1"/>
  <c r="C44" i="4"/>
  <c r="D44" i="4" s="1"/>
  <c r="B46" i="4" l="1"/>
  <c r="A45" i="4"/>
  <c r="E45" i="4"/>
  <c r="F45" i="4" s="1"/>
  <c r="C45" i="4"/>
  <c r="D45" i="4" s="1"/>
  <c r="J44" i="4"/>
  <c r="G45" i="4"/>
  <c r="H45" i="4"/>
  <c r="I45" i="4"/>
  <c r="J45" i="4" l="1"/>
  <c r="I46" i="4"/>
  <c r="G46" i="4"/>
  <c r="H46" i="4"/>
  <c r="B47" i="4"/>
  <c r="A46" i="4"/>
  <c r="E46" i="4"/>
  <c r="F46" i="4" s="1"/>
  <c r="C46" i="4"/>
  <c r="D46" i="4" s="1"/>
  <c r="B48" i="4" l="1"/>
  <c r="A47" i="4"/>
  <c r="E47" i="4"/>
  <c r="F47" i="4" s="1"/>
  <c r="C47" i="4"/>
  <c r="D47" i="4" s="1"/>
  <c r="J46" i="4"/>
  <c r="I47" i="4"/>
  <c r="H47" i="4"/>
  <c r="G47" i="4"/>
  <c r="J47" i="4" l="1"/>
  <c r="I48" i="4"/>
  <c r="H48" i="4"/>
  <c r="G48" i="4"/>
  <c r="A48" i="4"/>
  <c r="B49" i="4"/>
  <c r="E48" i="4"/>
  <c r="F48" i="4" s="1"/>
  <c r="C48" i="4"/>
  <c r="D48" i="4" s="1"/>
  <c r="J48" i="4" l="1"/>
  <c r="I49" i="4"/>
  <c r="G49" i="4"/>
  <c r="H49" i="4"/>
  <c r="B50" i="4"/>
  <c r="A49" i="4"/>
  <c r="E49" i="4"/>
  <c r="F49" i="4" s="1"/>
  <c r="C49" i="4"/>
  <c r="D49" i="4" s="1"/>
  <c r="B51" i="4" l="1"/>
  <c r="A50" i="4"/>
  <c r="E50" i="4"/>
  <c r="F50" i="4" s="1"/>
  <c r="C50" i="4"/>
  <c r="D50" i="4" s="1"/>
  <c r="J49" i="4"/>
  <c r="G50" i="4"/>
  <c r="I50" i="4"/>
  <c r="H50" i="4"/>
  <c r="J50" i="4" l="1"/>
  <c r="G51" i="4"/>
  <c r="H51" i="4"/>
  <c r="I51" i="4"/>
  <c r="B52" i="4"/>
  <c r="A51" i="4"/>
  <c r="E51" i="4"/>
  <c r="F51" i="4" s="1"/>
  <c r="C51" i="4"/>
  <c r="D51" i="4" s="1"/>
  <c r="A52" i="4" l="1"/>
  <c r="B53" i="4"/>
  <c r="C52" i="4"/>
  <c r="D52" i="4" s="1"/>
  <c r="E52" i="4"/>
  <c r="F52" i="4" s="1"/>
  <c r="J51" i="4"/>
  <c r="H52" i="4"/>
  <c r="G52" i="4"/>
  <c r="I52" i="4"/>
  <c r="J52" i="4" l="1"/>
  <c r="H53" i="4"/>
  <c r="G53" i="4"/>
  <c r="I53" i="4"/>
  <c r="B54" i="4"/>
  <c r="A53" i="4"/>
  <c r="E53" i="4"/>
  <c r="F53" i="4" s="1"/>
  <c r="C53" i="4"/>
  <c r="D53" i="4" s="1"/>
  <c r="B55" i="4" l="1"/>
  <c r="A54" i="4"/>
  <c r="E54" i="4"/>
  <c r="F54" i="4" s="1"/>
  <c r="C54" i="4"/>
  <c r="D54" i="4" s="1"/>
  <c r="J53" i="4"/>
  <c r="H54" i="4"/>
  <c r="G54" i="4"/>
  <c r="I54" i="4"/>
  <c r="J54" i="4" l="1"/>
  <c r="H55" i="4"/>
  <c r="I55" i="4"/>
  <c r="G55" i="4"/>
  <c r="B56" i="4"/>
  <c r="A55" i="4"/>
  <c r="C55" i="4"/>
  <c r="D55" i="4" s="1"/>
  <c r="E55" i="4"/>
  <c r="F55" i="4" s="1"/>
  <c r="J55" i="4" l="1"/>
  <c r="G56" i="4"/>
  <c r="H56" i="4"/>
  <c r="I56" i="4"/>
  <c r="A56" i="4"/>
  <c r="B57" i="4"/>
  <c r="C56" i="4"/>
  <c r="D56" i="4" s="1"/>
  <c r="E56" i="4"/>
  <c r="F56" i="4" s="1"/>
  <c r="B58" i="4" l="1"/>
  <c r="A57" i="4"/>
  <c r="E57" i="4"/>
  <c r="F57" i="4" s="1"/>
  <c r="C57" i="4"/>
  <c r="D57" i="4" s="1"/>
  <c r="J56" i="4"/>
  <c r="I57" i="4"/>
  <c r="H57" i="4"/>
  <c r="G57" i="4"/>
  <c r="J57" i="4" l="1"/>
  <c r="G58" i="4"/>
  <c r="H58" i="4"/>
  <c r="I58" i="4"/>
  <c r="B59" i="4"/>
  <c r="A58" i="4"/>
  <c r="E58" i="4"/>
  <c r="F58" i="4" s="1"/>
  <c r="C58" i="4"/>
  <c r="D58" i="4" s="1"/>
  <c r="B60" i="4" l="1"/>
  <c r="A59" i="4"/>
  <c r="E59" i="4"/>
  <c r="F59" i="4" s="1"/>
  <c r="C59" i="4"/>
  <c r="D59" i="4" s="1"/>
  <c r="J58" i="4"/>
  <c r="H59" i="4"/>
  <c r="I59" i="4"/>
  <c r="G59" i="4"/>
  <c r="J59" i="4" l="1"/>
  <c r="G60" i="4"/>
  <c r="I60" i="4"/>
  <c r="H60" i="4"/>
  <c r="A60" i="4"/>
  <c r="B61" i="4"/>
  <c r="E60" i="4"/>
  <c r="F60" i="4" s="1"/>
  <c r="C60" i="4"/>
  <c r="D60" i="4" s="1"/>
  <c r="B62" i="4" l="1"/>
  <c r="A61" i="4"/>
  <c r="E61" i="4"/>
  <c r="F61" i="4" s="1"/>
  <c r="C61" i="4"/>
  <c r="D61" i="4" s="1"/>
  <c r="J60" i="4"/>
  <c r="G61" i="4"/>
  <c r="I61" i="4"/>
  <c r="H61" i="4"/>
  <c r="J61" i="4" l="1"/>
  <c r="G62" i="4"/>
  <c r="I62" i="4"/>
  <c r="H62" i="4"/>
  <c r="B63" i="4"/>
  <c r="A62" i="4"/>
  <c r="E62" i="4"/>
  <c r="F62" i="4" s="1"/>
  <c r="C62" i="4"/>
  <c r="D62" i="4" s="1"/>
  <c r="B64" i="4" l="1"/>
  <c r="A63" i="4"/>
  <c r="E63" i="4"/>
  <c r="F63" i="4" s="1"/>
  <c r="C63" i="4"/>
  <c r="D63" i="4" s="1"/>
  <c r="J62" i="4"/>
  <c r="I63" i="4"/>
  <c r="G63" i="4"/>
  <c r="H63" i="4"/>
  <c r="J63" i="4" l="1"/>
  <c r="I64" i="4"/>
  <c r="H64" i="4"/>
  <c r="G64" i="4"/>
  <c r="A64" i="4"/>
  <c r="B65" i="4"/>
  <c r="C64" i="4"/>
  <c r="D64" i="4" s="1"/>
  <c r="E64" i="4"/>
  <c r="F64" i="4" s="1"/>
  <c r="B66" i="4" l="1"/>
  <c r="A65" i="4"/>
  <c r="E65" i="4"/>
  <c r="F65" i="4" s="1"/>
  <c r="C65" i="4"/>
  <c r="D65" i="4" s="1"/>
  <c r="J64" i="4"/>
  <c r="I65" i="4"/>
  <c r="G65" i="4"/>
  <c r="H65" i="4"/>
  <c r="J65" i="4" l="1"/>
  <c r="G66" i="4"/>
  <c r="I66" i="4"/>
  <c r="H66" i="4"/>
  <c r="B67" i="4"/>
  <c r="A66" i="4"/>
  <c r="E66" i="4"/>
  <c r="F66" i="4" s="1"/>
  <c r="C66" i="4"/>
  <c r="D66" i="4" s="1"/>
  <c r="B68" i="4" l="1"/>
  <c r="A67" i="4"/>
  <c r="E67" i="4"/>
  <c r="F67" i="4" s="1"/>
  <c r="C67" i="4"/>
  <c r="D67" i="4" s="1"/>
  <c r="J66" i="4"/>
  <c r="G67" i="4"/>
  <c r="I67" i="4"/>
  <c r="H67" i="4"/>
  <c r="J67" i="4" l="1"/>
  <c r="H68" i="4"/>
  <c r="G68" i="4"/>
  <c r="I68" i="4"/>
  <c r="A68" i="4"/>
  <c r="B69" i="4"/>
  <c r="E68" i="4"/>
  <c r="F68" i="4" s="1"/>
  <c r="C68" i="4"/>
  <c r="D68" i="4" s="1"/>
  <c r="B70" i="4" l="1"/>
  <c r="A69" i="4"/>
  <c r="E69" i="4"/>
  <c r="F69" i="4" s="1"/>
  <c r="C69" i="4"/>
  <c r="D69" i="4" s="1"/>
  <c r="J68" i="4"/>
  <c r="I69" i="4"/>
  <c r="H69" i="4"/>
  <c r="G69" i="4"/>
  <c r="J69" i="4" l="1"/>
  <c r="G70" i="4"/>
  <c r="H70" i="4"/>
  <c r="I70" i="4"/>
  <c r="B71" i="4"/>
  <c r="A70" i="4"/>
  <c r="E70" i="4"/>
  <c r="F70" i="4" s="1"/>
  <c r="C70" i="4"/>
  <c r="D70" i="4" s="1"/>
  <c r="B72" i="4" l="1"/>
  <c r="A71" i="4"/>
  <c r="E71" i="4"/>
  <c r="F71" i="4" s="1"/>
  <c r="C71" i="4"/>
  <c r="D71" i="4" s="1"/>
  <c r="J70" i="4"/>
  <c r="I71" i="4"/>
  <c r="H71" i="4"/>
  <c r="G71" i="4"/>
  <c r="J71" i="4" l="1"/>
  <c r="H72" i="4"/>
  <c r="G72" i="4"/>
  <c r="I72" i="4"/>
  <c r="A72" i="4"/>
  <c r="B73" i="4"/>
  <c r="E72" i="4"/>
  <c r="F72" i="4" s="1"/>
  <c r="C72" i="4"/>
  <c r="D72" i="4" s="1"/>
  <c r="B74" i="4" l="1"/>
  <c r="A73" i="4"/>
  <c r="E73" i="4"/>
  <c r="F73" i="4" s="1"/>
  <c r="C73" i="4"/>
  <c r="D73" i="4" s="1"/>
  <c r="J72" i="4"/>
  <c r="H73" i="4"/>
  <c r="G73" i="4"/>
  <c r="I73" i="4"/>
  <c r="J73" i="4" l="1"/>
  <c r="I74" i="4"/>
  <c r="H74" i="4"/>
  <c r="G74" i="4"/>
  <c r="B75" i="4"/>
  <c r="A74" i="4"/>
  <c r="E74" i="4"/>
  <c r="F74" i="4" s="1"/>
  <c r="C74" i="4"/>
  <c r="D74" i="4" s="1"/>
  <c r="J74" i="4" l="1"/>
  <c r="I75" i="4"/>
  <c r="H75" i="4"/>
  <c r="G75" i="4"/>
  <c r="B76" i="4"/>
  <c r="A75" i="4"/>
  <c r="C75" i="4"/>
  <c r="D75" i="4" s="1"/>
  <c r="E75" i="4"/>
  <c r="F75" i="4" s="1"/>
  <c r="A76" i="4" l="1"/>
  <c r="B77" i="4"/>
  <c r="E76" i="4"/>
  <c r="F76" i="4" s="1"/>
  <c r="C76" i="4"/>
  <c r="D76" i="4" s="1"/>
  <c r="J75" i="4"/>
  <c r="G76" i="4"/>
  <c r="I76" i="4"/>
  <c r="H76" i="4"/>
  <c r="J76" i="4" l="1"/>
  <c r="I77" i="4"/>
  <c r="G77" i="4"/>
  <c r="H77" i="4"/>
  <c r="B78" i="4"/>
  <c r="A77" i="4"/>
  <c r="E77" i="4"/>
  <c r="F77" i="4" s="1"/>
  <c r="C77" i="4"/>
  <c r="D77" i="4" s="1"/>
  <c r="B79" i="4" l="1"/>
  <c r="A78" i="4"/>
  <c r="E78" i="4"/>
  <c r="F78" i="4" s="1"/>
  <c r="C78" i="4"/>
  <c r="D78" i="4" s="1"/>
  <c r="J77" i="4"/>
  <c r="G78" i="4"/>
  <c r="I78" i="4"/>
  <c r="H78" i="4"/>
  <c r="J78" i="4" l="1"/>
  <c r="I79" i="4"/>
  <c r="H79" i="4"/>
  <c r="G79" i="4"/>
  <c r="B80" i="4"/>
  <c r="A79" i="4"/>
  <c r="E79" i="4"/>
  <c r="F79" i="4" s="1"/>
  <c r="C79" i="4"/>
  <c r="D79" i="4" s="1"/>
  <c r="J79" i="4" l="1"/>
  <c r="I80" i="4"/>
  <c r="H80" i="4"/>
  <c r="G80" i="4"/>
  <c r="A80" i="4"/>
  <c r="B81" i="4"/>
  <c r="C80" i="4"/>
  <c r="D80" i="4" s="1"/>
  <c r="E80" i="4"/>
  <c r="F80" i="4" s="1"/>
  <c r="B82" i="4" l="1"/>
  <c r="A81" i="4"/>
  <c r="E81" i="4"/>
  <c r="F81" i="4" s="1"/>
  <c r="C81" i="4"/>
  <c r="D81" i="4" s="1"/>
  <c r="J80" i="4"/>
  <c r="I81" i="4"/>
  <c r="G81" i="4"/>
  <c r="H81" i="4"/>
  <c r="J81" i="4" l="1"/>
  <c r="I82" i="4"/>
  <c r="G82" i="4"/>
  <c r="H82" i="4"/>
  <c r="B83" i="4"/>
  <c r="A82" i="4"/>
  <c r="E82" i="4"/>
  <c r="F82" i="4" s="1"/>
  <c r="C82" i="4"/>
  <c r="D82" i="4" s="1"/>
  <c r="B84" i="4" l="1"/>
  <c r="A83" i="4"/>
  <c r="E83" i="4"/>
  <c r="F83" i="4" s="1"/>
  <c r="C83" i="4"/>
  <c r="D83" i="4" s="1"/>
  <c r="J82" i="4"/>
  <c r="G83" i="4"/>
  <c r="H83" i="4"/>
  <c r="I83" i="4"/>
  <c r="J83" i="4" l="1"/>
  <c r="H84" i="4"/>
  <c r="G84" i="4"/>
  <c r="I84" i="4"/>
  <c r="A84" i="4"/>
  <c r="B85" i="4"/>
  <c r="C84" i="4"/>
  <c r="D84" i="4" s="1"/>
  <c r="E84" i="4"/>
  <c r="F84" i="4" s="1"/>
  <c r="B86" i="4" l="1"/>
  <c r="A85" i="4"/>
  <c r="E85" i="4"/>
  <c r="F85" i="4" s="1"/>
  <c r="C85" i="4"/>
  <c r="D85" i="4" s="1"/>
  <c r="J84" i="4"/>
  <c r="H85" i="4"/>
  <c r="G85" i="4"/>
  <c r="I85" i="4"/>
  <c r="J85" i="4" l="1"/>
  <c r="G86" i="4"/>
  <c r="H86" i="4"/>
  <c r="I86" i="4"/>
  <c r="B87" i="4"/>
  <c r="A86" i="4"/>
  <c r="E86" i="4"/>
  <c r="F86" i="4" s="1"/>
  <c r="C86" i="4"/>
  <c r="D86" i="4" s="1"/>
  <c r="B88" i="4" l="1"/>
  <c r="A87" i="4"/>
  <c r="E87" i="4"/>
  <c r="F87" i="4" s="1"/>
  <c r="C87" i="4"/>
  <c r="D87" i="4" s="1"/>
  <c r="J86" i="4"/>
  <c r="H87" i="4"/>
  <c r="I87" i="4"/>
  <c r="G87" i="4"/>
  <c r="J87" i="4" l="1"/>
  <c r="G88" i="4"/>
  <c r="H88" i="4"/>
  <c r="I88" i="4"/>
  <c r="A88" i="4"/>
  <c r="B89" i="4"/>
  <c r="C88" i="4"/>
  <c r="D88" i="4" s="1"/>
  <c r="E88" i="4"/>
  <c r="F88" i="4" s="1"/>
  <c r="B90" i="4" l="1"/>
  <c r="A89" i="4"/>
  <c r="E89" i="4"/>
  <c r="F89" i="4" s="1"/>
  <c r="C89" i="4"/>
  <c r="D89" i="4" s="1"/>
  <c r="J88" i="4"/>
  <c r="I89" i="4"/>
  <c r="H89" i="4"/>
  <c r="G89" i="4"/>
  <c r="J89" i="4" l="1"/>
  <c r="G90" i="4"/>
  <c r="H90" i="4"/>
  <c r="I90" i="4"/>
  <c r="B91" i="4"/>
  <c r="A90" i="4"/>
  <c r="E90" i="4"/>
  <c r="F90" i="4" s="1"/>
  <c r="C90" i="4"/>
  <c r="D90" i="4" s="1"/>
  <c r="B92" i="4" l="1"/>
  <c r="A91" i="4"/>
  <c r="E91" i="4"/>
  <c r="F91" i="4" s="1"/>
  <c r="C91" i="4"/>
  <c r="D91" i="4" s="1"/>
  <c r="J90" i="4"/>
  <c r="H91" i="4"/>
  <c r="I91" i="4"/>
  <c r="G91" i="4"/>
  <c r="J91" i="4" l="1"/>
  <c r="G92" i="4"/>
  <c r="I92" i="4"/>
  <c r="H92" i="4"/>
  <c r="A92" i="4"/>
  <c r="B93" i="4"/>
  <c r="E92" i="4"/>
  <c r="F92" i="4" s="1"/>
  <c r="C92" i="4"/>
  <c r="D92" i="4" s="1"/>
  <c r="B94" i="4" l="1"/>
  <c r="A93" i="4"/>
  <c r="E93" i="4"/>
  <c r="F93" i="4" s="1"/>
  <c r="C93" i="4"/>
  <c r="D93" i="4" s="1"/>
  <c r="J92" i="4"/>
  <c r="G93" i="4"/>
  <c r="I93" i="4"/>
  <c r="H93" i="4"/>
  <c r="J93" i="4" l="1"/>
  <c r="G94" i="4"/>
  <c r="I94" i="4"/>
  <c r="H94" i="4"/>
  <c r="B95" i="4"/>
  <c r="A94" i="4"/>
  <c r="E94" i="4"/>
  <c r="F94" i="4" s="1"/>
  <c r="C94" i="4"/>
  <c r="D94" i="4" s="1"/>
  <c r="B96" i="4" l="1"/>
  <c r="A95" i="4"/>
  <c r="E95" i="4"/>
  <c r="F95" i="4" s="1"/>
  <c r="C95" i="4"/>
  <c r="D95" i="4" s="1"/>
  <c r="J94" i="4"/>
  <c r="I95" i="4"/>
  <c r="G95" i="4"/>
  <c r="H95" i="4"/>
  <c r="J95" i="4" l="1"/>
  <c r="I96" i="4"/>
  <c r="H96" i="4"/>
  <c r="G96" i="4"/>
  <c r="A96" i="4"/>
  <c r="B97" i="4"/>
  <c r="E96" i="4"/>
  <c r="F96" i="4" s="1"/>
  <c r="C96" i="4"/>
  <c r="D96" i="4" s="1"/>
  <c r="B98" i="4" l="1"/>
  <c r="A97" i="4"/>
  <c r="E97" i="4"/>
  <c r="F97" i="4" s="1"/>
  <c r="C97" i="4"/>
  <c r="D97" i="4" s="1"/>
  <c r="J96" i="4"/>
  <c r="I97" i="4"/>
  <c r="G97" i="4"/>
  <c r="H97" i="4"/>
  <c r="J97" i="4" l="1"/>
  <c r="I98" i="4"/>
  <c r="H98" i="4"/>
  <c r="G98" i="4"/>
  <c r="B99" i="4"/>
  <c r="A98" i="4"/>
  <c r="E98" i="4"/>
  <c r="F98" i="4" s="1"/>
  <c r="C98" i="4"/>
  <c r="D98" i="4" s="1"/>
  <c r="B100" i="4" l="1"/>
  <c r="A99" i="4"/>
  <c r="E99" i="4"/>
  <c r="F99" i="4" s="1"/>
  <c r="C99" i="4"/>
  <c r="D99" i="4" s="1"/>
  <c r="J98" i="4"/>
  <c r="G99" i="4"/>
  <c r="I99" i="4"/>
  <c r="H99" i="4"/>
  <c r="J99" i="4" l="1"/>
  <c r="H100" i="4"/>
  <c r="G100" i="4"/>
  <c r="I100" i="4"/>
  <c r="A100" i="4"/>
  <c r="B101" i="4"/>
  <c r="E100" i="4"/>
  <c r="F100" i="4" s="1"/>
  <c r="C100" i="4"/>
  <c r="D100" i="4" s="1"/>
  <c r="B102" i="4" l="1"/>
  <c r="A101" i="4"/>
  <c r="E101" i="4"/>
  <c r="F101" i="4" s="1"/>
  <c r="C101" i="4"/>
  <c r="D101" i="4" s="1"/>
  <c r="J100" i="4"/>
  <c r="I101" i="4"/>
  <c r="H101" i="4"/>
  <c r="G101" i="4"/>
  <c r="J101" i="4" l="1"/>
  <c r="H102" i="4"/>
  <c r="G102" i="4"/>
  <c r="I102" i="4"/>
  <c r="B103" i="4"/>
  <c r="A102" i="4"/>
  <c r="E102" i="4"/>
  <c r="F102" i="4" s="1"/>
  <c r="C102" i="4"/>
  <c r="D102" i="4" s="1"/>
  <c r="J102" i="4" l="1"/>
  <c r="I103" i="4"/>
  <c r="H103" i="4"/>
  <c r="G103" i="4"/>
  <c r="B104" i="4"/>
  <c r="A103" i="4"/>
  <c r="E103" i="4"/>
  <c r="F103" i="4" s="1"/>
  <c r="C103" i="4"/>
  <c r="D103" i="4" s="1"/>
  <c r="A104" i="4" l="1"/>
  <c r="B105" i="4"/>
  <c r="E104" i="4"/>
  <c r="F104" i="4" s="1"/>
  <c r="C104" i="4"/>
  <c r="D104" i="4" s="1"/>
  <c r="J103" i="4"/>
  <c r="H104" i="4"/>
  <c r="G104" i="4"/>
  <c r="I104" i="4"/>
  <c r="B106" i="4" l="1"/>
  <c r="A105" i="4"/>
  <c r="E105" i="4"/>
  <c r="F105" i="4" s="1"/>
  <c r="C105" i="4"/>
  <c r="D105" i="4" s="1"/>
  <c r="J104" i="4"/>
  <c r="I105" i="4"/>
  <c r="H105" i="4"/>
  <c r="G105" i="4"/>
  <c r="J105" i="4" l="1"/>
  <c r="I106" i="4"/>
  <c r="H106" i="4"/>
  <c r="G106" i="4"/>
  <c r="B107" i="4"/>
  <c r="A106" i="4"/>
  <c r="E106" i="4"/>
  <c r="F106" i="4" s="1"/>
  <c r="C106" i="4"/>
  <c r="D106" i="4" s="1"/>
  <c r="B108" i="4" l="1"/>
  <c r="A107" i="4"/>
  <c r="C107" i="4"/>
  <c r="D107" i="4" s="1"/>
  <c r="E107" i="4"/>
  <c r="F107" i="4" s="1"/>
  <c r="J106" i="4"/>
  <c r="I107" i="4"/>
  <c r="H107" i="4"/>
  <c r="G107" i="4"/>
  <c r="J107" i="4" l="1"/>
  <c r="G108" i="4"/>
  <c r="I108" i="4"/>
  <c r="H108" i="4"/>
  <c r="A108" i="4"/>
  <c r="B109" i="4"/>
  <c r="E108" i="4"/>
  <c r="F108" i="4" s="1"/>
  <c r="C108" i="4"/>
  <c r="D108" i="4" s="1"/>
  <c r="B110" i="4" l="1"/>
  <c r="A109" i="4"/>
  <c r="E109" i="4"/>
  <c r="F109" i="4" s="1"/>
  <c r="C109" i="4"/>
  <c r="D109" i="4" s="1"/>
  <c r="J108" i="4"/>
  <c r="I109" i="4"/>
  <c r="G109" i="4"/>
  <c r="H109" i="4"/>
  <c r="J109" i="4" l="1"/>
  <c r="I110" i="4"/>
  <c r="G110" i="4"/>
  <c r="H110" i="4"/>
  <c r="B111" i="4"/>
  <c r="A110" i="4"/>
  <c r="E110" i="4"/>
  <c r="F110" i="4" s="1"/>
  <c r="C110" i="4"/>
  <c r="D110" i="4" s="1"/>
  <c r="B112" i="4" l="1"/>
  <c r="A111" i="4"/>
  <c r="E111" i="4"/>
  <c r="F111" i="4" s="1"/>
  <c r="C111" i="4"/>
  <c r="D111" i="4" s="1"/>
  <c r="J110" i="4"/>
  <c r="I111" i="4"/>
  <c r="H111" i="4"/>
  <c r="G111" i="4"/>
  <c r="J111" i="4" l="1"/>
  <c r="I112" i="4"/>
  <c r="H112" i="4"/>
  <c r="G112" i="4"/>
  <c r="A112" i="4"/>
  <c r="B113" i="4"/>
  <c r="C112" i="4"/>
  <c r="D112" i="4" s="1"/>
  <c r="E112" i="4"/>
  <c r="F112" i="4" s="1"/>
  <c r="B114" i="4" l="1"/>
  <c r="A113" i="4"/>
  <c r="E113" i="4"/>
  <c r="F113" i="4" s="1"/>
  <c r="C113" i="4"/>
  <c r="D113" i="4" s="1"/>
  <c r="J112" i="4"/>
  <c r="I113" i="4"/>
  <c r="G113" i="4"/>
  <c r="H113" i="4"/>
  <c r="J113" i="4" l="1"/>
  <c r="G114" i="4"/>
  <c r="I114" i="4"/>
  <c r="H114" i="4"/>
  <c r="B115" i="4"/>
  <c r="A114" i="4"/>
  <c r="E114" i="4"/>
  <c r="F114" i="4" s="1"/>
  <c r="C114" i="4"/>
  <c r="D114" i="4" s="1"/>
  <c r="B116" i="4" l="1"/>
  <c r="A115" i="4"/>
  <c r="E115" i="4"/>
  <c r="F115" i="4" s="1"/>
  <c r="C115" i="4"/>
  <c r="D115" i="4" s="1"/>
  <c r="J114" i="4"/>
  <c r="G115" i="4"/>
  <c r="H115" i="4"/>
  <c r="I115" i="4"/>
  <c r="J115" i="4" l="1"/>
  <c r="H116" i="4"/>
  <c r="G116" i="4"/>
  <c r="I116" i="4"/>
  <c r="A116" i="4"/>
  <c r="B117" i="4"/>
  <c r="E116" i="4"/>
  <c r="F116" i="4" s="1"/>
  <c r="C116" i="4"/>
  <c r="D116" i="4" s="1"/>
  <c r="B118" i="4" l="1"/>
  <c r="A117" i="4"/>
  <c r="E117" i="4"/>
  <c r="F117" i="4" s="1"/>
  <c r="C117" i="4"/>
  <c r="D117" i="4" s="1"/>
  <c r="J116" i="4"/>
  <c r="G117" i="4"/>
  <c r="I117" i="4"/>
  <c r="H117" i="4"/>
  <c r="J117" i="4" l="1"/>
  <c r="H118" i="4"/>
  <c r="G118" i="4"/>
  <c r="I118" i="4"/>
  <c r="B119" i="4"/>
  <c r="A118" i="4"/>
  <c r="E118" i="4"/>
  <c r="F118" i="4" s="1"/>
  <c r="C118" i="4"/>
  <c r="D118" i="4" s="1"/>
  <c r="A119" i="4" l="1"/>
  <c r="B120" i="4"/>
  <c r="E119" i="4"/>
  <c r="F119" i="4" s="1"/>
  <c r="C119" i="4"/>
  <c r="D119" i="4" s="1"/>
  <c r="J118" i="4"/>
  <c r="I119" i="4"/>
  <c r="H119" i="4"/>
  <c r="G119" i="4"/>
  <c r="J119" i="4" l="1"/>
  <c r="I120" i="4"/>
  <c r="G120" i="4"/>
  <c r="H120" i="4"/>
  <c r="A120" i="4"/>
  <c r="B121" i="4"/>
  <c r="E120" i="4"/>
  <c r="F120" i="4" s="1"/>
  <c r="C120" i="4"/>
  <c r="D120" i="4" s="1"/>
  <c r="A121" i="4" l="1"/>
  <c r="B122" i="4"/>
  <c r="E121" i="4"/>
  <c r="F121" i="4" s="1"/>
  <c r="C121" i="4"/>
  <c r="D121" i="4" s="1"/>
  <c r="J120" i="4"/>
  <c r="I121" i="4"/>
  <c r="H121" i="4"/>
  <c r="G121" i="4"/>
  <c r="J121" i="4" l="1"/>
  <c r="I122" i="4"/>
  <c r="G122" i="4"/>
  <c r="H122" i="4"/>
  <c r="B123" i="4"/>
  <c r="A122" i="4"/>
  <c r="E122" i="4"/>
  <c r="F122" i="4" s="1"/>
  <c r="C122" i="4"/>
  <c r="D122" i="4" s="1"/>
  <c r="B124" i="4" l="1"/>
  <c r="A123" i="4"/>
  <c r="E123" i="4"/>
  <c r="F123" i="4" s="1"/>
  <c r="C123" i="4"/>
  <c r="D123" i="4" s="1"/>
  <c r="J122" i="4"/>
  <c r="I123" i="4"/>
  <c r="G123" i="4"/>
  <c r="H123" i="4"/>
  <c r="J123" i="4" l="1"/>
  <c r="G124" i="4"/>
  <c r="H124" i="4"/>
  <c r="I124" i="4"/>
  <c r="A124" i="4"/>
  <c r="B125" i="4"/>
  <c r="E124" i="4"/>
  <c r="F124" i="4" s="1"/>
  <c r="C124" i="4"/>
  <c r="D124" i="4" s="1"/>
  <c r="A125" i="4" l="1"/>
  <c r="B126" i="4"/>
  <c r="E125" i="4"/>
  <c r="F125" i="4" s="1"/>
  <c r="C125" i="4"/>
  <c r="D125" i="4" s="1"/>
  <c r="J124" i="4"/>
  <c r="G125" i="4"/>
  <c r="H125" i="4"/>
  <c r="I125" i="4"/>
  <c r="J125" i="4" l="1"/>
  <c r="H126" i="4"/>
  <c r="I126" i="4"/>
  <c r="G126" i="4"/>
  <c r="B127" i="4"/>
  <c r="A126" i="4"/>
  <c r="E126" i="4"/>
  <c r="F126" i="4" s="1"/>
  <c r="C126" i="4"/>
  <c r="D126" i="4" s="1"/>
  <c r="A127" i="4" l="1"/>
  <c r="B128" i="4"/>
  <c r="E127" i="4"/>
  <c r="F127" i="4" s="1"/>
  <c r="C127" i="4"/>
  <c r="D127" i="4" s="1"/>
  <c r="J126" i="4"/>
  <c r="G127" i="4"/>
  <c r="I127" i="4"/>
  <c r="H127" i="4"/>
  <c r="J127" i="4" l="1"/>
  <c r="G128" i="4"/>
  <c r="I128" i="4"/>
  <c r="H128" i="4"/>
  <c r="A128" i="4"/>
  <c r="B129" i="4"/>
  <c r="E128" i="4"/>
  <c r="F128" i="4" s="1"/>
  <c r="C128" i="4"/>
  <c r="D128" i="4" s="1"/>
  <c r="A129" i="4" l="1"/>
  <c r="B130" i="4"/>
  <c r="E129" i="4"/>
  <c r="F129" i="4" s="1"/>
  <c r="C129" i="4"/>
  <c r="D129" i="4" s="1"/>
  <c r="J128" i="4"/>
  <c r="G129" i="4"/>
  <c r="I129" i="4"/>
  <c r="H129" i="4"/>
  <c r="J129" i="4" l="1"/>
  <c r="I130" i="4"/>
  <c r="G130" i="4"/>
  <c r="H130" i="4"/>
  <c r="B131" i="4"/>
  <c r="A130" i="4"/>
  <c r="E130" i="4"/>
  <c r="F130" i="4" s="1"/>
  <c r="C130" i="4"/>
  <c r="D130" i="4" s="1"/>
  <c r="B132" i="4" l="1"/>
  <c r="A131" i="4"/>
  <c r="E131" i="4"/>
  <c r="F131" i="4" s="1"/>
  <c r="C131" i="4"/>
  <c r="D131" i="4" s="1"/>
  <c r="J130" i="4"/>
  <c r="I131" i="4"/>
  <c r="H131" i="4"/>
  <c r="G131" i="4"/>
  <c r="J131" i="4" l="1"/>
  <c r="I132" i="4"/>
  <c r="H132" i="4"/>
  <c r="G132" i="4"/>
  <c r="A132" i="4"/>
  <c r="B133" i="4"/>
  <c r="E132" i="4"/>
  <c r="F132" i="4" s="1"/>
  <c r="C132" i="4"/>
  <c r="D132" i="4" s="1"/>
  <c r="J132" i="4" l="1"/>
  <c r="G133" i="4"/>
  <c r="I133" i="4"/>
  <c r="H133" i="4"/>
  <c r="A133" i="4"/>
  <c r="B134" i="4"/>
  <c r="E133" i="4"/>
  <c r="F133" i="4" s="1"/>
  <c r="C133" i="4"/>
  <c r="D133" i="4" s="1"/>
  <c r="B135" i="4" l="1"/>
  <c r="A134" i="4"/>
  <c r="E134" i="4"/>
  <c r="F134" i="4" s="1"/>
  <c r="C134" i="4"/>
  <c r="D134" i="4" s="1"/>
  <c r="J133" i="4"/>
  <c r="G134" i="4"/>
  <c r="I134" i="4"/>
  <c r="H134" i="4"/>
  <c r="J134" i="4" l="1"/>
  <c r="G135" i="4"/>
  <c r="H135" i="4"/>
  <c r="I135" i="4"/>
  <c r="B136" i="4"/>
  <c r="A135" i="4"/>
  <c r="E135" i="4"/>
  <c r="F135" i="4" s="1"/>
  <c r="C135" i="4"/>
  <c r="D135" i="4" s="1"/>
  <c r="A136" i="4" l="1"/>
  <c r="B137" i="4"/>
  <c r="E136" i="4"/>
  <c r="F136" i="4" s="1"/>
  <c r="C136" i="4"/>
  <c r="D136" i="4" s="1"/>
  <c r="J135" i="4"/>
  <c r="I136" i="4"/>
  <c r="H136" i="4"/>
  <c r="G136" i="4"/>
  <c r="J136" i="4" l="1"/>
  <c r="I137" i="4"/>
  <c r="H137" i="4"/>
  <c r="G137" i="4"/>
  <c r="A137" i="4"/>
  <c r="B138" i="4"/>
  <c r="E137" i="4"/>
  <c r="F137" i="4" s="1"/>
  <c r="C137" i="4"/>
  <c r="D137" i="4" s="1"/>
  <c r="B139" i="4" l="1"/>
  <c r="A138" i="4"/>
  <c r="E138" i="4"/>
  <c r="F138" i="4" s="1"/>
  <c r="C138" i="4"/>
  <c r="D138" i="4" s="1"/>
  <c r="J137" i="4"/>
  <c r="G138" i="4"/>
  <c r="H138" i="4"/>
  <c r="I138" i="4"/>
  <c r="J138" i="4" l="1"/>
  <c r="H139" i="4"/>
  <c r="G139" i="4"/>
  <c r="I139" i="4"/>
  <c r="B140" i="4"/>
  <c r="A139" i="4"/>
  <c r="E139" i="4"/>
  <c r="F139" i="4" s="1"/>
  <c r="C139" i="4"/>
  <c r="D139" i="4" s="1"/>
  <c r="J139" i="4" l="1"/>
  <c r="H140" i="4"/>
  <c r="G140" i="4"/>
  <c r="I140" i="4"/>
  <c r="A140" i="4"/>
  <c r="B141" i="4"/>
  <c r="E140" i="4"/>
  <c r="F140" i="4" s="1"/>
  <c r="C140" i="4"/>
  <c r="D140" i="4" s="1"/>
  <c r="A141" i="4" l="1"/>
  <c r="B142" i="4"/>
  <c r="E141" i="4"/>
  <c r="F141" i="4" s="1"/>
  <c r="C141" i="4"/>
  <c r="D141" i="4" s="1"/>
  <c r="J140" i="4"/>
  <c r="H141" i="4"/>
  <c r="G141" i="4"/>
  <c r="I141" i="4"/>
  <c r="J141" i="4" l="1"/>
  <c r="I142" i="4"/>
  <c r="H142" i="4"/>
  <c r="G142" i="4"/>
  <c r="B143" i="4"/>
  <c r="A142" i="4"/>
  <c r="E142" i="4"/>
  <c r="F142" i="4" s="1"/>
  <c r="C142" i="4"/>
  <c r="D142" i="4" s="1"/>
  <c r="J142" i="4" l="1"/>
  <c r="H143" i="4"/>
  <c r="G143" i="4"/>
  <c r="I143" i="4"/>
  <c r="B144" i="4"/>
  <c r="A143" i="4"/>
  <c r="E143" i="4"/>
  <c r="F143" i="4" s="1"/>
  <c r="C143" i="4"/>
  <c r="D143" i="4" s="1"/>
  <c r="A144" i="4" l="1"/>
  <c r="B145" i="4"/>
  <c r="E144" i="4"/>
  <c r="F144" i="4" s="1"/>
  <c r="C144" i="4"/>
  <c r="D144" i="4" s="1"/>
  <c r="J143" i="4"/>
  <c r="H144" i="4"/>
  <c r="G144" i="4"/>
  <c r="I144" i="4"/>
  <c r="A145" i="4" l="1"/>
  <c r="B146" i="4"/>
  <c r="E145" i="4"/>
  <c r="F145" i="4" s="1"/>
  <c r="C145" i="4"/>
  <c r="D145" i="4" s="1"/>
  <c r="J144" i="4"/>
  <c r="H145" i="4"/>
  <c r="G145" i="4"/>
  <c r="I145" i="4"/>
  <c r="B147" i="4" l="1"/>
  <c r="A146" i="4"/>
  <c r="E146" i="4"/>
  <c r="F146" i="4" s="1"/>
  <c r="C146" i="4"/>
  <c r="D146" i="4" s="1"/>
  <c r="J145" i="4"/>
  <c r="I146" i="4"/>
  <c r="G146" i="4"/>
  <c r="H146" i="4"/>
  <c r="J146" i="4" l="1"/>
  <c r="I147" i="4"/>
  <c r="G147" i="4"/>
  <c r="H147" i="4"/>
  <c r="B148" i="4"/>
  <c r="A147" i="4"/>
  <c r="C147" i="4"/>
  <c r="D147" i="4" s="1"/>
  <c r="E147" i="4"/>
  <c r="F147" i="4" s="1"/>
  <c r="A148" i="4" l="1"/>
  <c r="B149" i="4"/>
  <c r="E148" i="4"/>
  <c r="F148" i="4" s="1"/>
  <c r="C148" i="4"/>
  <c r="D148" i="4" s="1"/>
  <c r="J147" i="4"/>
  <c r="I148" i="4"/>
  <c r="H148" i="4"/>
  <c r="G148" i="4"/>
  <c r="J148" i="4" l="1"/>
  <c r="H149" i="4"/>
  <c r="G149" i="4"/>
  <c r="I149" i="4"/>
  <c r="A149" i="4"/>
  <c r="B150" i="4"/>
  <c r="E149" i="4"/>
  <c r="F149" i="4" s="1"/>
  <c r="C149" i="4"/>
  <c r="D149" i="4" s="1"/>
  <c r="B151" i="4" l="1"/>
  <c r="A150" i="4"/>
  <c r="E150" i="4"/>
  <c r="F150" i="4" s="1"/>
  <c r="C150" i="4"/>
  <c r="D150" i="4" s="1"/>
  <c r="J149" i="4"/>
  <c r="H150" i="4"/>
  <c r="G150" i="4"/>
  <c r="I150" i="4"/>
  <c r="J150" i="4" l="1"/>
  <c r="G151" i="4"/>
  <c r="I151" i="4"/>
  <c r="H151" i="4"/>
  <c r="B152" i="4"/>
  <c r="A151" i="4"/>
  <c r="E151" i="4"/>
  <c r="F151" i="4" s="1"/>
  <c r="C151" i="4"/>
  <c r="D151" i="4" s="1"/>
  <c r="A152" i="4" l="1"/>
  <c r="B153" i="4"/>
  <c r="E152" i="4"/>
  <c r="F152" i="4" s="1"/>
  <c r="C152" i="4"/>
  <c r="D152" i="4" s="1"/>
  <c r="J151" i="4"/>
  <c r="I152" i="4"/>
  <c r="G152" i="4"/>
  <c r="H152" i="4"/>
  <c r="J152" i="4" l="1"/>
  <c r="H153" i="4"/>
  <c r="I153" i="4"/>
  <c r="G153" i="4"/>
  <c r="A153" i="4"/>
  <c r="B154" i="4"/>
  <c r="E153" i="4"/>
  <c r="F153" i="4" s="1"/>
  <c r="C153" i="4"/>
  <c r="D153" i="4" s="1"/>
  <c r="B155" i="4" l="1"/>
  <c r="A154" i="4"/>
  <c r="C154" i="4"/>
  <c r="D154" i="4" s="1"/>
  <c r="E154" i="4"/>
  <c r="F154" i="4" s="1"/>
  <c r="J153" i="4"/>
  <c r="G154" i="4"/>
  <c r="H154" i="4"/>
  <c r="I154" i="4"/>
  <c r="J154" i="4" l="1"/>
  <c r="G155" i="4"/>
  <c r="I155" i="4"/>
  <c r="H155" i="4"/>
  <c r="B156" i="4"/>
  <c r="A155" i="4"/>
  <c r="E155" i="4"/>
  <c r="F155" i="4" s="1"/>
  <c r="C155" i="4"/>
  <c r="D155" i="4" s="1"/>
  <c r="A156" i="4" l="1"/>
  <c r="B157" i="4"/>
  <c r="E156" i="4"/>
  <c r="F156" i="4" s="1"/>
  <c r="C156" i="4"/>
  <c r="D156" i="4" s="1"/>
  <c r="J155" i="4"/>
  <c r="G156" i="4"/>
  <c r="H156" i="4"/>
  <c r="I156" i="4"/>
  <c r="J156" i="4" l="1"/>
  <c r="G157" i="4"/>
  <c r="H157" i="4"/>
  <c r="I157" i="4"/>
  <c r="A157" i="4"/>
  <c r="B158" i="4"/>
  <c r="E157" i="4"/>
  <c r="F157" i="4" s="1"/>
  <c r="C157" i="4"/>
  <c r="D157" i="4" s="1"/>
  <c r="B159" i="4" l="1"/>
  <c r="A158" i="4"/>
  <c r="E158" i="4"/>
  <c r="F158" i="4" s="1"/>
  <c r="C158" i="4"/>
  <c r="D158" i="4" s="1"/>
  <c r="J157" i="4"/>
  <c r="I158" i="4"/>
  <c r="H158" i="4"/>
  <c r="G158" i="4"/>
  <c r="J158" i="4" l="1"/>
  <c r="G159" i="4"/>
  <c r="I159" i="4"/>
  <c r="H159" i="4"/>
  <c r="B160" i="4"/>
  <c r="A159" i="4"/>
  <c r="E159" i="4"/>
  <c r="F159" i="4" s="1"/>
  <c r="C159" i="4"/>
  <c r="D159" i="4" s="1"/>
  <c r="A160" i="4" l="1"/>
  <c r="B161" i="4"/>
  <c r="E160" i="4"/>
  <c r="F160" i="4" s="1"/>
  <c r="C160" i="4"/>
  <c r="D160" i="4" s="1"/>
  <c r="J159" i="4"/>
  <c r="G160" i="4"/>
  <c r="I160" i="4"/>
  <c r="H160" i="4"/>
  <c r="J160" i="4" l="1"/>
  <c r="G161" i="4"/>
  <c r="I161" i="4"/>
  <c r="H161" i="4"/>
  <c r="A161" i="4"/>
  <c r="B162" i="4"/>
  <c r="E161" i="4"/>
  <c r="F161" i="4" s="1"/>
  <c r="C161" i="4"/>
  <c r="D161" i="4" s="1"/>
  <c r="B163" i="4" l="1"/>
  <c r="A162" i="4"/>
  <c r="E162" i="4"/>
  <c r="F162" i="4" s="1"/>
  <c r="C162" i="4"/>
  <c r="D162" i="4" s="1"/>
  <c r="J161" i="4"/>
  <c r="I162" i="4"/>
  <c r="G162" i="4"/>
  <c r="H162" i="4"/>
  <c r="J162" i="4" l="1"/>
  <c r="I163" i="4"/>
  <c r="H163" i="4"/>
  <c r="G163" i="4"/>
  <c r="B164" i="4"/>
  <c r="A163" i="4"/>
  <c r="E163" i="4"/>
  <c r="F163" i="4" s="1"/>
  <c r="C163" i="4"/>
  <c r="D163" i="4" s="1"/>
  <c r="A164" i="4" l="1"/>
  <c r="B165" i="4"/>
  <c r="E164" i="4"/>
  <c r="F164" i="4" s="1"/>
  <c r="C164" i="4"/>
  <c r="D164" i="4" s="1"/>
  <c r="J163" i="4"/>
  <c r="I164" i="4"/>
  <c r="H164" i="4"/>
  <c r="G164" i="4"/>
  <c r="J164" i="4" l="1"/>
  <c r="G165" i="4"/>
  <c r="I165" i="4"/>
  <c r="H165" i="4"/>
  <c r="A165" i="4"/>
  <c r="B166" i="4"/>
  <c r="C165" i="4"/>
  <c r="D165" i="4" s="1"/>
  <c r="E165" i="4"/>
  <c r="F165" i="4" s="1"/>
  <c r="B167" i="4" l="1"/>
  <c r="A166" i="4"/>
  <c r="E166" i="4"/>
  <c r="F166" i="4" s="1"/>
  <c r="C166" i="4"/>
  <c r="D166" i="4" s="1"/>
  <c r="J165" i="4"/>
  <c r="H166" i="4"/>
  <c r="G166" i="4"/>
  <c r="I166" i="4"/>
  <c r="J166" i="4" l="1"/>
  <c r="H167" i="4"/>
  <c r="G167" i="4"/>
  <c r="I167" i="4"/>
  <c r="B168" i="4"/>
  <c r="A167" i="4"/>
  <c r="E167" i="4"/>
  <c r="F167" i="4" s="1"/>
  <c r="C167" i="4"/>
  <c r="D167" i="4" s="1"/>
  <c r="A168" i="4" l="1"/>
  <c r="B169" i="4"/>
  <c r="E168" i="4"/>
  <c r="F168" i="4" s="1"/>
  <c r="C168" i="4"/>
  <c r="D168" i="4" s="1"/>
  <c r="J167" i="4"/>
  <c r="I168" i="4"/>
  <c r="H168" i="4"/>
  <c r="G168" i="4"/>
  <c r="J168" i="4" l="1"/>
  <c r="I169" i="4"/>
  <c r="H169" i="4"/>
  <c r="G169" i="4"/>
  <c r="A169" i="4"/>
  <c r="B170" i="4"/>
  <c r="E169" i="4"/>
  <c r="F169" i="4" s="1"/>
  <c r="C169" i="4"/>
  <c r="D169" i="4" s="1"/>
  <c r="B171" i="4" l="1"/>
  <c r="A170" i="4"/>
  <c r="E170" i="4"/>
  <c r="F170" i="4" s="1"/>
  <c r="C170" i="4"/>
  <c r="D170" i="4" s="1"/>
  <c r="J169" i="4"/>
  <c r="G170" i="4"/>
  <c r="H170" i="4"/>
  <c r="I170" i="4"/>
  <c r="J170" i="4" l="1"/>
  <c r="H171" i="4"/>
  <c r="G171" i="4"/>
  <c r="I171" i="4"/>
  <c r="B172" i="4"/>
  <c r="A171" i="4"/>
  <c r="E171" i="4"/>
  <c r="F171" i="4" s="1"/>
  <c r="C171" i="4"/>
  <c r="D171" i="4" s="1"/>
  <c r="J171" i="4" l="1"/>
  <c r="H172" i="4"/>
  <c r="G172" i="4"/>
  <c r="I172" i="4"/>
  <c r="A172" i="4"/>
  <c r="B173" i="4"/>
  <c r="E172" i="4"/>
  <c r="F172" i="4" s="1"/>
  <c r="C172" i="4"/>
  <c r="D172" i="4" s="1"/>
  <c r="A173" i="4" l="1"/>
  <c r="B174" i="4"/>
  <c r="E173" i="4"/>
  <c r="F173" i="4" s="1"/>
  <c r="C173" i="4"/>
  <c r="D173" i="4" s="1"/>
  <c r="J172" i="4"/>
  <c r="H173" i="4"/>
  <c r="G173" i="4"/>
  <c r="I173" i="4"/>
  <c r="J173" i="4" l="1"/>
  <c r="I174" i="4"/>
  <c r="H174" i="4"/>
  <c r="G174" i="4"/>
  <c r="B175" i="4"/>
  <c r="A174" i="4"/>
  <c r="E174" i="4"/>
  <c r="F174" i="4" s="1"/>
  <c r="C174" i="4"/>
  <c r="D174" i="4" s="1"/>
  <c r="B176" i="4" l="1"/>
  <c r="A175" i="4"/>
  <c r="E175" i="4"/>
  <c r="F175" i="4" s="1"/>
  <c r="C175" i="4"/>
  <c r="D175" i="4" s="1"/>
  <c r="J174" i="4"/>
  <c r="H175" i="4"/>
  <c r="G175" i="4"/>
  <c r="I175" i="4"/>
  <c r="J175" i="4" l="1"/>
  <c r="H176" i="4"/>
  <c r="G176" i="4"/>
  <c r="I176" i="4"/>
  <c r="A176" i="4"/>
  <c r="B177" i="4"/>
  <c r="E176" i="4"/>
  <c r="F176" i="4" s="1"/>
  <c r="C176" i="4"/>
  <c r="D176" i="4" s="1"/>
  <c r="J176" i="4" l="1"/>
  <c r="H177" i="4"/>
  <c r="G177" i="4"/>
  <c r="I177" i="4"/>
  <c r="A177" i="4"/>
  <c r="B178" i="4"/>
  <c r="E177" i="4"/>
  <c r="F177" i="4" s="1"/>
  <c r="C177" i="4"/>
  <c r="D177" i="4" s="1"/>
  <c r="B179" i="4" l="1"/>
  <c r="A178" i="4"/>
  <c r="E178" i="4"/>
  <c r="F178" i="4" s="1"/>
  <c r="C178" i="4"/>
  <c r="D178" i="4" s="1"/>
  <c r="J177" i="4"/>
  <c r="I178" i="4"/>
  <c r="G178" i="4"/>
  <c r="H178" i="4"/>
  <c r="J178" i="4" l="1"/>
  <c r="I179" i="4"/>
  <c r="G179" i="4"/>
  <c r="H179" i="4"/>
  <c r="B180" i="4"/>
  <c r="A179" i="4"/>
  <c r="E179" i="4"/>
  <c r="F179" i="4" s="1"/>
  <c r="C179" i="4"/>
  <c r="D179" i="4" s="1"/>
  <c r="A180" i="4" l="1"/>
  <c r="B181" i="4"/>
  <c r="E180" i="4"/>
  <c r="F180" i="4" s="1"/>
  <c r="C180" i="4"/>
  <c r="D180" i="4" s="1"/>
  <c r="J179" i="4"/>
  <c r="I180" i="4"/>
  <c r="H180" i="4"/>
  <c r="G180" i="4"/>
  <c r="J180" i="4" l="1"/>
  <c r="H181" i="4"/>
  <c r="G181" i="4"/>
  <c r="I181" i="4"/>
  <c r="A181" i="4"/>
  <c r="B182" i="4"/>
  <c r="E181" i="4"/>
  <c r="F181" i="4" s="1"/>
  <c r="C181" i="4"/>
  <c r="D181" i="4" s="1"/>
  <c r="B183" i="4" l="1"/>
  <c r="A182" i="4"/>
  <c r="E182" i="4"/>
  <c r="F182" i="4" s="1"/>
  <c r="C182" i="4"/>
  <c r="D182" i="4" s="1"/>
  <c r="J181" i="4"/>
  <c r="G182" i="4"/>
  <c r="I182" i="4"/>
  <c r="H182" i="4"/>
  <c r="J182" i="4" l="1"/>
  <c r="G183" i="4"/>
  <c r="I183" i="4"/>
  <c r="H183" i="4"/>
  <c r="B184" i="4"/>
  <c r="A183" i="4"/>
  <c r="E183" i="4"/>
  <c r="F183" i="4" s="1"/>
  <c r="C183" i="4"/>
  <c r="D183" i="4" s="1"/>
  <c r="A184" i="4" l="1"/>
  <c r="B185" i="4"/>
  <c r="E184" i="4"/>
  <c r="F184" i="4" s="1"/>
  <c r="C184" i="4"/>
  <c r="D184" i="4" s="1"/>
  <c r="J183" i="4"/>
  <c r="I184" i="4"/>
  <c r="G184" i="4"/>
  <c r="H184" i="4"/>
  <c r="J184" i="4" l="1"/>
  <c r="H185" i="4"/>
  <c r="I185" i="4"/>
  <c r="G185" i="4"/>
  <c r="A185" i="4"/>
  <c r="B186" i="4"/>
  <c r="E185" i="4"/>
  <c r="F185" i="4" s="1"/>
  <c r="C185" i="4"/>
  <c r="D185" i="4" s="1"/>
  <c r="B187" i="4" l="1"/>
  <c r="A186" i="4"/>
  <c r="E186" i="4"/>
  <c r="F186" i="4" s="1"/>
  <c r="C186" i="4"/>
  <c r="D186" i="4" s="1"/>
  <c r="J185" i="4"/>
  <c r="G186" i="4"/>
  <c r="H186" i="4"/>
  <c r="I186" i="4"/>
  <c r="J186" i="4" l="1"/>
  <c r="G187" i="4"/>
  <c r="I187" i="4"/>
  <c r="H187" i="4"/>
  <c r="B188" i="4"/>
  <c r="A187" i="4"/>
  <c r="E187" i="4"/>
  <c r="F187" i="4" s="1"/>
  <c r="C187" i="4"/>
  <c r="D187" i="4" s="1"/>
  <c r="A188" i="4" l="1"/>
  <c r="B189" i="4"/>
  <c r="E188" i="4"/>
  <c r="F188" i="4" s="1"/>
  <c r="C188" i="4"/>
  <c r="D188" i="4" s="1"/>
  <c r="J187" i="4"/>
  <c r="G188" i="4"/>
  <c r="H188" i="4"/>
  <c r="I188" i="4"/>
  <c r="J188" i="4" l="1"/>
  <c r="G189" i="4"/>
  <c r="H189" i="4"/>
  <c r="I189" i="4"/>
  <c r="A189" i="4"/>
  <c r="B190" i="4"/>
  <c r="E189" i="4"/>
  <c r="F189" i="4" s="1"/>
  <c r="C189" i="4"/>
  <c r="D189" i="4" s="1"/>
  <c r="B191" i="4" l="1"/>
  <c r="A190" i="4"/>
  <c r="E190" i="4"/>
  <c r="F190" i="4" s="1"/>
  <c r="C190" i="4"/>
  <c r="D190" i="4" s="1"/>
  <c r="J189" i="4"/>
  <c r="I190" i="4"/>
  <c r="H190" i="4"/>
  <c r="G190" i="4"/>
  <c r="J190" i="4" l="1"/>
  <c r="G191" i="4"/>
  <c r="I191" i="4"/>
  <c r="H191" i="4"/>
  <c r="B192" i="4"/>
  <c r="A191" i="4"/>
  <c r="E191" i="4"/>
  <c r="F191" i="4" s="1"/>
  <c r="C191" i="4"/>
  <c r="D191" i="4" s="1"/>
  <c r="A192" i="4" l="1"/>
  <c r="B193" i="4"/>
  <c r="E192" i="4"/>
  <c r="F192" i="4" s="1"/>
  <c r="C192" i="4"/>
  <c r="D192" i="4" s="1"/>
  <c r="J191" i="4"/>
  <c r="G192" i="4"/>
  <c r="I192" i="4"/>
  <c r="H192" i="4"/>
  <c r="J192" i="4" l="1"/>
  <c r="G193" i="4"/>
  <c r="I193" i="4"/>
  <c r="H193" i="4"/>
  <c r="A193" i="4"/>
  <c r="B194" i="4"/>
  <c r="E193" i="4"/>
  <c r="F193" i="4" s="1"/>
  <c r="C193" i="4"/>
  <c r="D193" i="4" s="1"/>
  <c r="B195" i="4" l="1"/>
  <c r="A194" i="4"/>
  <c r="E194" i="4"/>
  <c r="F194" i="4" s="1"/>
  <c r="C194" i="4"/>
  <c r="D194" i="4" s="1"/>
  <c r="J193" i="4"/>
  <c r="I194" i="4"/>
  <c r="G194" i="4"/>
  <c r="H194" i="4"/>
  <c r="J194" i="4" l="1"/>
  <c r="I195" i="4"/>
  <c r="H195" i="4"/>
  <c r="G195" i="4"/>
  <c r="B196" i="4"/>
  <c r="A195" i="4"/>
  <c r="E195" i="4"/>
  <c r="F195" i="4" s="1"/>
  <c r="C195" i="4"/>
  <c r="D195" i="4" s="1"/>
  <c r="J195" i="4" l="1"/>
  <c r="I196" i="4"/>
  <c r="H196" i="4"/>
  <c r="G196" i="4"/>
  <c r="A196" i="4"/>
  <c r="B197" i="4"/>
  <c r="E196" i="4"/>
  <c r="F196" i="4" s="1"/>
  <c r="C196" i="4"/>
  <c r="D196" i="4" s="1"/>
  <c r="A197" i="4" l="1"/>
  <c r="B198" i="4"/>
  <c r="E197" i="4"/>
  <c r="F197" i="4" s="1"/>
  <c r="C197" i="4"/>
  <c r="D197" i="4" s="1"/>
  <c r="J196" i="4"/>
  <c r="G197" i="4"/>
  <c r="I197" i="4"/>
  <c r="H197" i="4"/>
  <c r="J197" i="4" l="1"/>
  <c r="G198" i="4"/>
  <c r="I198" i="4"/>
  <c r="H198" i="4"/>
  <c r="B199" i="4"/>
  <c r="A198" i="4"/>
  <c r="E198" i="4"/>
  <c r="F198" i="4" s="1"/>
  <c r="C198" i="4"/>
  <c r="D198" i="4" s="1"/>
  <c r="B200" i="4" l="1"/>
  <c r="A199" i="4"/>
  <c r="E199" i="4"/>
  <c r="F199" i="4" s="1"/>
  <c r="C199" i="4"/>
  <c r="D199" i="4" s="1"/>
  <c r="J198" i="4"/>
  <c r="H199" i="4"/>
  <c r="G199" i="4"/>
  <c r="I199" i="4"/>
  <c r="J199" i="4" l="1"/>
  <c r="I200" i="4"/>
  <c r="H200" i="4"/>
  <c r="G200" i="4"/>
  <c r="A200" i="4"/>
  <c r="B201" i="4"/>
  <c r="E200" i="4"/>
  <c r="F200" i="4" s="1"/>
  <c r="C200" i="4"/>
  <c r="D200" i="4" s="1"/>
  <c r="A201" i="4" l="1"/>
  <c r="B202" i="4"/>
  <c r="E201" i="4"/>
  <c r="F201" i="4" s="1"/>
  <c r="C201" i="4"/>
  <c r="D201" i="4" s="1"/>
  <c r="J200" i="4"/>
  <c r="I201" i="4"/>
  <c r="H201" i="4"/>
  <c r="G201" i="4"/>
  <c r="J201" i="4" l="1"/>
  <c r="G202" i="4"/>
  <c r="I202" i="4"/>
  <c r="H202" i="4"/>
  <c r="B203" i="4"/>
  <c r="A202" i="4"/>
  <c r="E202" i="4"/>
  <c r="F202" i="4" s="1"/>
  <c r="C202" i="4"/>
  <c r="D202" i="4" s="1"/>
  <c r="B204" i="4" l="1"/>
  <c r="A203" i="4"/>
  <c r="E203" i="4"/>
  <c r="F203" i="4" s="1"/>
  <c r="C203" i="4"/>
  <c r="D203" i="4" s="1"/>
  <c r="J202" i="4"/>
  <c r="H203" i="4"/>
  <c r="G203" i="4"/>
  <c r="I203" i="4"/>
  <c r="J203" i="4" l="1"/>
  <c r="H204" i="4"/>
  <c r="G204" i="4"/>
  <c r="I204" i="4"/>
  <c r="A204" i="4"/>
  <c r="B205" i="4"/>
  <c r="E204" i="4"/>
  <c r="F204" i="4" s="1"/>
  <c r="C204" i="4"/>
  <c r="D204" i="4" s="1"/>
  <c r="A205" i="4" l="1"/>
  <c r="B206" i="4"/>
  <c r="E205" i="4"/>
  <c r="F205" i="4" s="1"/>
  <c r="C205" i="4"/>
  <c r="D205" i="4" s="1"/>
  <c r="J204" i="4"/>
  <c r="H205" i="4"/>
  <c r="G205" i="4"/>
  <c r="I205" i="4"/>
  <c r="J205" i="4" l="1"/>
  <c r="I206" i="4"/>
  <c r="H206" i="4"/>
  <c r="G206" i="4"/>
  <c r="B207" i="4"/>
  <c r="A206" i="4"/>
  <c r="E206" i="4"/>
  <c r="F206" i="4" s="1"/>
  <c r="C206" i="4"/>
  <c r="D206" i="4" s="1"/>
  <c r="J206" i="4" l="1"/>
  <c r="H207" i="4"/>
  <c r="G207" i="4"/>
  <c r="I207" i="4"/>
  <c r="B208" i="4"/>
  <c r="A207" i="4"/>
  <c r="E207" i="4"/>
  <c r="F207" i="4" s="1"/>
  <c r="C207" i="4"/>
  <c r="D207" i="4" s="1"/>
  <c r="A208" i="4" l="1"/>
  <c r="B209" i="4"/>
  <c r="E208" i="4"/>
  <c r="F208" i="4" s="1"/>
  <c r="C208" i="4"/>
  <c r="D208" i="4" s="1"/>
  <c r="J207" i="4"/>
  <c r="H208" i="4"/>
  <c r="G208" i="4"/>
  <c r="I208" i="4"/>
  <c r="J208" i="4" l="1"/>
  <c r="H209" i="4"/>
  <c r="G209" i="4"/>
  <c r="I209" i="4"/>
  <c r="A209" i="4"/>
  <c r="B210" i="4"/>
  <c r="E209" i="4"/>
  <c r="F209" i="4" s="1"/>
  <c r="C209" i="4"/>
  <c r="D209" i="4" s="1"/>
  <c r="J209" i="4" l="1"/>
  <c r="I210" i="4"/>
  <c r="G210" i="4"/>
  <c r="H210" i="4"/>
  <c r="B211" i="4"/>
  <c r="A210" i="4"/>
  <c r="E210" i="4"/>
  <c r="F210" i="4" s="1"/>
  <c r="C210" i="4"/>
  <c r="D210" i="4" s="1"/>
  <c r="B212" i="4" l="1"/>
  <c r="A211" i="4"/>
  <c r="E211" i="4"/>
  <c r="F211" i="4" s="1"/>
  <c r="C211" i="4"/>
  <c r="D211" i="4" s="1"/>
  <c r="J210" i="4"/>
  <c r="I211" i="4"/>
  <c r="H211" i="4"/>
  <c r="G211" i="4"/>
  <c r="J211" i="4" l="1"/>
  <c r="I212" i="4"/>
  <c r="G212" i="4"/>
  <c r="H212" i="4"/>
  <c r="A212" i="4"/>
  <c r="B213" i="4"/>
  <c r="E212" i="4"/>
  <c r="F212" i="4" s="1"/>
  <c r="C212" i="4"/>
  <c r="D212" i="4" s="1"/>
  <c r="A213" i="4" l="1"/>
  <c r="B214" i="4"/>
  <c r="E213" i="4"/>
  <c r="F213" i="4" s="1"/>
  <c r="C213" i="4"/>
  <c r="D213" i="4" s="1"/>
  <c r="J212" i="4"/>
  <c r="H213" i="4"/>
  <c r="G213" i="4"/>
  <c r="I213" i="4"/>
  <c r="J213" i="4" l="1"/>
  <c r="H214" i="4"/>
  <c r="G214" i="4"/>
  <c r="I214" i="4"/>
  <c r="B215" i="4"/>
  <c r="A214" i="4"/>
  <c r="E214" i="4"/>
  <c r="F214" i="4" s="1"/>
  <c r="C214" i="4"/>
  <c r="D214" i="4" s="1"/>
  <c r="B216" i="4" l="1"/>
  <c r="A215" i="4"/>
  <c r="E215" i="4"/>
  <c r="F215" i="4" s="1"/>
  <c r="C215" i="4"/>
  <c r="D215" i="4" s="1"/>
  <c r="J214" i="4"/>
  <c r="G215" i="4"/>
  <c r="I215" i="4"/>
  <c r="H215" i="4"/>
  <c r="J215" i="4" l="1"/>
  <c r="I216" i="4"/>
  <c r="G216" i="4"/>
  <c r="H216" i="4"/>
  <c r="A216" i="4"/>
  <c r="B217" i="4"/>
  <c r="E216" i="4"/>
  <c r="F216" i="4" s="1"/>
  <c r="C216" i="4"/>
  <c r="D216" i="4" s="1"/>
  <c r="A217" i="4" l="1"/>
  <c r="B218" i="4"/>
  <c r="E217" i="4"/>
  <c r="F217" i="4" s="1"/>
  <c r="C217" i="4"/>
  <c r="D217" i="4" s="1"/>
  <c r="J216" i="4"/>
  <c r="H217" i="4"/>
  <c r="I217" i="4"/>
  <c r="G217" i="4"/>
  <c r="J217" i="4" l="1"/>
  <c r="G218" i="4"/>
  <c r="H218" i="4"/>
  <c r="I218" i="4"/>
  <c r="B219" i="4"/>
  <c r="A218" i="4"/>
  <c r="E218" i="4"/>
  <c r="F218" i="4" s="1"/>
  <c r="C218" i="4"/>
  <c r="D218" i="4" s="1"/>
  <c r="B220" i="4" l="1"/>
  <c r="A219" i="4"/>
  <c r="E219" i="4"/>
  <c r="F219" i="4" s="1"/>
  <c r="C219" i="4"/>
  <c r="D219" i="4" s="1"/>
  <c r="J218" i="4"/>
  <c r="G219" i="4"/>
  <c r="I219" i="4"/>
  <c r="H219" i="4"/>
  <c r="J219" i="4" l="1"/>
  <c r="G220" i="4"/>
  <c r="H220" i="4"/>
  <c r="I220" i="4"/>
  <c r="A220" i="4"/>
  <c r="B221" i="4"/>
  <c r="E220" i="4"/>
  <c r="F220" i="4" s="1"/>
  <c r="C220" i="4"/>
  <c r="D220" i="4" s="1"/>
  <c r="A221" i="4" l="1"/>
  <c r="B222" i="4"/>
  <c r="E221" i="4"/>
  <c r="F221" i="4" s="1"/>
  <c r="C221" i="4"/>
  <c r="D221" i="4" s="1"/>
  <c r="J220" i="4"/>
  <c r="G221" i="4"/>
  <c r="I221" i="4"/>
  <c r="H221" i="4"/>
  <c r="J221" i="4" l="1"/>
  <c r="I222" i="4"/>
  <c r="G222" i="4"/>
  <c r="H222" i="4"/>
  <c r="B223" i="4"/>
  <c r="A222" i="4"/>
  <c r="E222" i="4"/>
  <c r="F222" i="4" s="1"/>
  <c r="C222" i="4"/>
  <c r="D222" i="4" s="1"/>
  <c r="J222" i="4" l="1"/>
  <c r="G223" i="4"/>
  <c r="H223" i="4"/>
  <c r="I223" i="4"/>
  <c r="B224" i="4"/>
  <c r="A223" i="4"/>
  <c r="E223" i="4"/>
  <c r="F223" i="4" s="1"/>
  <c r="C223" i="4"/>
  <c r="D223" i="4" s="1"/>
  <c r="B225" i="4" l="1"/>
  <c r="A224" i="4"/>
  <c r="E224" i="4"/>
  <c r="F224" i="4" s="1"/>
  <c r="C224" i="4"/>
  <c r="D224" i="4" s="1"/>
  <c r="J223" i="4"/>
  <c r="G224" i="4"/>
  <c r="I224" i="4"/>
  <c r="H224" i="4"/>
  <c r="J224" i="4" l="1"/>
  <c r="H225" i="4"/>
  <c r="G225" i="4"/>
  <c r="I225" i="4"/>
  <c r="B226" i="4"/>
  <c r="A225" i="4"/>
  <c r="E225" i="4"/>
  <c r="F225" i="4" s="1"/>
  <c r="C225" i="4"/>
  <c r="D225" i="4" s="1"/>
  <c r="B227" i="4" l="1"/>
  <c r="A226" i="4"/>
  <c r="E226" i="4"/>
  <c r="F226" i="4" s="1"/>
  <c r="C226" i="4"/>
  <c r="D226" i="4" s="1"/>
  <c r="J225" i="4"/>
  <c r="G226" i="4"/>
  <c r="H226" i="4"/>
  <c r="I226" i="4"/>
  <c r="J226" i="4" l="1"/>
  <c r="H227" i="4"/>
  <c r="G227" i="4"/>
  <c r="I227" i="4"/>
  <c r="A227" i="4"/>
  <c r="B228" i="4"/>
  <c r="E227" i="4"/>
  <c r="F227" i="4" s="1"/>
  <c r="C227" i="4"/>
  <c r="D227" i="4" s="1"/>
  <c r="J227" i="4" l="1"/>
  <c r="G228" i="4"/>
  <c r="H228" i="4"/>
  <c r="I228" i="4"/>
  <c r="A228" i="4"/>
  <c r="B229" i="4"/>
  <c r="E228" i="4"/>
  <c r="F228" i="4" s="1"/>
  <c r="C228" i="4"/>
  <c r="D228" i="4" s="1"/>
  <c r="B230" i="4" l="1"/>
  <c r="A229" i="4"/>
  <c r="E229" i="4"/>
  <c r="F229" i="4" s="1"/>
  <c r="C229" i="4"/>
  <c r="D229" i="4" s="1"/>
  <c r="J228" i="4"/>
  <c r="I229" i="4"/>
  <c r="G229" i="4"/>
  <c r="H229" i="4"/>
  <c r="J229" i="4" l="1"/>
  <c r="H230" i="4"/>
  <c r="G230" i="4"/>
  <c r="I230" i="4"/>
  <c r="B231" i="4"/>
  <c r="A230" i="4"/>
  <c r="E230" i="4"/>
  <c r="F230" i="4" s="1"/>
  <c r="C230" i="4"/>
  <c r="D230" i="4" s="1"/>
  <c r="J230" i="4" l="1"/>
  <c r="H231" i="4"/>
  <c r="G231" i="4"/>
  <c r="I231" i="4"/>
  <c r="A231" i="4"/>
  <c r="B232" i="4"/>
  <c r="E231" i="4"/>
  <c r="F231" i="4" s="1"/>
  <c r="C231" i="4"/>
  <c r="D231" i="4" s="1"/>
  <c r="B233" i="4" l="1"/>
  <c r="A232" i="4"/>
  <c r="E232" i="4"/>
  <c r="F232" i="4" s="1"/>
  <c r="C232" i="4"/>
  <c r="D232" i="4" s="1"/>
  <c r="J231" i="4"/>
  <c r="I232" i="4"/>
  <c r="G232" i="4"/>
  <c r="H232" i="4"/>
  <c r="J232" i="4" l="1"/>
  <c r="I233" i="4"/>
  <c r="H233" i="4"/>
  <c r="G233" i="4"/>
  <c r="B234" i="4"/>
  <c r="A233" i="4"/>
  <c r="E233" i="4"/>
  <c r="F233" i="4" s="1"/>
  <c r="C233" i="4"/>
  <c r="D233" i="4" s="1"/>
  <c r="J233" i="4" l="1"/>
  <c r="G234" i="4"/>
  <c r="I234" i="4"/>
  <c r="H234" i="4"/>
  <c r="B235" i="4"/>
  <c r="A234" i="4"/>
  <c r="E234" i="4"/>
  <c r="F234" i="4" s="1"/>
  <c r="C234" i="4"/>
  <c r="D234" i="4" s="1"/>
  <c r="B236" i="4" l="1"/>
  <c r="A235" i="4"/>
  <c r="E235" i="4"/>
  <c r="F235" i="4" s="1"/>
  <c r="C235" i="4"/>
  <c r="D235" i="4" s="1"/>
  <c r="J234" i="4"/>
  <c r="G235" i="4"/>
  <c r="I235" i="4"/>
  <c r="H235" i="4"/>
  <c r="J235" i="4" l="1"/>
  <c r="H236" i="4"/>
  <c r="I236" i="4"/>
  <c r="G236" i="4"/>
  <c r="B237" i="4"/>
  <c r="A236" i="4"/>
  <c r="C236" i="4"/>
  <c r="D236" i="4" s="1"/>
  <c r="E236" i="4"/>
  <c r="F236" i="4" s="1"/>
  <c r="B238" i="4" l="1"/>
  <c r="A237" i="4"/>
  <c r="E237" i="4"/>
  <c r="F237" i="4" s="1"/>
  <c r="C237" i="4"/>
  <c r="D237" i="4" s="1"/>
  <c r="J236" i="4"/>
  <c r="G237" i="4"/>
  <c r="I237" i="4"/>
  <c r="H237" i="4"/>
  <c r="J237" i="4" l="1"/>
  <c r="H238" i="4"/>
  <c r="G238" i="4"/>
  <c r="I238" i="4"/>
  <c r="B239" i="4"/>
  <c r="A238" i="4"/>
  <c r="E238" i="4"/>
  <c r="F238" i="4" s="1"/>
  <c r="C238" i="4"/>
  <c r="D238" i="4" s="1"/>
  <c r="B240" i="4" l="1"/>
  <c r="A239" i="4"/>
  <c r="E239" i="4"/>
  <c r="F239" i="4" s="1"/>
  <c r="C239" i="4"/>
  <c r="D239" i="4" s="1"/>
  <c r="J238" i="4"/>
  <c r="I239" i="4"/>
  <c r="G239" i="4"/>
  <c r="H239" i="4"/>
  <c r="J239" i="4" l="1"/>
  <c r="I240" i="4"/>
  <c r="G240" i="4"/>
  <c r="H240" i="4"/>
  <c r="B241" i="4"/>
  <c r="A240" i="4"/>
  <c r="E240" i="4"/>
  <c r="F240" i="4" s="1"/>
  <c r="C240" i="4"/>
  <c r="D240" i="4" s="1"/>
  <c r="B242" i="4" l="1"/>
  <c r="A241" i="4"/>
  <c r="E241" i="4"/>
  <c r="F241" i="4" s="1"/>
  <c r="C241" i="4"/>
  <c r="D241" i="4" s="1"/>
  <c r="J240" i="4"/>
  <c r="G241" i="4"/>
  <c r="I241" i="4"/>
  <c r="H241" i="4"/>
  <c r="J241" i="4" l="1"/>
  <c r="I242" i="4"/>
  <c r="H242" i="4"/>
  <c r="G242" i="4"/>
  <c r="B243" i="4"/>
  <c r="A242" i="4"/>
  <c r="E242" i="4"/>
  <c r="F242" i="4" s="1"/>
  <c r="C242" i="4"/>
  <c r="D242" i="4" s="1"/>
  <c r="B244" i="4" l="1"/>
  <c r="A243" i="4"/>
  <c r="E243" i="4"/>
  <c r="F243" i="4" s="1"/>
  <c r="C243" i="4"/>
  <c r="D243" i="4" s="1"/>
  <c r="J242" i="4"/>
  <c r="H243" i="4"/>
  <c r="I243" i="4"/>
  <c r="G243" i="4"/>
  <c r="J243" i="4" l="1"/>
  <c r="I244" i="4"/>
  <c r="H244" i="4"/>
  <c r="G244" i="4"/>
  <c r="B245" i="4"/>
  <c r="A244" i="4"/>
  <c r="E244" i="4"/>
  <c r="F244" i="4" s="1"/>
  <c r="C244" i="4"/>
  <c r="D244" i="4" s="1"/>
  <c r="J244" i="4" l="1"/>
  <c r="I245" i="4"/>
  <c r="H245" i="4"/>
  <c r="G245" i="4"/>
  <c r="B246" i="4"/>
  <c r="A245" i="4"/>
  <c r="E245" i="4"/>
  <c r="F245" i="4" s="1"/>
  <c r="C245" i="4"/>
  <c r="D245" i="4" s="1"/>
  <c r="A246" i="4" l="1"/>
  <c r="B247" i="4"/>
  <c r="E246" i="4"/>
  <c r="F246" i="4" s="1"/>
  <c r="C246" i="4"/>
  <c r="D246" i="4" s="1"/>
  <c r="J245" i="4"/>
  <c r="G246" i="4"/>
  <c r="H246" i="4"/>
  <c r="I246" i="4"/>
  <c r="J246" i="4" l="1"/>
  <c r="I247" i="4"/>
  <c r="G247" i="4"/>
  <c r="H247" i="4"/>
  <c r="B248" i="4"/>
  <c r="A247" i="4"/>
  <c r="E247" i="4"/>
  <c r="F247" i="4" s="1"/>
  <c r="C247" i="4"/>
  <c r="D247" i="4" s="1"/>
  <c r="B249" i="4" l="1"/>
  <c r="A248" i="4"/>
  <c r="E248" i="4"/>
  <c r="F248" i="4" s="1"/>
  <c r="C248" i="4"/>
  <c r="D248" i="4" s="1"/>
  <c r="J247" i="4"/>
  <c r="H248" i="4"/>
  <c r="G248" i="4"/>
  <c r="I248" i="4"/>
  <c r="J248" i="4" l="1"/>
  <c r="I249" i="4"/>
  <c r="H249" i="4"/>
  <c r="G249" i="4"/>
  <c r="B250" i="4"/>
  <c r="A249" i="4"/>
  <c r="E249" i="4"/>
  <c r="F249" i="4" s="1"/>
  <c r="C249" i="4"/>
  <c r="D249" i="4" s="1"/>
  <c r="B251" i="4" l="1"/>
  <c r="A250" i="4"/>
  <c r="E250" i="4"/>
  <c r="F250" i="4" s="1"/>
  <c r="C250" i="4"/>
  <c r="D250" i="4" s="1"/>
  <c r="J249" i="4"/>
  <c r="G250" i="4"/>
  <c r="I250" i="4"/>
  <c r="H250" i="4"/>
  <c r="J250" i="4" l="1"/>
  <c r="G251" i="4"/>
  <c r="I251" i="4"/>
  <c r="H251" i="4"/>
  <c r="B252" i="4"/>
  <c r="A251" i="4"/>
  <c r="E251" i="4"/>
  <c r="F251" i="4" s="1"/>
  <c r="C251" i="4"/>
  <c r="D251" i="4" s="1"/>
  <c r="B253" i="4" l="1"/>
  <c r="A252" i="4"/>
  <c r="E252" i="4"/>
  <c r="F252" i="4" s="1"/>
  <c r="C252" i="4"/>
  <c r="D252" i="4" s="1"/>
  <c r="J251" i="4"/>
  <c r="H252" i="4"/>
  <c r="I252" i="4"/>
  <c r="G252" i="4"/>
  <c r="J252" i="4" l="1"/>
  <c r="I253" i="4"/>
  <c r="H253" i="4"/>
  <c r="G253" i="4"/>
  <c r="B254" i="4"/>
  <c r="A253" i="4"/>
  <c r="E253" i="4"/>
  <c r="F253" i="4" s="1"/>
  <c r="C253" i="4"/>
  <c r="D253" i="4" s="1"/>
  <c r="A254" i="4" l="1"/>
  <c r="B255" i="4"/>
  <c r="E254" i="4"/>
  <c r="F254" i="4" s="1"/>
  <c r="C254" i="4"/>
  <c r="D254" i="4" s="1"/>
  <c r="J253" i="4"/>
  <c r="I254" i="4"/>
  <c r="H254" i="4"/>
  <c r="G254" i="4"/>
  <c r="J254" i="4" l="1"/>
  <c r="G255" i="4"/>
  <c r="H255" i="4"/>
  <c r="I255" i="4"/>
  <c r="B256" i="4"/>
  <c r="A255" i="4"/>
  <c r="E255" i="4"/>
  <c r="F255" i="4" s="1"/>
  <c r="C255" i="4"/>
  <c r="D255" i="4" s="1"/>
  <c r="B257" i="4" l="1"/>
  <c r="A256" i="4"/>
  <c r="E256" i="4"/>
  <c r="F256" i="4" s="1"/>
  <c r="C256" i="4"/>
  <c r="D256" i="4" s="1"/>
  <c r="J255" i="4"/>
  <c r="H256" i="4"/>
  <c r="G256" i="4"/>
  <c r="I256" i="4"/>
  <c r="J256" i="4" l="1"/>
  <c r="H257" i="4"/>
  <c r="G257" i="4"/>
  <c r="I257" i="4"/>
  <c r="B258" i="4"/>
  <c r="A257" i="4"/>
  <c r="E257" i="4"/>
  <c r="F257" i="4" s="1"/>
  <c r="C257" i="4"/>
  <c r="D257" i="4" s="1"/>
  <c r="A258" i="4" l="1"/>
  <c r="B259" i="4"/>
  <c r="E258" i="4"/>
  <c r="F258" i="4" s="1"/>
  <c r="C258" i="4"/>
  <c r="D258" i="4" s="1"/>
  <c r="J257" i="4"/>
  <c r="I258" i="4"/>
  <c r="H258" i="4"/>
  <c r="G258" i="4"/>
  <c r="J258" i="4" l="1"/>
  <c r="I259" i="4"/>
  <c r="H259" i="4"/>
  <c r="G259" i="4"/>
  <c r="B260" i="4"/>
  <c r="A259" i="4"/>
  <c r="E259" i="4"/>
  <c r="F259" i="4" s="1"/>
  <c r="C259" i="4"/>
  <c r="D259" i="4" s="1"/>
  <c r="J259" i="4" l="1"/>
  <c r="G260" i="4"/>
  <c r="I260" i="4"/>
  <c r="H260" i="4"/>
  <c r="B261" i="4"/>
  <c r="A260" i="4"/>
  <c r="E260" i="4"/>
  <c r="F260" i="4" s="1"/>
  <c r="C260" i="4"/>
  <c r="D260" i="4" s="1"/>
  <c r="J260" i="4" l="1"/>
  <c r="I261" i="4"/>
  <c r="H261" i="4"/>
  <c r="G261" i="4"/>
  <c r="B262" i="4"/>
  <c r="A261" i="4"/>
  <c r="E261" i="4"/>
  <c r="F261" i="4" s="1"/>
  <c r="C261" i="4"/>
  <c r="D261" i="4" s="1"/>
  <c r="A262" i="4" l="1"/>
  <c r="B263" i="4"/>
  <c r="E262" i="4"/>
  <c r="F262" i="4" s="1"/>
  <c r="C262" i="4"/>
  <c r="D262" i="4" s="1"/>
  <c r="J261" i="4"/>
  <c r="H262" i="4"/>
  <c r="G262" i="4"/>
  <c r="I262" i="4"/>
  <c r="J262" i="4" l="1"/>
  <c r="I263" i="4"/>
  <c r="H263" i="4"/>
  <c r="G263" i="4"/>
  <c r="B264" i="4"/>
  <c r="A263" i="4"/>
  <c r="E263" i="4"/>
  <c r="F263" i="4" s="1"/>
  <c r="C263" i="4"/>
  <c r="D263" i="4" s="1"/>
  <c r="B265" i="4" l="1"/>
  <c r="A264" i="4"/>
  <c r="E264" i="4"/>
  <c r="F264" i="4" s="1"/>
  <c r="C264" i="4"/>
  <c r="D264" i="4" s="1"/>
  <c r="J263" i="4"/>
  <c r="G264" i="4"/>
  <c r="H264" i="4"/>
  <c r="I264" i="4"/>
  <c r="J264" i="4" l="1"/>
  <c r="I265" i="4"/>
  <c r="G265" i="4"/>
  <c r="H265" i="4"/>
  <c r="B266" i="4"/>
  <c r="A265" i="4"/>
  <c r="E265" i="4"/>
  <c r="F265" i="4" s="1"/>
  <c r="C265" i="4"/>
  <c r="D265" i="4" s="1"/>
  <c r="A266" i="4" l="1"/>
  <c r="B267" i="4"/>
  <c r="E266" i="4"/>
  <c r="F266" i="4" s="1"/>
  <c r="C266" i="4"/>
  <c r="D266" i="4" s="1"/>
  <c r="J265" i="4"/>
  <c r="H266" i="4"/>
  <c r="G266" i="4"/>
  <c r="I266" i="4"/>
  <c r="J266" i="4" l="1"/>
  <c r="H267" i="4"/>
  <c r="I267" i="4"/>
  <c r="G267" i="4"/>
  <c r="B268" i="4"/>
  <c r="A267" i="4"/>
  <c r="E267" i="4"/>
  <c r="F267" i="4" s="1"/>
  <c r="C267" i="4"/>
  <c r="D267" i="4" s="1"/>
  <c r="B269" i="4" l="1"/>
  <c r="A268" i="4"/>
  <c r="E268" i="4"/>
  <c r="F268" i="4" s="1"/>
  <c r="C268" i="4"/>
  <c r="D268" i="4" s="1"/>
  <c r="J267" i="4"/>
  <c r="G268" i="4"/>
  <c r="H268" i="4"/>
  <c r="I268" i="4"/>
  <c r="J268" i="4" l="1"/>
  <c r="I269" i="4"/>
  <c r="G269" i="4"/>
  <c r="H269" i="4"/>
  <c r="B270" i="4"/>
  <c r="A269" i="4"/>
  <c r="E269" i="4"/>
  <c r="F269" i="4" s="1"/>
  <c r="C269" i="4"/>
  <c r="D269" i="4" s="1"/>
  <c r="A270" i="4" l="1"/>
  <c r="B271" i="4"/>
  <c r="E270" i="4"/>
  <c r="F270" i="4" s="1"/>
  <c r="C270" i="4"/>
  <c r="D270" i="4" s="1"/>
  <c r="J269" i="4"/>
  <c r="I270" i="4"/>
  <c r="G270" i="4"/>
  <c r="H270" i="4"/>
  <c r="J270" i="4" l="1"/>
  <c r="G271" i="4"/>
  <c r="H271" i="4"/>
  <c r="I271" i="4"/>
  <c r="B272" i="4"/>
  <c r="A271" i="4"/>
  <c r="E271" i="4"/>
  <c r="F271" i="4" s="1"/>
  <c r="C271" i="4"/>
  <c r="D271" i="4" s="1"/>
  <c r="B273" i="4" l="1"/>
  <c r="A272" i="4"/>
  <c r="E272" i="4"/>
  <c r="F272" i="4" s="1"/>
  <c r="C272" i="4"/>
  <c r="D272" i="4" s="1"/>
  <c r="J271" i="4"/>
  <c r="H272" i="4"/>
  <c r="I272" i="4"/>
  <c r="G272" i="4"/>
  <c r="J272" i="4" l="1"/>
  <c r="I273" i="4"/>
  <c r="G273" i="4"/>
  <c r="H273" i="4"/>
  <c r="B274" i="4"/>
  <c r="A273" i="4"/>
  <c r="E273" i="4"/>
  <c r="F273" i="4" s="1"/>
  <c r="C273" i="4"/>
  <c r="D273" i="4" s="1"/>
  <c r="A274" i="4" l="1"/>
  <c r="B275" i="4"/>
  <c r="E274" i="4"/>
  <c r="F274" i="4" s="1"/>
  <c r="C274" i="4"/>
  <c r="D274" i="4" s="1"/>
  <c r="J273" i="4"/>
  <c r="H274" i="4"/>
  <c r="G274" i="4"/>
  <c r="I274" i="4"/>
  <c r="J274" i="4" l="1"/>
  <c r="H275" i="4"/>
  <c r="I275" i="4"/>
  <c r="G275" i="4"/>
  <c r="B276" i="4"/>
  <c r="A275" i="4"/>
  <c r="E275" i="4"/>
  <c r="F275" i="4" s="1"/>
  <c r="C275" i="4"/>
  <c r="D275" i="4" s="1"/>
  <c r="J275" i="4" l="1"/>
  <c r="G276" i="4"/>
  <c r="H276" i="4"/>
  <c r="I276" i="4"/>
  <c r="B277" i="4"/>
  <c r="A276" i="4"/>
  <c r="E276" i="4"/>
  <c r="F276" i="4" s="1"/>
  <c r="C276" i="4"/>
  <c r="D276" i="4" s="1"/>
  <c r="A277" i="4" l="1"/>
  <c r="B278" i="4"/>
  <c r="E277" i="4"/>
  <c r="F277" i="4" s="1"/>
  <c r="C277" i="4"/>
  <c r="D277" i="4" s="1"/>
  <c r="J276" i="4"/>
  <c r="H277" i="4"/>
  <c r="G277" i="4"/>
  <c r="I277" i="4"/>
  <c r="J277" i="4" l="1"/>
  <c r="G278" i="4"/>
  <c r="I278" i="4"/>
  <c r="H278" i="4"/>
  <c r="A278" i="4"/>
  <c r="B279" i="4"/>
  <c r="E278" i="4"/>
  <c r="F278" i="4" s="1"/>
  <c r="C278" i="4"/>
  <c r="D278" i="4" s="1"/>
  <c r="B280" i="4" l="1"/>
  <c r="A279" i="4"/>
  <c r="E279" i="4"/>
  <c r="F279" i="4" s="1"/>
  <c r="C279" i="4"/>
  <c r="D279" i="4" s="1"/>
  <c r="J278" i="4"/>
  <c r="I279" i="4"/>
  <c r="G279" i="4"/>
  <c r="H279" i="4"/>
  <c r="J279" i="4" l="1"/>
  <c r="G280" i="4"/>
  <c r="I280" i="4"/>
  <c r="H280" i="4"/>
  <c r="B281" i="4"/>
  <c r="A280" i="4"/>
  <c r="E280" i="4"/>
  <c r="F280" i="4" s="1"/>
  <c r="C280" i="4"/>
  <c r="D280" i="4" s="1"/>
  <c r="A281" i="4" l="1"/>
  <c r="B282" i="4"/>
  <c r="E281" i="4"/>
  <c r="F281" i="4" s="1"/>
  <c r="C281" i="4"/>
  <c r="D281" i="4" s="1"/>
  <c r="J280" i="4"/>
  <c r="I281" i="4"/>
  <c r="G281" i="4"/>
  <c r="H281" i="4"/>
  <c r="J281" i="4" l="1"/>
  <c r="I282" i="4"/>
  <c r="G282" i="4"/>
  <c r="H282" i="4"/>
  <c r="A282" i="4"/>
  <c r="B283" i="4"/>
  <c r="E282" i="4"/>
  <c r="F282" i="4" s="1"/>
  <c r="C282" i="4"/>
  <c r="D282" i="4" s="1"/>
  <c r="B284" i="4" l="1"/>
  <c r="A283" i="4"/>
  <c r="E283" i="4"/>
  <c r="F283" i="4" s="1"/>
  <c r="C283" i="4"/>
  <c r="D283" i="4" s="1"/>
  <c r="J282" i="4"/>
  <c r="I283" i="4"/>
  <c r="G283" i="4"/>
  <c r="H283" i="4"/>
  <c r="J283" i="4" l="1"/>
  <c r="I284" i="4"/>
  <c r="G284" i="4"/>
  <c r="H284" i="4"/>
  <c r="A284" i="4"/>
  <c r="B285" i="4"/>
  <c r="E284" i="4"/>
  <c r="F284" i="4" s="1"/>
  <c r="C284" i="4"/>
  <c r="D284" i="4" s="1"/>
  <c r="A285" i="4" l="1"/>
  <c r="B286" i="4"/>
  <c r="E285" i="4"/>
  <c r="F285" i="4" s="1"/>
  <c r="C285" i="4"/>
  <c r="D285" i="4" s="1"/>
  <c r="J284" i="4"/>
  <c r="I285" i="4"/>
  <c r="H285" i="4"/>
  <c r="G285" i="4"/>
  <c r="J285" i="4" l="1"/>
  <c r="I286" i="4"/>
  <c r="H286" i="4"/>
  <c r="G286" i="4"/>
  <c r="A286" i="4"/>
  <c r="B287" i="4"/>
  <c r="E286" i="4"/>
  <c r="F286" i="4" s="1"/>
  <c r="C286" i="4"/>
  <c r="D286" i="4" s="1"/>
  <c r="J286" i="4" l="1"/>
  <c r="I287" i="4"/>
  <c r="H287" i="4"/>
  <c r="G287" i="4"/>
  <c r="B288" i="4"/>
  <c r="A287" i="4"/>
  <c r="E287" i="4"/>
  <c r="F287" i="4" s="1"/>
  <c r="C287" i="4"/>
  <c r="D287" i="4" s="1"/>
  <c r="B289" i="4" l="1"/>
  <c r="A288" i="4"/>
  <c r="E288" i="4"/>
  <c r="F288" i="4" s="1"/>
  <c r="C288" i="4"/>
  <c r="D288" i="4" s="1"/>
  <c r="J287" i="4"/>
  <c r="G288" i="4"/>
  <c r="H288" i="4"/>
  <c r="I288" i="4"/>
  <c r="J288" i="4" l="1"/>
  <c r="H289" i="4"/>
  <c r="I289" i="4"/>
  <c r="G289" i="4"/>
  <c r="A289" i="4"/>
  <c r="B290" i="4"/>
  <c r="E289" i="4"/>
  <c r="F289" i="4" s="1"/>
  <c r="C289" i="4"/>
  <c r="D289" i="4" s="1"/>
  <c r="A290" i="4" l="1"/>
  <c r="B291" i="4"/>
  <c r="E290" i="4"/>
  <c r="F290" i="4" s="1"/>
  <c r="C290" i="4"/>
  <c r="D290" i="4" s="1"/>
  <c r="J289" i="4"/>
  <c r="I290" i="4"/>
  <c r="H290" i="4"/>
  <c r="G290" i="4"/>
  <c r="J290" i="4" l="1"/>
  <c r="H291" i="4"/>
  <c r="G291" i="4"/>
  <c r="I291" i="4"/>
  <c r="B292" i="4"/>
  <c r="A291" i="4"/>
  <c r="E291" i="4"/>
  <c r="F291" i="4" s="1"/>
  <c r="C291" i="4"/>
  <c r="D291" i="4" s="1"/>
  <c r="A292" i="4" l="1"/>
  <c r="B293" i="4"/>
  <c r="E292" i="4"/>
  <c r="F292" i="4" s="1"/>
  <c r="C292" i="4"/>
  <c r="D292" i="4" s="1"/>
  <c r="J291" i="4"/>
  <c r="I292" i="4"/>
  <c r="G292" i="4"/>
  <c r="H292" i="4"/>
  <c r="J292" i="4" l="1"/>
  <c r="H293" i="4"/>
  <c r="I293" i="4"/>
  <c r="G293" i="4"/>
  <c r="A293" i="4"/>
  <c r="B294" i="4"/>
  <c r="E293" i="4"/>
  <c r="F293" i="4" s="1"/>
  <c r="C293" i="4"/>
  <c r="D293" i="4" s="1"/>
  <c r="J293" i="4" l="1"/>
  <c r="H294" i="4"/>
  <c r="G294" i="4"/>
  <c r="I294" i="4"/>
  <c r="A294" i="4"/>
  <c r="B295" i="4"/>
  <c r="E294" i="4"/>
  <c r="F294" i="4" s="1"/>
  <c r="C294" i="4"/>
  <c r="D294" i="4" s="1"/>
  <c r="B296" i="4" l="1"/>
  <c r="A295" i="4"/>
  <c r="E295" i="4"/>
  <c r="F295" i="4" s="1"/>
  <c r="C295" i="4"/>
  <c r="D295" i="4" s="1"/>
  <c r="J294" i="4"/>
  <c r="G295" i="4"/>
  <c r="I295" i="4"/>
  <c r="H295" i="4"/>
  <c r="J295" i="4" l="1"/>
  <c r="H296" i="4"/>
  <c r="G296" i="4"/>
  <c r="I296" i="4"/>
  <c r="B297" i="4"/>
  <c r="A296" i="4"/>
  <c r="E296" i="4"/>
  <c r="F296" i="4" s="1"/>
  <c r="C296" i="4"/>
  <c r="D296" i="4" s="1"/>
  <c r="A297" i="4" l="1"/>
  <c r="B298" i="4"/>
  <c r="E297" i="4"/>
  <c r="F297" i="4" s="1"/>
  <c r="C297" i="4"/>
  <c r="D297" i="4" s="1"/>
  <c r="J296" i="4"/>
  <c r="H297" i="4"/>
  <c r="I297" i="4"/>
  <c r="G297" i="4"/>
  <c r="J297" i="4" l="1"/>
  <c r="I298" i="4"/>
  <c r="G298" i="4"/>
  <c r="H298" i="4"/>
  <c r="A298" i="4"/>
  <c r="B299" i="4"/>
  <c r="E298" i="4"/>
  <c r="F298" i="4" s="1"/>
  <c r="C298" i="4"/>
  <c r="D298" i="4" s="1"/>
  <c r="B300" i="4" l="1"/>
  <c r="A299" i="4"/>
  <c r="E299" i="4"/>
  <c r="F299" i="4" s="1"/>
  <c r="C299" i="4"/>
  <c r="D299" i="4" s="1"/>
  <c r="J298" i="4"/>
  <c r="I299" i="4"/>
  <c r="G299" i="4"/>
  <c r="H299" i="4"/>
  <c r="J299" i="4" l="1"/>
  <c r="G300" i="4"/>
  <c r="I300" i="4"/>
  <c r="H300" i="4"/>
  <c r="A300" i="4"/>
  <c r="B301" i="4"/>
  <c r="E300" i="4"/>
  <c r="F300" i="4" s="1"/>
  <c r="C300" i="4"/>
  <c r="D300" i="4" s="1"/>
  <c r="J300" i="4" l="1"/>
  <c r="I301" i="4"/>
  <c r="G301" i="4"/>
  <c r="H301" i="4"/>
  <c r="A301" i="4"/>
  <c r="B302" i="4"/>
  <c r="E301" i="4"/>
  <c r="F301" i="4" s="1"/>
  <c r="C301" i="4"/>
  <c r="D301" i="4" s="1"/>
  <c r="A302" i="4" l="1"/>
  <c r="B303" i="4"/>
  <c r="E302" i="4"/>
  <c r="F302" i="4" s="1"/>
  <c r="C302" i="4"/>
  <c r="D302" i="4" s="1"/>
  <c r="J301" i="4"/>
  <c r="H302" i="4"/>
  <c r="G302" i="4"/>
  <c r="I302" i="4"/>
  <c r="J302" i="4" l="1"/>
  <c r="I303" i="4"/>
  <c r="G303" i="4"/>
  <c r="H303" i="4"/>
  <c r="B304" i="4"/>
  <c r="A303" i="4"/>
  <c r="E303" i="4"/>
  <c r="F303" i="4" s="1"/>
  <c r="C303" i="4"/>
  <c r="D303" i="4" s="1"/>
  <c r="B305" i="4" l="1"/>
  <c r="A304" i="4"/>
  <c r="E304" i="4"/>
  <c r="F304" i="4" s="1"/>
  <c r="C304" i="4"/>
  <c r="D304" i="4" s="1"/>
  <c r="J303" i="4"/>
  <c r="G304" i="4"/>
  <c r="H304" i="4"/>
  <c r="I304" i="4"/>
  <c r="J304" i="4" l="1"/>
  <c r="G305" i="4"/>
  <c r="H305" i="4"/>
  <c r="I305" i="4"/>
  <c r="A305" i="4"/>
  <c r="B306" i="4"/>
  <c r="E305" i="4"/>
  <c r="F305" i="4" s="1"/>
  <c r="C305" i="4"/>
  <c r="D305" i="4" s="1"/>
  <c r="A306" i="4" l="1"/>
  <c r="B307" i="4"/>
  <c r="E306" i="4"/>
  <c r="F306" i="4" s="1"/>
  <c r="C306" i="4"/>
  <c r="D306" i="4" s="1"/>
  <c r="J305" i="4"/>
  <c r="I306" i="4"/>
  <c r="H306" i="4"/>
  <c r="G306" i="4"/>
  <c r="J306" i="4" l="1"/>
  <c r="G307" i="4"/>
  <c r="I307" i="4"/>
  <c r="H307" i="4"/>
  <c r="B308" i="4"/>
  <c r="A307" i="4"/>
  <c r="E307" i="4"/>
  <c r="F307" i="4" s="1"/>
  <c r="C307" i="4"/>
  <c r="D307" i="4" s="1"/>
  <c r="A308" i="4" l="1"/>
  <c r="B309" i="4"/>
  <c r="E308" i="4"/>
  <c r="F308" i="4" s="1"/>
  <c r="C308" i="4"/>
  <c r="D308" i="4" s="1"/>
  <c r="J307" i="4"/>
  <c r="I308" i="4"/>
  <c r="H308" i="4"/>
  <c r="G308" i="4"/>
  <c r="J308" i="4" l="1"/>
  <c r="H309" i="4"/>
  <c r="G309" i="4"/>
  <c r="I309" i="4"/>
  <c r="A309" i="4"/>
  <c r="B310" i="4"/>
  <c r="E309" i="4"/>
  <c r="F309" i="4" s="1"/>
  <c r="C309" i="4"/>
  <c r="D309" i="4" s="1"/>
  <c r="A310" i="4" l="1"/>
  <c r="B311" i="4"/>
  <c r="E310" i="4"/>
  <c r="F310" i="4" s="1"/>
  <c r="C310" i="4"/>
  <c r="D310" i="4" s="1"/>
  <c r="J309" i="4"/>
  <c r="H310" i="4"/>
  <c r="G310" i="4"/>
  <c r="I310" i="4"/>
  <c r="J310" i="4" l="1"/>
  <c r="G311" i="4"/>
  <c r="I311" i="4"/>
  <c r="H311" i="4"/>
  <c r="B312" i="4"/>
  <c r="A311" i="4"/>
  <c r="E311" i="4"/>
  <c r="F311" i="4" s="1"/>
  <c r="C311" i="4"/>
  <c r="D311" i="4" s="1"/>
  <c r="B313" i="4" l="1"/>
  <c r="A312" i="4"/>
  <c r="E312" i="4"/>
  <c r="F312" i="4" s="1"/>
  <c r="C312" i="4"/>
  <c r="D312" i="4" s="1"/>
  <c r="J311" i="4"/>
  <c r="I312" i="4"/>
  <c r="H312" i="4"/>
  <c r="G312" i="4"/>
  <c r="J312" i="4" l="1"/>
  <c r="G313" i="4"/>
  <c r="I313" i="4"/>
  <c r="H313" i="4"/>
  <c r="A313" i="4"/>
  <c r="B314" i="4"/>
  <c r="E313" i="4"/>
  <c r="F313" i="4" s="1"/>
  <c r="C313" i="4"/>
  <c r="D313" i="4" s="1"/>
  <c r="A314" i="4" l="1"/>
  <c r="B315" i="4"/>
  <c r="E314" i="4"/>
  <c r="F314" i="4" s="1"/>
  <c r="C314" i="4"/>
  <c r="D314" i="4" s="1"/>
  <c r="J313" i="4"/>
  <c r="I314" i="4"/>
  <c r="H314" i="4"/>
  <c r="G314" i="4"/>
  <c r="J314" i="4" l="1"/>
  <c r="H315" i="4"/>
  <c r="I315" i="4"/>
  <c r="G315" i="4"/>
  <c r="B316" i="4"/>
  <c r="A315" i="4"/>
  <c r="E315" i="4"/>
  <c r="F315" i="4" s="1"/>
  <c r="C315" i="4"/>
  <c r="D315" i="4" s="1"/>
  <c r="A316" i="4" l="1"/>
  <c r="B317" i="4"/>
  <c r="E316" i="4"/>
  <c r="F316" i="4" s="1"/>
  <c r="C316" i="4"/>
  <c r="D316" i="4" s="1"/>
  <c r="J315" i="4"/>
  <c r="I316" i="4"/>
  <c r="G316" i="4"/>
  <c r="H316" i="4"/>
  <c r="J316" i="4" l="1"/>
  <c r="I317" i="4"/>
  <c r="G317" i="4"/>
  <c r="H317" i="4"/>
  <c r="A317" i="4"/>
  <c r="B318" i="4"/>
  <c r="E317" i="4"/>
  <c r="F317" i="4" s="1"/>
  <c r="C317" i="4"/>
  <c r="D317" i="4" s="1"/>
  <c r="A318" i="4" l="1"/>
  <c r="B319" i="4"/>
  <c r="E318" i="4"/>
  <c r="F318" i="4" s="1"/>
  <c r="C318" i="4"/>
  <c r="D318" i="4" s="1"/>
  <c r="J317" i="4"/>
  <c r="H318" i="4"/>
  <c r="G318" i="4"/>
  <c r="I318" i="4"/>
  <c r="J318" i="4" l="1"/>
  <c r="I319" i="4"/>
  <c r="G319" i="4"/>
  <c r="H319" i="4"/>
  <c r="B320" i="4"/>
  <c r="A319" i="4"/>
  <c r="E319" i="4"/>
  <c r="F319" i="4" s="1"/>
  <c r="C319" i="4"/>
  <c r="D319" i="4" s="1"/>
  <c r="J319" i="4" l="1"/>
  <c r="H320" i="4"/>
  <c r="G320" i="4"/>
  <c r="I320" i="4"/>
  <c r="B321" i="4"/>
  <c r="A320" i="4"/>
  <c r="E320" i="4"/>
  <c r="F320" i="4" s="1"/>
  <c r="C320" i="4"/>
  <c r="D320" i="4" s="1"/>
  <c r="A321" i="4" l="1"/>
  <c r="B322" i="4"/>
  <c r="E321" i="4"/>
  <c r="F321" i="4" s="1"/>
  <c r="C321" i="4"/>
  <c r="D321" i="4" s="1"/>
  <c r="J320" i="4"/>
  <c r="I321" i="4"/>
  <c r="G321" i="4"/>
  <c r="H321" i="4"/>
  <c r="J321" i="4" l="1"/>
  <c r="H322" i="4"/>
  <c r="I322" i="4"/>
  <c r="G322" i="4"/>
  <c r="A322" i="4"/>
  <c r="B323" i="4"/>
  <c r="E322" i="4"/>
  <c r="F322" i="4" s="1"/>
  <c r="C322" i="4"/>
  <c r="D322" i="4" s="1"/>
  <c r="J322" i="4" l="1"/>
  <c r="G323" i="4"/>
  <c r="I323" i="4"/>
  <c r="H323" i="4"/>
  <c r="B324" i="4"/>
  <c r="A323" i="4"/>
  <c r="E323" i="4"/>
  <c r="F323" i="4" s="1"/>
  <c r="C323" i="4"/>
  <c r="D323" i="4" s="1"/>
  <c r="A324" i="4" l="1"/>
  <c r="B325" i="4"/>
  <c r="E324" i="4"/>
  <c r="F324" i="4" s="1"/>
  <c r="C324" i="4"/>
  <c r="D324" i="4" s="1"/>
  <c r="J323" i="4"/>
  <c r="I324" i="4"/>
  <c r="G324" i="4"/>
  <c r="H324" i="4"/>
  <c r="J324" i="4" l="1"/>
  <c r="H325" i="4"/>
  <c r="G325" i="4"/>
  <c r="I325" i="4"/>
  <c r="A325" i="4"/>
  <c r="B326" i="4"/>
  <c r="E325" i="4"/>
  <c r="F325" i="4" s="1"/>
  <c r="C325" i="4"/>
  <c r="D325" i="4" s="1"/>
  <c r="A326" i="4" l="1"/>
  <c r="B327" i="4"/>
  <c r="E326" i="4"/>
  <c r="F326" i="4" s="1"/>
  <c r="C326" i="4"/>
  <c r="D326" i="4" s="1"/>
  <c r="J325" i="4"/>
  <c r="H326" i="4"/>
  <c r="G326" i="4"/>
  <c r="I326" i="4"/>
  <c r="J326" i="4" l="1"/>
  <c r="H327" i="4"/>
  <c r="I327" i="4"/>
  <c r="G327" i="4"/>
  <c r="A327" i="4"/>
  <c r="B328" i="4"/>
  <c r="E327" i="4"/>
  <c r="F327" i="4" s="1"/>
  <c r="C327" i="4"/>
  <c r="D327" i="4" s="1"/>
  <c r="B329" i="4" l="1"/>
  <c r="A328" i="4"/>
  <c r="E328" i="4"/>
  <c r="F328" i="4" s="1"/>
  <c r="C328" i="4"/>
  <c r="D328" i="4" s="1"/>
  <c r="J327" i="4"/>
  <c r="H328" i="4"/>
  <c r="G328" i="4"/>
  <c r="I328" i="4"/>
  <c r="J328" i="4" l="1"/>
  <c r="I329" i="4"/>
  <c r="G329" i="4"/>
  <c r="H329" i="4"/>
  <c r="A329" i="4"/>
  <c r="B330" i="4"/>
  <c r="E329" i="4"/>
  <c r="F329" i="4" s="1"/>
  <c r="C329" i="4"/>
  <c r="D329" i="4" s="1"/>
  <c r="B331" i="4" l="1"/>
  <c r="A330" i="4"/>
  <c r="E330" i="4"/>
  <c r="F330" i="4" s="1"/>
  <c r="C330" i="4"/>
  <c r="D330" i="4" s="1"/>
  <c r="J329" i="4"/>
  <c r="H330" i="4"/>
  <c r="I330" i="4"/>
  <c r="G330" i="4"/>
  <c r="J330" i="4" l="1"/>
  <c r="I331" i="4"/>
  <c r="G331" i="4"/>
  <c r="H331" i="4"/>
  <c r="B332" i="4"/>
  <c r="A331" i="4"/>
  <c r="E331" i="4"/>
  <c r="F331" i="4" s="1"/>
  <c r="C331" i="4"/>
  <c r="D331" i="4" s="1"/>
  <c r="B333" i="4" l="1"/>
  <c r="A332" i="4"/>
  <c r="E332" i="4"/>
  <c r="F332" i="4" s="1"/>
  <c r="C332" i="4"/>
  <c r="D332" i="4" s="1"/>
  <c r="J331" i="4"/>
  <c r="G332" i="4"/>
  <c r="I332" i="4"/>
  <c r="H332" i="4"/>
  <c r="J332" i="4" l="1"/>
  <c r="I333" i="4"/>
  <c r="G333" i="4"/>
  <c r="H333" i="4"/>
  <c r="A333" i="4"/>
  <c r="B334" i="4"/>
  <c r="E333" i="4"/>
  <c r="F333" i="4" s="1"/>
  <c r="C333" i="4"/>
  <c r="D333" i="4" s="1"/>
  <c r="J333" i="4" l="1"/>
  <c r="H334" i="4"/>
  <c r="G334" i="4"/>
  <c r="I334" i="4"/>
  <c r="B335" i="4"/>
  <c r="A334" i="4"/>
  <c r="E334" i="4"/>
  <c r="F334" i="4" s="1"/>
  <c r="C334" i="4"/>
  <c r="D334" i="4" s="1"/>
  <c r="B336" i="4" l="1"/>
  <c r="A335" i="4"/>
  <c r="E335" i="4"/>
  <c r="F335" i="4" s="1"/>
  <c r="C335" i="4"/>
  <c r="D335" i="4" s="1"/>
  <c r="J334" i="4"/>
  <c r="I335" i="4"/>
  <c r="G335" i="4"/>
  <c r="H335" i="4"/>
  <c r="J335" i="4" l="1"/>
  <c r="G336" i="4"/>
  <c r="I336" i="4"/>
  <c r="H336" i="4"/>
  <c r="B337" i="4"/>
  <c r="A336" i="4"/>
  <c r="E336" i="4"/>
  <c r="F336" i="4" s="1"/>
  <c r="C336" i="4"/>
  <c r="D336" i="4" s="1"/>
  <c r="A337" i="4" l="1"/>
  <c r="B338" i="4"/>
  <c r="E337" i="4"/>
  <c r="F337" i="4" s="1"/>
  <c r="C337" i="4"/>
  <c r="D337" i="4" s="1"/>
  <c r="J336" i="4"/>
  <c r="G337" i="4"/>
  <c r="H337" i="4"/>
  <c r="I337" i="4"/>
  <c r="J337" i="4" l="1"/>
  <c r="H338" i="4"/>
  <c r="I338" i="4"/>
  <c r="G338" i="4"/>
  <c r="A338" i="4"/>
  <c r="B339" i="4"/>
  <c r="E338" i="4"/>
  <c r="F338" i="4" s="1"/>
  <c r="C338" i="4"/>
  <c r="D338" i="4" s="1"/>
  <c r="J338" i="4" l="1"/>
  <c r="I339" i="4"/>
  <c r="G339" i="4"/>
  <c r="H339" i="4"/>
  <c r="B340" i="4"/>
  <c r="A339" i="4"/>
  <c r="E339" i="4"/>
  <c r="F339" i="4" s="1"/>
  <c r="C339" i="4"/>
  <c r="D339" i="4" s="1"/>
  <c r="B341" i="4" l="1"/>
  <c r="A340" i="4"/>
  <c r="E340" i="4"/>
  <c r="F340" i="4" s="1"/>
  <c r="C340" i="4"/>
  <c r="D340" i="4" s="1"/>
  <c r="J339" i="4"/>
  <c r="I340" i="4"/>
  <c r="H340" i="4"/>
  <c r="G340" i="4"/>
  <c r="J340" i="4" l="1"/>
  <c r="H341" i="4"/>
  <c r="I341" i="4"/>
  <c r="G341" i="4"/>
  <c r="A341" i="4"/>
  <c r="B342" i="4"/>
  <c r="E341" i="4"/>
  <c r="F341" i="4" s="1"/>
  <c r="C341" i="4"/>
  <c r="D341" i="4" s="1"/>
  <c r="J341" i="4" l="1"/>
  <c r="G342" i="4"/>
  <c r="I342" i="4"/>
  <c r="H342" i="4"/>
  <c r="B343" i="4"/>
  <c r="A342" i="4"/>
  <c r="E342" i="4"/>
  <c r="F342" i="4" s="1"/>
  <c r="C342" i="4"/>
  <c r="D342" i="4" s="1"/>
  <c r="B344" i="4" l="1"/>
  <c r="A343" i="4"/>
  <c r="E343" i="4"/>
  <c r="F343" i="4" s="1"/>
  <c r="C343" i="4"/>
  <c r="D343" i="4" s="1"/>
  <c r="J342" i="4"/>
  <c r="H343" i="4"/>
  <c r="I343" i="4"/>
  <c r="G343" i="4"/>
  <c r="J343" i="4" l="1"/>
  <c r="H344" i="4"/>
  <c r="I344" i="4"/>
  <c r="G344" i="4"/>
  <c r="B345" i="4"/>
  <c r="A344" i="4"/>
  <c r="E344" i="4"/>
  <c r="F344" i="4" s="1"/>
  <c r="C344" i="4"/>
  <c r="D344" i="4" s="1"/>
  <c r="A345" i="4" l="1"/>
  <c r="B346" i="4"/>
  <c r="E345" i="4"/>
  <c r="F345" i="4" s="1"/>
  <c r="C345" i="4"/>
  <c r="D345" i="4" s="1"/>
  <c r="J344" i="4"/>
  <c r="I345" i="4"/>
  <c r="H345" i="4"/>
  <c r="G345" i="4"/>
  <c r="J345" i="4" l="1"/>
  <c r="G346" i="4"/>
  <c r="I346" i="4"/>
  <c r="H346" i="4"/>
  <c r="A346" i="4"/>
  <c r="B347" i="4"/>
  <c r="E346" i="4"/>
  <c r="F346" i="4" s="1"/>
  <c r="C346" i="4"/>
  <c r="D346" i="4" s="1"/>
  <c r="B348" i="4" l="1"/>
  <c r="A347" i="4"/>
  <c r="E347" i="4"/>
  <c r="F347" i="4" s="1"/>
  <c r="C347" i="4"/>
  <c r="D347" i="4" s="1"/>
  <c r="J346" i="4"/>
  <c r="I347" i="4"/>
  <c r="G347" i="4"/>
  <c r="H347" i="4"/>
  <c r="J347" i="4" l="1"/>
  <c r="G348" i="4"/>
  <c r="H348" i="4"/>
  <c r="I348" i="4"/>
  <c r="B349" i="4"/>
  <c r="A348" i="4"/>
  <c r="E348" i="4"/>
  <c r="F348" i="4" s="1"/>
  <c r="C348" i="4"/>
  <c r="D348" i="4" s="1"/>
  <c r="A349" i="4" l="1"/>
  <c r="B350" i="4"/>
  <c r="E349" i="4"/>
  <c r="F349" i="4" s="1"/>
  <c r="C349" i="4"/>
  <c r="D349" i="4" s="1"/>
  <c r="J348" i="4"/>
  <c r="I349" i="4"/>
  <c r="H349" i="4"/>
  <c r="G349" i="4"/>
  <c r="J349" i="4" l="1"/>
  <c r="G350" i="4"/>
  <c r="I350" i="4"/>
  <c r="H350" i="4"/>
  <c r="A350" i="4"/>
  <c r="B351" i="4"/>
  <c r="E350" i="4"/>
  <c r="F350" i="4" s="1"/>
  <c r="C350" i="4"/>
  <c r="D350" i="4" s="1"/>
  <c r="J350" i="4" l="1"/>
  <c r="I351" i="4"/>
  <c r="H351" i="4"/>
  <c r="G351" i="4"/>
  <c r="B352" i="4"/>
  <c r="A351" i="4"/>
  <c r="E351" i="4"/>
  <c r="F351" i="4" s="1"/>
  <c r="C351" i="4"/>
  <c r="D351" i="4" s="1"/>
  <c r="B353" i="4" l="1"/>
  <c r="A352" i="4"/>
  <c r="E352" i="4"/>
  <c r="F352" i="4" s="1"/>
  <c r="C352" i="4"/>
  <c r="D352" i="4" s="1"/>
  <c r="J351" i="4"/>
  <c r="G352" i="4"/>
  <c r="H352" i="4"/>
  <c r="I352" i="4"/>
  <c r="J352" i="4" l="1"/>
  <c r="G353" i="4"/>
  <c r="H353" i="4"/>
  <c r="I353" i="4"/>
  <c r="A353" i="4"/>
  <c r="B354" i="4"/>
  <c r="E353" i="4"/>
  <c r="F353" i="4" s="1"/>
  <c r="C353" i="4"/>
  <c r="D353" i="4" s="1"/>
  <c r="B355" i="4" l="1"/>
  <c r="A354" i="4"/>
  <c r="E354" i="4"/>
  <c r="F354" i="4" s="1"/>
  <c r="C354" i="4"/>
  <c r="D354" i="4" s="1"/>
  <c r="J353" i="4"/>
  <c r="H354" i="4"/>
  <c r="G354" i="4"/>
  <c r="I354" i="4"/>
  <c r="J354" i="4" l="1"/>
  <c r="H355" i="4"/>
  <c r="I355" i="4"/>
  <c r="G355" i="4"/>
  <c r="B356" i="4"/>
  <c r="A355" i="4"/>
  <c r="E355" i="4"/>
  <c r="F355" i="4" s="1"/>
  <c r="C355" i="4"/>
  <c r="D355" i="4" s="1"/>
  <c r="B357" i="4" l="1"/>
  <c r="A356" i="4"/>
  <c r="E356" i="4"/>
  <c r="F356" i="4" s="1"/>
  <c r="C356" i="4"/>
  <c r="D356" i="4" s="1"/>
  <c r="J355" i="4"/>
  <c r="I356" i="4"/>
  <c r="G356" i="4"/>
  <c r="H356" i="4"/>
  <c r="J356" i="4" l="1"/>
  <c r="H357" i="4"/>
  <c r="I357" i="4"/>
  <c r="G357" i="4"/>
  <c r="A357" i="4"/>
  <c r="B358" i="4"/>
  <c r="E357" i="4"/>
  <c r="F357" i="4" s="1"/>
  <c r="C357" i="4"/>
  <c r="D357" i="4" s="1"/>
  <c r="J357" i="4" l="1"/>
  <c r="I358" i="4"/>
  <c r="H358" i="4"/>
  <c r="G358" i="4"/>
  <c r="B359" i="4"/>
  <c r="A358" i="4"/>
  <c r="E358" i="4"/>
  <c r="F358" i="4" s="1"/>
  <c r="C358" i="4"/>
  <c r="D358" i="4" s="1"/>
  <c r="B360" i="4" l="1"/>
  <c r="A359" i="4"/>
  <c r="E359" i="4"/>
  <c r="F359" i="4" s="1"/>
  <c r="C359" i="4"/>
  <c r="D359" i="4" s="1"/>
  <c r="J358" i="4"/>
  <c r="I359" i="4"/>
  <c r="H359" i="4"/>
  <c r="G359" i="4"/>
  <c r="J359" i="4" l="1"/>
  <c r="H360" i="4"/>
  <c r="G360" i="4"/>
  <c r="I360" i="4"/>
  <c r="B361" i="4"/>
  <c r="A360" i="4"/>
  <c r="E360" i="4"/>
  <c r="F360" i="4" s="1"/>
  <c r="C360" i="4"/>
  <c r="D360" i="4" s="1"/>
  <c r="A361" i="4" l="1"/>
  <c r="B362" i="4"/>
  <c r="E361" i="4"/>
  <c r="F361" i="4" s="1"/>
  <c r="C361" i="4"/>
  <c r="D361" i="4" s="1"/>
  <c r="J360" i="4"/>
  <c r="H361" i="4"/>
  <c r="I361" i="4"/>
  <c r="G361" i="4"/>
  <c r="J361" i="4" l="1"/>
  <c r="H362" i="4"/>
  <c r="G362" i="4"/>
  <c r="I362" i="4"/>
  <c r="B363" i="4"/>
  <c r="A362" i="4"/>
  <c r="E362" i="4"/>
  <c r="F362" i="4" s="1"/>
  <c r="C362" i="4"/>
  <c r="D362" i="4" s="1"/>
  <c r="B364" i="4" l="1"/>
  <c r="A363" i="4"/>
  <c r="E363" i="4"/>
  <c r="F363" i="4" s="1"/>
  <c r="C363" i="4"/>
  <c r="D363" i="4" s="1"/>
  <c r="J362" i="4"/>
  <c r="H363" i="4"/>
  <c r="G363" i="4"/>
  <c r="I363" i="4"/>
  <c r="J363" i="4" l="1"/>
  <c r="H364" i="4"/>
  <c r="I364" i="4"/>
  <c r="G364" i="4"/>
  <c r="B365" i="4"/>
  <c r="A364" i="4"/>
  <c r="C364" i="4"/>
  <c r="D364" i="4" s="1"/>
  <c r="E364" i="4"/>
  <c r="F364" i="4" s="1"/>
  <c r="A365" i="4" l="1"/>
  <c r="B366" i="4"/>
  <c r="E365" i="4"/>
  <c r="F365" i="4" s="1"/>
  <c r="C365" i="4"/>
  <c r="D365" i="4" s="1"/>
  <c r="J364" i="4"/>
  <c r="I365" i="4"/>
  <c r="G365" i="4"/>
  <c r="H365" i="4"/>
  <c r="J365" i="4" l="1"/>
  <c r="H366" i="4"/>
  <c r="G366" i="4"/>
  <c r="I366" i="4"/>
  <c r="B367" i="4"/>
  <c r="A366" i="4"/>
  <c r="E366" i="4"/>
  <c r="F366" i="4" s="1"/>
  <c r="C366" i="4"/>
  <c r="D366" i="4" s="1"/>
  <c r="J366" i="4" l="1"/>
  <c r="I367" i="4"/>
  <c r="G367" i="4"/>
  <c r="H367" i="4"/>
  <c r="B368" i="4"/>
  <c r="A367" i="4"/>
  <c r="E367" i="4"/>
  <c r="F367" i="4" s="1"/>
  <c r="C367" i="4"/>
  <c r="D367" i="4" s="1"/>
  <c r="B369" i="4" l="1"/>
  <c r="A368" i="4"/>
  <c r="E368" i="4"/>
  <c r="F368" i="4" s="1"/>
  <c r="C368" i="4"/>
  <c r="D368" i="4" s="1"/>
  <c r="J367" i="4"/>
  <c r="G368" i="4"/>
  <c r="I368" i="4"/>
  <c r="H368" i="4"/>
  <c r="J368" i="4" l="1"/>
  <c r="G369" i="4"/>
  <c r="I369" i="4"/>
  <c r="H369" i="4"/>
  <c r="A369" i="4"/>
  <c r="B370" i="4"/>
  <c r="E369" i="4"/>
  <c r="F369" i="4" s="1"/>
  <c r="C369" i="4"/>
  <c r="D369" i="4" s="1"/>
  <c r="B371" i="4" l="1"/>
  <c r="A370" i="4"/>
  <c r="E370" i="4"/>
  <c r="F370" i="4" s="1"/>
  <c r="C370" i="4"/>
  <c r="D370" i="4" s="1"/>
  <c r="J369" i="4"/>
  <c r="G370" i="4"/>
  <c r="H370" i="4"/>
  <c r="I370" i="4"/>
  <c r="J370" i="4" l="1"/>
  <c r="I371" i="4"/>
  <c r="G371" i="4"/>
  <c r="H371" i="4"/>
  <c r="B372" i="4"/>
  <c r="A371" i="4"/>
  <c r="E371" i="4"/>
  <c r="F371" i="4" s="1"/>
  <c r="C371" i="4"/>
  <c r="D371" i="4" s="1"/>
  <c r="J371" i="4" l="1"/>
  <c r="I372" i="4"/>
  <c r="G372" i="4"/>
  <c r="H372" i="4"/>
  <c r="B373" i="4"/>
  <c r="A372" i="4"/>
  <c r="E372" i="4"/>
  <c r="F372" i="4" s="1"/>
  <c r="C372" i="4"/>
  <c r="D372" i="4" s="1"/>
  <c r="B374" i="4" l="1"/>
  <c r="A373" i="4"/>
  <c r="E373" i="4"/>
  <c r="F373" i="4" s="1"/>
  <c r="C373" i="4"/>
  <c r="D373" i="4" s="1"/>
  <c r="J372" i="4"/>
  <c r="H373" i="4"/>
  <c r="I373" i="4"/>
  <c r="G373" i="4"/>
  <c r="J373" i="4" l="1"/>
  <c r="I374" i="4"/>
  <c r="H374" i="4"/>
  <c r="G374" i="4"/>
  <c r="A374" i="4"/>
  <c r="B375" i="4"/>
  <c r="E374" i="4"/>
  <c r="F374" i="4" s="1"/>
  <c r="C374" i="4"/>
  <c r="D374" i="4" s="1"/>
  <c r="J374" i="4" l="1"/>
  <c r="G375" i="4"/>
  <c r="I375" i="4"/>
  <c r="H375" i="4"/>
  <c r="B376" i="4"/>
  <c r="A375" i="4"/>
  <c r="E375" i="4"/>
  <c r="F375" i="4" s="1"/>
  <c r="C375" i="4"/>
  <c r="D375" i="4" s="1"/>
  <c r="B377" i="4" l="1"/>
  <c r="A376" i="4"/>
  <c r="E376" i="4"/>
  <c r="F376" i="4" s="1"/>
  <c r="C376" i="4"/>
  <c r="D376" i="4" s="1"/>
  <c r="J375" i="4"/>
  <c r="I376" i="4"/>
  <c r="H376" i="4"/>
  <c r="G376" i="4"/>
  <c r="J376" i="4" l="1"/>
  <c r="H377" i="4"/>
  <c r="I377" i="4"/>
  <c r="G377" i="4"/>
  <c r="B378" i="4"/>
  <c r="A377" i="4"/>
  <c r="C377" i="4"/>
  <c r="D377" i="4" s="1"/>
  <c r="E377" i="4"/>
  <c r="F377" i="4" s="1"/>
  <c r="J377" i="4" l="1"/>
  <c r="I378" i="4"/>
  <c r="G378" i="4"/>
  <c r="H378" i="4"/>
  <c r="A378" i="4"/>
  <c r="B379" i="4"/>
  <c r="E378" i="4"/>
  <c r="F378" i="4" s="1"/>
  <c r="C378" i="4"/>
  <c r="D378" i="4" s="1"/>
  <c r="B380" i="4" l="1"/>
  <c r="A379" i="4"/>
  <c r="E379" i="4"/>
  <c r="F379" i="4" s="1"/>
  <c r="C379" i="4"/>
  <c r="D379" i="4" s="1"/>
  <c r="J378" i="4"/>
  <c r="H379" i="4"/>
  <c r="G379" i="4"/>
  <c r="I379" i="4"/>
  <c r="J379" i="4" l="1"/>
  <c r="G380" i="4"/>
  <c r="H380" i="4"/>
  <c r="I380" i="4"/>
  <c r="A380" i="4"/>
  <c r="B381" i="4"/>
  <c r="E380" i="4"/>
  <c r="F380" i="4" s="1"/>
  <c r="C380" i="4"/>
  <c r="D380" i="4" s="1"/>
  <c r="A381" i="4" l="1"/>
  <c r="B382" i="4"/>
  <c r="E381" i="4"/>
  <c r="F381" i="4" s="1"/>
  <c r="C381" i="4"/>
  <c r="D381" i="4" s="1"/>
  <c r="J380" i="4"/>
  <c r="H381" i="4"/>
  <c r="I381" i="4"/>
  <c r="G381" i="4"/>
  <c r="J381" i="4" l="1"/>
  <c r="H382" i="4"/>
  <c r="G382" i="4"/>
  <c r="I382" i="4"/>
  <c r="A382" i="4"/>
  <c r="B383" i="4"/>
  <c r="E382" i="4"/>
  <c r="F382" i="4" s="1"/>
  <c r="C382" i="4"/>
  <c r="D382" i="4" s="1"/>
  <c r="B384" i="4" l="1"/>
  <c r="A383" i="4"/>
  <c r="E383" i="4"/>
  <c r="F383" i="4" s="1"/>
  <c r="C383" i="4"/>
  <c r="D383" i="4" s="1"/>
  <c r="J382" i="4"/>
  <c r="G383" i="4"/>
  <c r="I383" i="4"/>
  <c r="H383" i="4"/>
  <c r="J383" i="4" l="1"/>
  <c r="G384" i="4"/>
  <c r="H384" i="4"/>
  <c r="I384" i="4"/>
  <c r="A384" i="4"/>
  <c r="B385" i="4"/>
  <c r="E384" i="4"/>
  <c r="F384" i="4" s="1"/>
  <c r="C384" i="4"/>
  <c r="D384" i="4" s="1"/>
  <c r="A385" i="4" l="1"/>
  <c r="B386" i="4"/>
  <c r="E385" i="4"/>
  <c r="F385" i="4" s="1"/>
  <c r="C385" i="4"/>
  <c r="D385" i="4" s="1"/>
  <c r="J384" i="4"/>
  <c r="G385" i="4"/>
  <c r="H385" i="4"/>
  <c r="I385" i="4"/>
  <c r="J385" i="4" l="1"/>
  <c r="G386" i="4"/>
  <c r="I386" i="4"/>
  <c r="H386" i="4"/>
  <c r="A386" i="4"/>
  <c r="B387" i="4"/>
  <c r="E386" i="4"/>
  <c r="F386" i="4" s="1"/>
  <c r="C386" i="4"/>
  <c r="D386" i="4" s="1"/>
  <c r="B388" i="4" l="1"/>
  <c r="A387" i="4"/>
  <c r="E387" i="4"/>
  <c r="F387" i="4" s="1"/>
  <c r="C387" i="4"/>
  <c r="D387" i="4" s="1"/>
  <c r="J386" i="4"/>
  <c r="G387" i="4"/>
  <c r="H387" i="4"/>
  <c r="I387" i="4"/>
  <c r="J387" i="4" l="1"/>
  <c r="I388" i="4"/>
  <c r="H388" i="4"/>
  <c r="G388" i="4"/>
  <c r="A388" i="4"/>
  <c r="B389" i="4"/>
  <c r="E388" i="4"/>
  <c r="F388" i="4" s="1"/>
  <c r="C388" i="4"/>
  <c r="D388" i="4" s="1"/>
  <c r="A389" i="4" l="1"/>
  <c r="B390" i="4"/>
  <c r="E389" i="4"/>
  <c r="F389" i="4" s="1"/>
  <c r="C389" i="4"/>
  <c r="D389" i="4" s="1"/>
  <c r="J388" i="4"/>
  <c r="I389" i="4"/>
  <c r="G389" i="4"/>
  <c r="H389" i="4"/>
  <c r="J389" i="4" l="1"/>
  <c r="G390" i="4"/>
  <c r="I390" i="4"/>
  <c r="H390" i="4"/>
  <c r="A390" i="4"/>
  <c r="B391" i="4"/>
  <c r="E390" i="4"/>
  <c r="F390" i="4" s="1"/>
  <c r="C390" i="4"/>
  <c r="D390" i="4" s="1"/>
  <c r="B392" i="4" l="1"/>
  <c r="A391" i="4"/>
  <c r="E391" i="4"/>
  <c r="F391" i="4" s="1"/>
  <c r="C391" i="4"/>
  <c r="D391" i="4" s="1"/>
  <c r="J390" i="4"/>
  <c r="H391" i="4"/>
  <c r="G391" i="4"/>
  <c r="I391" i="4"/>
  <c r="J391" i="4" l="1"/>
  <c r="I392" i="4"/>
  <c r="H392" i="4"/>
  <c r="G392" i="4"/>
  <c r="A392" i="4"/>
  <c r="B393" i="4"/>
  <c r="E392" i="4"/>
  <c r="F392" i="4" s="1"/>
  <c r="C392" i="4"/>
  <c r="D392" i="4" s="1"/>
  <c r="J392" i="4" l="1"/>
  <c r="I393" i="4"/>
  <c r="G393" i="4"/>
  <c r="H393" i="4"/>
  <c r="A393" i="4"/>
  <c r="B394" i="4"/>
  <c r="E393" i="4"/>
  <c r="F393" i="4" s="1"/>
  <c r="C393" i="4"/>
  <c r="D393" i="4" s="1"/>
  <c r="A394" i="4" l="1"/>
  <c r="B395" i="4"/>
  <c r="E394" i="4"/>
  <c r="F394" i="4" s="1"/>
  <c r="C394" i="4"/>
  <c r="D394" i="4" s="1"/>
  <c r="J393" i="4"/>
  <c r="I394" i="4"/>
  <c r="H394" i="4"/>
  <c r="G394" i="4"/>
  <c r="J394" i="4" l="1"/>
  <c r="H395" i="4"/>
  <c r="I395" i="4"/>
  <c r="G395" i="4"/>
  <c r="B396" i="4"/>
  <c r="A395" i="4"/>
  <c r="E395" i="4"/>
  <c r="F395" i="4" s="1"/>
  <c r="C395" i="4"/>
  <c r="D395" i="4" s="1"/>
  <c r="A396" i="4" l="1"/>
  <c r="B397" i="4"/>
  <c r="E396" i="4"/>
  <c r="F396" i="4" s="1"/>
  <c r="C396" i="4"/>
  <c r="D396" i="4" s="1"/>
  <c r="J395" i="4"/>
  <c r="H396" i="4"/>
  <c r="I396" i="4"/>
  <c r="G396" i="4"/>
  <c r="J396" i="4" l="1"/>
  <c r="G397" i="4"/>
  <c r="I397" i="4"/>
  <c r="H397" i="4"/>
  <c r="A397" i="4"/>
  <c r="B398" i="4"/>
  <c r="E397" i="4"/>
  <c r="F397" i="4" s="1"/>
  <c r="C397" i="4"/>
  <c r="D397" i="4" s="1"/>
  <c r="A398" i="4" l="1"/>
  <c r="B399" i="4"/>
  <c r="E398" i="4"/>
  <c r="F398" i="4" s="1"/>
  <c r="C398" i="4"/>
  <c r="D398" i="4" s="1"/>
  <c r="J397" i="4"/>
  <c r="H398" i="4"/>
  <c r="G398" i="4"/>
  <c r="I398" i="4"/>
  <c r="J398" i="4" l="1"/>
  <c r="G399" i="4"/>
  <c r="I399" i="4"/>
  <c r="H399" i="4"/>
  <c r="B400" i="4"/>
  <c r="A399" i="4"/>
  <c r="E399" i="4"/>
  <c r="F399" i="4" s="1"/>
  <c r="C399" i="4"/>
  <c r="D399" i="4" s="1"/>
  <c r="A400" i="4" l="1"/>
  <c r="B401" i="4"/>
  <c r="E400" i="4"/>
  <c r="F400" i="4" s="1"/>
  <c r="C400" i="4"/>
  <c r="D400" i="4" s="1"/>
  <c r="J399" i="4"/>
  <c r="I400" i="4"/>
  <c r="H400" i="4"/>
  <c r="G400" i="4"/>
  <c r="J400" i="4" l="1"/>
  <c r="H401" i="4"/>
  <c r="I401" i="4"/>
  <c r="G401" i="4"/>
  <c r="A401" i="4"/>
  <c r="B402" i="4"/>
  <c r="C401" i="4"/>
  <c r="D401" i="4" s="1"/>
  <c r="E401" i="4"/>
  <c r="F401" i="4" s="1"/>
  <c r="B403" i="4" l="1"/>
  <c r="A402" i="4"/>
  <c r="E402" i="4"/>
  <c r="F402" i="4" s="1"/>
  <c r="C402" i="4"/>
  <c r="D402" i="4" s="1"/>
  <c r="J401" i="4"/>
  <c r="G402" i="4"/>
  <c r="H402" i="4"/>
  <c r="I402" i="4"/>
  <c r="J402" i="4" l="1"/>
  <c r="H403" i="4"/>
  <c r="I403" i="4"/>
  <c r="G403" i="4"/>
  <c r="B404" i="4"/>
  <c r="A403" i="4"/>
  <c r="E403" i="4"/>
  <c r="F403" i="4" s="1"/>
  <c r="C403" i="4"/>
  <c r="D403" i="4" s="1"/>
  <c r="B405" i="4" l="1"/>
  <c r="A404" i="4"/>
  <c r="E404" i="4"/>
  <c r="F404" i="4" s="1"/>
  <c r="C404" i="4"/>
  <c r="D404" i="4" s="1"/>
  <c r="J403" i="4"/>
  <c r="G404" i="4"/>
  <c r="H404" i="4"/>
  <c r="I404" i="4"/>
  <c r="J404" i="4" l="1"/>
  <c r="G405" i="4"/>
  <c r="H405" i="4"/>
  <c r="I405" i="4"/>
  <c r="B406" i="4"/>
  <c r="A405" i="4"/>
  <c r="E405" i="4"/>
  <c r="F405" i="4" s="1"/>
  <c r="C405" i="4"/>
  <c r="D405" i="4" s="1"/>
  <c r="B407" i="4" l="1"/>
  <c r="A406" i="4"/>
  <c r="E406" i="4"/>
  <c r="F406" i="4" s="1"/>
  <c r="C406" i="4"/>
  <c r="D406" i="4" s="1"/>
  <c r="J405" i="4"/>
  <c r="H406" i="4"/>
  <c r="I406" i="4"/>
  <c r="G406" i="4"/>
  <c r="J406" i="4" l="1"/>
  <c r="G407" i="4"/>
  <c r="I407" i="4"/>
  <c r="H407" i="4"/>
  <c r="B408" i="4"/>
  <c r="A407" i="4"/>
  <c r="E407" i="4"/>
  <c r="F407" i="4" s="1"/>
  <c r="C407" i="4"/>
  <c r="D407" i="4" s="1"/>
  <c r="A408" i="4" l="1"/>
  <c r="B409" i="4"/>
  <c r="E408" i="4"/>
  <c r="F408" i="4" s="1"/>
  <c r="C408" i="4"/>
  <c r="D408" i="4" s="1"/>
  <c r="J407" i="4"/>
  <c r="H408" i="4"/>
  <c r="I408" i="4"/>
  <c r="G408" i="4"/>
  <c r="J408" i="4" l="1"/>
  <c r="H409" i="4"/>
  <c r="I409" i="4"/>
  <c r="G409" i="4"/>
  <c r="B410" i="4"/>
  <c r="A409" i="4"/>
  <c r="E409" i="4"/>
  <c r="F409" i="4" s="1"/>
  <c r="C409" i="4"/>
  <c r="D409" i="4" s="1"/>
  <c r="B411" i="4" l="1"/>
  <c r="A410" i="4"/>
  <c r="E410" i="4"/>
  <c r="F410" i="4" s="1"/>
  <c r="C410" i="4"/>
  <c r="D410" i="4" s="1"/>
  <c r="J409" i="4"/>
  <c r="G410" i="4"/>
  <c r="H410" i="4"/>
  <c r="I410" i="4"/>
  <c r="J410" i="4" l="1"/>
  <c r="I411" i="4"/>
  <c r="H411" i="4"/>
  <c r="G411" i="4"/>
  <c r="A411" i="4"/>
  <c r="B412" i="4"/>
  <c r="E411" i="4"/>
  <c r="F411" i="4" s="1"/>
  <c r="C411" i="4"/>
  <c r="D411" i="4" s="1"/>
  <c r="J411" i="4" l="1"/>
  <c r="G412" i="4"/>
  <c r="I412" i="4"/>
  <c r="H412" i="4"/>
  <c r="B413" i="4"/>
  <c r="A412" i="4"/>
  <c r="E412" i="4"/>
  <c r="F412" i="4" s="1"/>
  <c r="C412" i="4"/>
  <c r="D412" i="4" s="1"/>
  <c r="B414" i="4" l="1"/>
  <c r="A413" i="4"/>
  <c r="E413" i="4"/>
  <c r="F413" i="4" s="1"/>
  <c r="C413" i="4"/>
  <c r="D413" i="4" s="1"/>
  <c r="J412" i="4"/>
  <c r="H413" i="4"/>
  <c r="I413" i="4"/>
  <c r="G413" i="4"/>
  <c r="J413" i="4" l="1"/>
  <c r="I414" i="4"/>
  <c r="H414" i="4"/>
  <c r="G414" i="4"/>
  <c r="B415" i="4"/>
  <c r="A414" i="4"/>
  <c r="E414" i="4"/>
  <c r="F414" i="4" s="1"/>
  <c r="C414" i="4"/>
  <c r="D414" i="4" s="1"/>
  <c r="A415" i="4" l="1"/>
  <c r="B416" i="4"/>
  <c r="E415" i="4"/>
  <c r="F415" i="4" s="1"/>
  <c r="C415" i="4"/>
  <c r="D415" i="4" s="1"/>
  <c r="J414" i="4"/>
  <c r="H415" i="4"/>
  <c r="G415" i="4"/>
  <c r="I415" i="4"/>
  <c r="J415" i="4" l="1"/>
  <c r="H416" i="4"/>
  <c r="G416" i="4"/>
  <c r="I416" i="4"/>
  <c r="B417" i="4"/>
  <c r="A416" i="4"/>
  <c r="E416" i="4"/>
  <c r="F416" i="4" s="1"/>
  <c r="C416" i="4"/>
  <c r="D416" i="4" s="1"/>
  <c r="B418" i="4" l="1"/>
  <c r="A417" i="4"/>
  <c r="E417" i="4"/>
  <c r="F417" i="4" s="1"/>
  <c r="C417" i="4"/>
  <c r="D417" i="4" s="1"/>
  <c r="J416" i="4"/>
  <c r="I417" i="4"/>
  <c r="H417" i="4"/>
  <c r="G417" i="4"/>
  <c r="J417" i="4" l="1"/>
  <c r="G418" i="4"/>
  <c r="I418" i="4"/>
  <c r="H418" i="4"/>
  <c r="B419" i="4"/>
  <c r="A418" i="4"/>
  <c r="E418" i="4"/>
  <c r="F418" i="4" s="1"/>
  <c r="C418" i="4"/>
  <c r="D418" i="4" s="1"/>
  <c r="A419" i="4" l="1"/>
  <c r="B420" i="4"/>
  <c r="E419" i="4"/>
  <c r="F419" i="4" s="1"/>
  <c r="C419" i="4"/>
  <c r="D419" i="4" s="1"/>
  <c r="J418" i="4"/>
  <c r="G419" i="4"/>
  <c r="I419" i="4"/>
  <c r="H419" i="4"/>
  <c r="J419" i="4" l="1"/>
  <c r="H420" i="4"/>
  <c r="G420" i="4"/>
  <c r="I420" i="4"/>
  <c r="B421" i="4"/>
  <c r="A420" i="4"/>
  <c r="C420" i="4"/>
  <c r="D420" i="4" s="1"/>
  <c r="E420" i="4"/>
  <c r="F420" i="4" s="1"/>
  <c r="J420" i="4" l="1"/>
  <c r="G421" i="4"/>
  <c r="I421" i="4"/>
  <c r="H421" i="4"/>
  <c r="B422" i="4"/>
  <c r="A421" i="4"/>
  <c r="E421" i="4"/>
  <c r="F421" i="4" s="1"/>
  <c r="C421" i="4"/>
  <c r="D421" i="4" s="1"/>
  <c r="B423" i="4" l="1"/>
  <c r="A422" i="4"/>
  <c r="E422" i="4"/>
  <c r="F422" i="4" s="1"/>
  <c r="C422" i="4"/>
  <c r="D422" i="4" s="1"/>
  <c r="J421" i="4"/>
  <c r="H422" i="4"/>
  <c r="I422" i="4"/>
  <c r="G422" i="4"/>
  <c r="J422" i="4" l="1"/>
  <c r="I423" i="4"/>
  <c r="H423" i="4"/>
  <c r="G423" i="4"/>
  <c r="A423" i="4"/>
  <c r="B424" i="4"/>
  <c r="E423" i="4"/>
  <c r="F423" i="4" s="1"/>
  <c r="C423" i="4"/>
  <c r="D423" i="4" s="1"/>
  <c r="J423" i="4" l="1"/>
  <c r="H424" i="4"/>
  <c r="G424" i="4"/>
  <c r="I424" i="4"/>
  <c r="B425" i="4"/>
  <c r="A424" i="4"/>
  <c r="E424" i="4"/>
  <c r="F424" i="4" s="1"/>
  <c r="C424" i="4"/>
  <c r="D424" i="4" s="1"/>
  <c r="B426" i="4" l="1"/>
  <c r="A425" i="4"/>
  <c r="E425" i="4"/>
  <c r="F425" i="4" s="1"/>
  <c r="C425" i="4"/>
  <c r="D425" i="4" s="1"/>
  <c r="J424" i="4"/>
  <c r="I425" i="4"/>
  <c r="G425" i="4"/>
  <c r="H425" i="4"/>
  <c r="J425" i="4" l="1"/>
  <c r="H426" i="4"/>
  <c r="G426" i="4"/>
  <c r="I426" i="4"/>
  <c r="B427" i="4"/>
  <c r="A426" i="4"/>
  <c r="E426" i="4"/>
  <c r="F426" i="4" s="1"/>
  <c r="C426" i="4"/>
  <c r="D426" i="4" s="1"/>
  <c r="A427" i="4" l="1"/>
  <c r="B428" i="4"/>
  <c r="E427" i="4"/>
  <c r="F427" i="4" s="1"/>
  <c r="C427" i="4"/>
  <c r="D427" i="4" s="1"/>
  <c r="J426" i="4"/>
  <c r="I427" i="4"/>
  <c r="H427" i="4"/>
  <c r="G427" i="4"/>
  <c r="J427" i="4" l="1"/>
  <c r="G428" i="4"/>
  <c r="H428" i="4"/>
  <c r="I428" i="4"/>
  <c r="B429" i="4"/>
  <c r="A428" i="4"/>
  <c r="E428" i="4"/>
  <c r="F428" i="4" s="1"/>
  <c r="C428" i="4"/>
  <c r="D428" i="4" s="1"/>
  <c r="B430" i="4" l="1"/>
  <c r="A429" i="4"/>
  <c r="E429" i="4"/>
  <c r="F429" i="4" s="1"/>
  <c r="C429" i="4"/>
  <c r="D429" i="4" s="1"/>
  <c r="J428" i="4"/>
  <c r="G429" i="4"/>
  <c r="I429" i="4"/>
  <c r="H429" i="4"/>
  <c r="J429" i="4" l="1"/>
  <c r="H430" i="4"/>
  <c r="I430" i="4"/>
  <c r="G430" i="4"/>
  <c r="B431" i="4"/>
  <c r="A430" i="4"/>
  <c r="E430" i="4"/>
  <c r="F430" i="4" s="1"/>
  <c r="C430" i="4"/>
  <c r="D430" i="4" s="1"/>
  <c r="A431" i="4" l="1"/>
  <c r="B432" i="4"/>
  <c r="E431" i="4"/>
  <c r="F431" i="4" s="1"/>
  <c r="C431" i="4"/>
  <c r="D431" i="4" s="1"/>
  <c r="J430" i="4"/>
  <c r="H431" i="4"/>
  <c r="I431" i="4"/>
  <c r="G431" i="4"/>
  <c r="J431" i="4" l="1"/>
  <c r="H432" i="4"/>
  <c r="I432" i="4"/>
  <c r="G432" i="4"/>
  <c r="B433" i="4"/>
  <c r="A432" i="4"/>
  <c r="E432" i="4"/>
  <c r="F432" i="4" s="1"/>
  <c r="C432" i="4"/>
  <c r="D432" i="4" s="1"/>
  <c r="J432" i="4" l="1"/>
  <c r="H433" i="4"/>
  <c r="G433" i="4"/>
  <c r="I433" i="4"/>
  <c r="B434" i="4"/>
  <c r="A433" i="4"/>
  <c r="E433" i="4"/>
  <c r="F433" i="4" s="1"/>
  <c r="C433" i="4"/>
  <c r="D433" i="4" s="1"/>
  <c r="B435" i="4" l="1"/>
  <c r="A434" i="4"/>
  <c r="E434" i="4"/>
  <c r="F434" i="4" s="1"/>
  <c r="C434" i="4"/>
  <c r="D434" i="4" s="1"/>
  <c r="J433" i="4"/>
  <c r="I434" i="4"/>
  <c r="H434" i="4"/>
  <c r="G434" i="4"/>
  <c r="J434" i="4" l="1"/>
  <c r="H435" i="4"/>
  <c r="I435" i="4"/>
  <c r="G435" i="4"/>
  <c r="A435" i="4"/>
  <c r="B436" i="4"/>
  <c r="C435" i="4"/>
  <c r="D435" i="4" s="1"/>
  <c r="E435" i="4"/>
  <c r="F435" i="4" s="1"/>
  <c r="J435" i="4" l="1"/>
  <c r="I436" i="4"/>
  <c r="G436" i="4"/>
  <c r="H436" i="4"/>
  <c r="B437" i="4"/>
  <c r="A436" i="4"/>
  <c r="E436" i="4"/>
  <c r="F436" i="4" s="1"/>
  <c r="C436" i="4"/>
  <c r="D436" i="4" s="1"/>
  <c r="B438" i="4" l="1"/>
  <c r="A437" i="4"/>
  <c r="C437" i="4"/>
  <c r="D437" i="4" s="1"/>
  <c r="E437" i="4"/>
  <c r="F437" i="4" s="1"/>
  <c r="J436" i="4"/>
  <c r="G437" i="4"/>
  <c r="I437" i="4"/>
  <c r="H437" i="4"/>
  <c r="J437" i="4" l="1"/>
  <c r="I438" i="4"/>
  <c r="H438" i="4"/>
  <c r="G438" i="4"/>
  <c r="B439" i="4"/>
  <c r="A438" i="4"/>
  <c r="E438" i="4"/>
  <c r="F438" i="4" s="1"/>
  <c r="C438" i="4"/>
  <c r="D438" i="4" s="1"/>
  <c r="A439" i="4" l="1"/>
  <c r="B440" i="4"/>
  <c r="E439" i="4"/>
  <c r="F439" i="4" s="1"/>
  <c r="C439" i="4"/>
  <c r="D439" i="4" s="1"/>
  <c r="J438" i="4"/>
  <c r="H439" i="4"/>
  <c r="I439" i="4"/>
  <c r="G439" i="4"/>
  <c r="J439" i="4" l="1"/>
  <c r="I440" i="4"/>
  <c r="G440" i="4"/>
  <c r="H440" i="4"/>
  <c r="B441" i="4"/>
  <c r="A440" i="4"/>
  <c r="E440" i="4"/>
  <c r="F440" i="4" s="1"/>
  <c r="C440" i="4"/>
  <c r="D440" i="4" s="1"/>
  <c r="B442" i="4" l="1"/>
  <c r="A441" i="4"/>
  <c r="E441" i="4"/>
  <c r="F441" i="4" s="1"/>
  <c r="C441" i="4"/>
  <c r="D441" i="4" s="1"/>
  <c r="J440" i="4"/>
  <c r="G441" i="4"/>
  <c r="I441" i="4"/>
  <c r="H441" i="4"/>
  <c r="J441" i="4" l="1"/>
  <c r="G442" i="4"/>
  <c r="I442" i="4"/>
  <c r="H442" i="4"/>
  <c r="B443" i="4"/>
  <c r="A442" i="4"/>
  <c r="E442" i="4"/>
  <c r="F442" i="4" s="1"/>
  <c r="C442" i="4"/>
  <c r="D442" i="4" s="1"/>
  <c r="A443" i="4" l="1"/>
  <c r="B444" i="4"/>
  <c r="E443" i="4"/>
  <c r="F443" i="4" s="1"/>
  <c r="C443" i="4"/>
  <c r="D443" i="4" s="1"/>
  <c r="J442" i="4"/>
  <c r="I443" i="4"/>
  <c r="H443" i="4"/>
  <c r="G443" i="4"/>
  <c r="J443" i="4" l="1"/>
  <c r="G444" i="4"/>
  <c r="I444" i="4"/>
  <c r="H444" i="4"/>
  <c r="B445" i="4"/>
  <c r="A444" i="4"/>
  <c r="E444" i="4"/>
  <c r="F444" i="4" s="1"/>
  <c r="C444" i="4"/>
  <c r="D444" i="4" s="1"/>
  <c r="B446" i="4" l="1"/>
  <c r="A445" i="4"/>
  <c r="E445" i="4"/>
  <c r="F445" i="4" s="1"/>
  <c r="C445" i="4"/>
  <c r="D445" i="4" s="1"/>
  <c r="J444" i="4"/>
  <c r="I445" i="4"/>
  <c r="H445" i="4"/>
  <c r="G445" i="4"/>
  <c r="J445" i="4" l="1"/>
  <c r="I446" i="4"/>
  <c r="H446" i="4"/>
  <c r="G446" i="4"/>
  <c r="B447" i="4"/>
  <c r="A446" i="4"/>
  <c r="E446" i="4"/>
  <c r="F446" i="4" s="1"/>
  <c r="C446" i="4"/>
  <c r="D446" i="4" s="1"/>
  <c r="J446" i="4" l="1"/>
  <c r="G447" i="4"/>
  <c r="I447" i="4"/>
  <c r="H447" i="4"/>
  <c r="B448" i="4"/>
  <c r="A447" i="4"/>
  <c r="E447" i="4"/>
  <c r="F447" i="4" s="1"/>
  <c r="C447" i="4"/>
  <c r="D447" i="4" s="1"/>
  <c r="B449" i="4" l="1"/>
  <c r="A448" i="4"/>
  <c r="E448" i="4"/>
  <c r="F448" i="4" s="1"/>
  <c r="C448" i="4"/>
  <c r="D448" i="4" s="1"/>
  <c r="J447" i="4"/>
  <c r="I448" i="4"/>
  <c r="G448" i="4"/>
  <c r="H448" i="4"/>
  <c r="J448" i="4" l="1"/>
  <c r="I449" i="4"/>
  <c r="G449" i="4"/>
  <c r="H449" i="4"/>
  <c r="B450" i="4"/>
  <c r="A449" i="4"/>
  <c r="E449" i="4"/>
  <c r="F449" i="4" s="1"/>
  <c r="C449" i="4"/>
  <c r="D449" i="4" s="1"/>
  <c r="J449" i="4" l="1"/>
  <c r="G450" i="4"/>
  <c r="H450" i="4"/>
  <c r="I450" i="4"/>
  <c r="B451" i="4"/>
  <c r="A450" i="4"/>
  <c r="E450" i="4"/>
  <c r="F450" i="4" s="1"/>
  <c r="C450" i="4"/>
  <c r="D450" i="4" s="1"/>
  <c r="A451" i="4" l="1"/>
  <c r="B452" i="4"/>
  <c r="E451" i="4"/>
  <c r="F451" i="4" s="1"/>
  <c r="C451" i="4"/>
  <c r="D451" i="4" s="1"/>
  <c r="J450" i="4"/>
  <c r="I451" i="4"/>
  <c r="H451" i="4"/>
  <c r="G451" i="4"/>
  <c r="J451" i="4" l="1"/>
  <c r="I452" i="4"/>
  <c r="G452" i="4"/>
  <c r="H452" i="4"/>
  <c r="B453" i="4"/>
  <c r="A452" i="4"/>
  <c r="E452" i="4"/>
  <c r="F452" i="4" s="1"/>
  <c r="C452" i="4"/>
  <c r="D452" i="4" s="1"/>
  <c r="B454" i="4" l="1"/>
  <c r="A453" i="4"/>
  <c r="E453" i="4"/>
  <c r="F453" i="4" s="1"/>
  <c r="C453" i="4"/>
  <c r="D453" i="4" s="1"/>
  <c r="J452" i="4"/>
  <c r="I453" i="4"/>
  <c r="G453" i="4"/>
  <c r="H453" i="4"/>
  <c r="J453" i="4" l="1"/>
  <c r="G454" i="4"/>
  <c r="H454" i="4"/>
  <c r="I454" i="4"/>
  <c r="B455" i="4"/>
  <c r="A454" i="4"/>
  <c r="E454" i="4"/>
  <c r="F454" i="4" s="1"/>
  <c r="C454" i="4"/>
  <c r="D454" i="4" s="1"/>
  <c r="A455" i="4" l="1"/>
  <c r="B456" i="4"/>
  <c r="E455" i="4"/>
  <c r="F455" i="4" s="1"/>
  <c r="C455" i="4"/>
  <c r="D455" i="4" s="1"/>
  <c r="J454" i="4"/>
  <c r="H455" i="4"/>
  <c r="G455" i="4"/>
  <c r="I455" i="4"/>
  <c r="J455" i="4" l="1"/>
  <c r="G456" i="4"/>
  <c r="H456" i="4"/>
  <c r="I456" i="4"/>
  <c r="A456" i="4"/>
  <c r="B457" i="4"/>
  <c r="E456" i="4"/>
  <c r="F456" i="4" s="1"/>
  <c r="C456" i="4"/>
  <c r="D456" i="4" s="1"/>
  <c r="B458" i="4" l="1"/>
  <c r="A457" i="4"/>
  <c r="E457" i="4"/>
  <c r="F457" i="4" s="1"/>
  <c r="C457" i="4"/>
  <c r="D457" i="4" s="1"/>
  <c r="J456" i="4"/>
  <c r="H457" i="4"/>
  <c r="I457" i="4"/>
  <c r="G457" i="4"/>
  <c r="J457" i="4" l="1"/>
  <c r="G458" i="4"/>
  <c r="H458" i="4"/>
  <c r="I458" i="4"/>
  <c r="A458" i="4"/>
  <c r="B459" i="4"/>
  <c r="E458" i="4"/>
  <c r="F458" i="4" s="1"/>
  <c r="C458" i="4"/>
  <c r="D458" i="4" s="1"/>
  <c r="A459" i="4" l="1"/>
  <c r="B460" i="4"/>
  <c r="E459" i="4"/>
  <c r="F459" i="4" s="1"/>
  <c r="C459" i="4"/>
  <c r="D459" i="4" s="1"/>
  <c r="J458" i="4"/>
  <c r="I459" i="4"/>
  <c r="G459" i="4"/>
  <c r="H459" i="4"/>
  <c r="J459" i="4" l="1"/>
  <c r="G460" i="4"/>
  <c r="H460" i="4"/>
  <c r="I460" i="4"/>
  <c r="B461" i="4"/>
  <c r="A460" i="4"/>
  <c r="E460" i="4"/>
  <c r="F460" i="4" s="1"/>
  <c r="C460" i="4"/>
  <c r="D460" i="4" s="1"/>
  <c r="A461" i="4" l="1"/>
  <c r="B462" i="4"/>
  <c r="E461" i="4"/>
  <c r="F461" i="4" s="1"/>
  <c r="C461" i="4"/>
  <c r="D461" i="4" s="1"/>
  <c r="J460" i="4"/>
  <c r="H461" i="4"/>
  <c r="G461" i="4"/>
  <c r="I461" i="4"/>
  <c r="A462" i="4" l="1"/>
  <c r="B463" i="4"/>
  <c r="E462" i="4"/>
  <c r="F462" i="4" s="1"/>
  <c r="C462" i="4"/>
  <c r="D462" i="4" s="1"/>
  <c r="J461" i="4"/>
  <c r="H462" i="4"/>
  <c r="G462" i="4"/>
  <c r="I462" i="4"/>
  <c r="J462" i="4" l="1"/>
  <c r="I463" i="4"/>
  <c r="G463" i="4"/>
  <c r="H463" i="4"/>
  <c r="A463" i="4"/>
  <c r="B464" i="4"/>
  <c r="E463" i="4"/>
  <c r="F463" i="4" s="1"/>
  <c r="C463" i="4"/>
  <c r="D463" i="4" s="1"/>
  <c r="J463" i="4" l="1"/>
  <c r="I464" i="4"/>
  <c r="H464" i="4"/>
  <c r="G464" i="4"/>
  <c r="B465" i="4"/>
  <c r="A464" i="4"/>
  <c r="E464" i="4"/>
  <c r="F464" i="4" s="1"/>
  <c r="C464" i="4"/>
  <c r="D464" i="4" s="1"/>
  <c r="B466" i="4" l="1"/>
  <c r="A465" i="4"/>
  <c r="E465" i="4"/>
  <c r="F465" i="4" s="1"/>
  <c r="C465" i="4"/>
  <c r="D465" i="4" s="1"/>
  <c r="J464" i="4"/>
  <c r="H465" i="4"/>
  <c r="I465" i="4"/>
  <c r="G465" i="4"/>
  <c r="J465" i="4" l="1"/>
  <c r="I466" i="4"/>
  <c r="H466" i="4"/>
  <c r="G466" i="4"/>
  <c r="B467" i="4"/>
  <c r="A466" i="4"/>
  <c r="E466" i="4"/>
  <c r="F466" i="4" s="1"/>
  <c r="C466" i="4"/>
  <c r="D466" i="4" s="1"/>
  <c r="A467" i="4" l="1"/>
  <c r="B468" i="4"/>
  <c r="E467" i="4"/>
  <c r="F467" i="4" s="1"/>
  <c r="C467" i="4"/>
  <c r="D467" i="4" s="1"/>
  <c r="J466" i="4"/>
  <c r="H467" i="4"/>
  <c r="I467" i="4"/>
  <c r="G467" i="4"/>
  <c r="J467" i="4" l="1"/>
  <c r="I468" i="4"/>
  <c r="G468" i="4"/>
  <c r="H468" i="4"/>
  <c r="A468" i="4"/>
  <c r="B469" i="4"/>
  <c r="E468" i="4"/>
  <c r="F468" i="4" s="1"/>
  <c r="C468" i="4"/>
  <c r="D468" i="4" s="1"/>
  <c r="B470" i="4" l="1"/>
  <c r="A469" i="4"/>
  <c r="E469" i="4"/>
  <c r="F469" i="4" s="1"/>
  <c r="C469" i="4"/>
  <c r="D469" i="4" s="1"/>
  <c r="J468" i="4"/>
  <c r="H469" i="4"/>
  <c r="I469" i="4"/>
  <c r="G469" i="4"/>
  <c r="J469" i="4" l="1"/>
  <c r="G470" i="4"/>
  <c r="I470" i="4"/>
  <c r="H470" i="4"/>
  <c r="B471" i="4"/>
  <c r="A470" i="4"/>
  <c r="E470" i="4"/>
  <c r="F470" i="4" s="1"/>
  <c r="C470" i="4"/>
  <c r="D470" i="4" s="1"/>
  <c r="A471" i="4" l="1"/>
  <c r="B472" i="4"/>
  <c r="E471" i="4"/>
  <c r="F471" i="4" s="1"/>
  <c r="C471" i="4"/>
  <c r="D471" i="4" s="1"/>
  <c r="J470" i="4"/>
  <c r="G471" i="4"/>
  <c r="I471" i="4"/>
  <c r="H471" i="4"/>
  <c r="J471" i="4" l="1"/>
  <c r="G472" i="4"/>
  <c r="I472" i="4"/>
  <c r="H472" i="4"/>
  <c r="A472" i="4"/>
  <c r="B473" i="4"/>
  <c r="E472" i="4"/>
  <c r="F472" i="4" s="1"/>
  <c r="C472" i="4"/>
  <c r="D472" i="4" s="1"/>
  <c r="B474" i="4" l="1"/>
  <c r="A473" i="4"/>
  <c r="E473" i="4"/>
  <c r="F473" i="4" s="1"/>
  <c r="C473" i="4"/>
  <c r="D473" i="4" s="1"/>
  <c r="J472" i="4"/>
  <c r="I473" i="4"/>
  <c r="G473" i="4"/>
  <c r="H473" i="4"/>
  <c r="J473" i="4" l="1"/>
  <c r="G474" i="4"/>
  <c r="H474" i="4"/>
  <c r="I474" i="4"/>
  <c r="B475" i="4"/>
  <c r="A474" i="4"/>
  <c r="E474" i="4"/>
  <c r="F474" i="4" s="1"/>
  <c r="C474" i="4"/>
  <c r="D474" i="4" s="1"/>
  <c r="A475" i="4" l="1"/>
  <c r="B476" i="4"/>
  <c r="E475" i="4"/>
  <c r="F475" i="4" s="1"/>
  <c r="C475" i="4"/>
  <c r="D475" i="4" s="1"/>
  <c r="J474" i="4"/>
  <c r="I475" i="4"/>
  <c r="G475" i="4"/>
  <c r="H475" i="4"/>
  <c r="J475" i="4" l="1"/>
  <c r="G476" i="4"/>
  <c r="H476" i="4"/>
  <c r="I476" i="4"/>
  <c r="B477" i="4"/>
  <c r="A476" i="4"/>
  <c r="E476" i="4"/>
  <c r="F476" i="4" s="1"/>
  <c r="C476" i="4"/>
  <c r="D476" i="4" s="1"/>
  <c r="A477" i="4" l="1"/>
  <c r="B478" i="4"/>
  <c r="E477" i="4"/>
  <c r="F477" i="4" s="1"/>
  <c r="C477" i="4"/>
  <c r="D477" i="4" s="1"/>
  <c r="J476" i="4"/>
  <c r="G477" i="4"/>
  <c r="H477" i="4"/>
  <c r="I477" i="4"/>
  <c r="J477" i="4" l="1"/>
  <c r="G478" i="4"/>
  <c r="H478" i="4"/>
  <c r="I478" i="4"/>
  <c r="A478" i="4"/>
  <c r="B479" i="4"/>
  <c r="E478" i="4"/>
  <c r="F478" i="4" s="1"/>
  <c r="C478" i="4"/>
  <c r="D478" i="4" s="1"/>
  <c r="A479" i="4" l="1"/>
  <c r="B480" i="4"/>
  <c r="E479" i="4"/>
  <c r="F479" i="4" s="1"/>
  <c r="C479" i="4"/>
  <c r="D479" i="4" s="1"/>
  <c r="J478" i="4"/>
  <c r="G479" i="4"/>
  <c r="H479" i="4"/>
  <c r="I479" i="4"/>
  <c r="J479" i="4" l="1"/>
  <c r="I480" i="4"/>
  <c r="H480" i="4"/>
  <c r="G480" i="4"/>
  <c r="B481" i="4"/>
  <c r="A480" i="4"/>
  <c r="C480" i="4"/>
  <c r="D480" i="4" s="1"/>
  <c r="E480" i="4"/>
  <c r="F480" i="4" s="1"/>
  <c r="B482" i="4" l="1"/>
  <c r="A481" i="4"/>
  <c r="E481" i="4"/>
  <c r="F481" i="4" s="1"/>
  <c r="C481" i="4"/>
  <c r="D481" i="4" s="1"/>
  <c r="J480" i="4"/>
  <c r="G481" i="4"/>
  <c r="I481" i="4"/>
  <c r="H481" i="4"/>
  <c r="J481" i="4" l="1"/>
  <c r="H482" i="4"/>
  <c r="I482" i="4"/>
  <c r="G482" i="4"/>
  <c r="B483" i="4"/>
  <c r="A482" i="4"/>
  <c r="E482" i="4"/>
  <c r="F482" i="4" s="1"/>
  <c r="C482" i="4"/>
  <c r="D482" i="4" s="1"/>
  <c r="A483" i="4" l="1"/>
  <c r="B484" i="4"/>
  <c r="E483" i="4"/>
  <c r="F483" i="4" s="1"/>
  <c r="C483" i="4"/>
  <c r="D483" i="4" s="1"/>
  <c r="J482" i="4"/>
  <c r="H483" i="4"/>
  <c r="I483" i="4"/>
  <c r="G483" i="4"/>
  <c r="J483" i="4" l="1"/>
  <c r="I484" i="4"/>
  <c r="G484" i="4"/>
  <c r="H484" i="4"/>
  <c r="B485" i="4"/>
  <c r="A484" i="4"/>
  <c r="E484" i="4"/>
  <c r="F484" i="4" s="1"/>
  <c r="C484" i="4"/>
  <c r="D484" i="4" s="1"/>
  <c r="J484" i="4" l="1"/>
  <c r="I485" i="4"/>
  <c r="G485" i="4"/>
  <c r="H485" i="4"/>
  <c r="B486" i="4"/>
  <c r="A485" i="4"/>
  <c r="E485" i="4"/>
  <c r="F485" i="4" s="1"/>
  <c r="C485" i="4"/>
  <c r="D485" i="4" s="1"/>
  <c r="B487" i="4" l="1"/>
  <c r="A486" i="4"/>
  <c r="E486" i="4"/>
  <c r="F486" i="4" s="1"/>
  <c r="C486" i="4"/>
  <c r="D486" i="4" s="1"/>
  <c r="J485" i="4"/>
  <c r="H486" i="4"/>
  <c r="G486" i="4"/>
  <c r="I486" i="4"/>
  <c r="J486" i="4" l="1"/>
  <c r="G487" i="4"/>
  <c r="I487" i="4"/>
  <c r="H487" i="4"/>
  <c r="A487" i="4"/>
  <c r="B488" i="4"/>
  <c r="E487" i="4"/>
  <c r="F487" i="4" s="1"/>
  <c r="C487" i="4"/>
  <c r="D487" i="4" s="1"/>
  <c r="A488" i="4" l="1"/>
  <c r="B489" i="4"/>
  <c r="E488" i="4"/>
  <c r="F488" i="4" s="1"/>
  <c r="C488" i="4"/>
  <c r="D488" i="4" s="1"/>
  <c r="J487" i="4"/>
  <c r="G488" i="4"/>
  <c r="I488" i="4"/>
  <c r="H488" i="4"/>
  <c r="J488" i="4" l="1"/>
  <c r="H489" i="4"/>
  <c r="I489" i="4"/>
  <c r="G489" i="4"/>
  <c r="A489" i="4"/>
  <c r="B490" i="4"/>
  <c r="E489" i="4"/>
  <c r="F489" i="4" s="1"/>
  <c r="C489" i="4"/>
  <c r="D489" i="4" s="1"/>
  <c r="A490" i="4" l="1"/>
  <c r="B491" i="4"/>
  <c r="E490" i="4"/>
  <c r="F490" i="4" s="1"/>
  <c r="C490" i="4"/>
  <c r="D490" i="4" s="1"/>
  <c r="J489" i="4"/>
  <c r="G490" i="4"/>
  <c r="H490" i="4"/>
  <c r="I490" i="4"/>
  <c r="J490" i="4" l="1"/>
  <c r="I491" i="4"/>
  <c r="G491" i="4"/>
  <c r="H491" i="4"/>
  <c r="A491" i="4"/>
  <c r="B492" i="4"/>
  <c r="E491" i="4"/>
  <c r="F491" i="4" s="1"/>
  <c r="C491" i="4"/>
  <c r="D491" i="4" s="1"/>
  <c r="B493" i="4" l="1"/>
  <c r="A492" i="4"/>
  <c r="E492" i="4"/>
  <c r="F492" i="4" s="1"/>
  <c r="C492" i="4"/>
  <c r="D492" i="4" s="1"/>
  <c r="J491" i="4"/>
  <c r="G492" i="4"/>
  <c r="H492" i="4"/>
  <c r="I492" i="4"/>
  <c r="J492" i="4" l="1"/>
  <c r="G493" i="4"/>
  <c r="H493" i="4"/>
  <c r="I493" i="4"/>
  <c r="A493" i="4"/>
  <c r="B494" i="4"/>
  <c r="E493" i="4"/>
  <c r="F493" i="4" s="1"/>
  <c r="C493" i="4"/>
  <c r="D493" i="4" s="1"/>
  <c r="A494" i="4" l="1"/>
  <c r="B495" i="4"/>
  <c r="E494" i="4"/>
  <c r="F494" i="4" s="1"/>
  <c r="C494" i="4"/>
  <c r="D494" i="4" s="1"/>
  <c r="J493" i="4"/>
  <c r="H494" i="4"/>
  <c r="G494" i="4"/>
  <c r="I494" i="4"/>
  <c r="J494" i="4" l="1"/>
  <c r="G495" i="4"/>
  <c r="H495" i="4"/>
  <c r="I495" i="4"/>
  <c r="A495" i="4"/>
  <c r="B496" i="4"/>
  <c r="E495" i="4"/>
  <c r="F495" i="4" s="1"/>
  <c r="C495" i="4"/>
  <c r="D495" i="4" s="1"/>
  <c r="B497" i="4" l="1"/>
  <c r="A496" i="4"/>
  <c r="E496" i="4"/>
  <c r="F496" i="4" s="1"/>
  <c r="C496" i="4"/>
  <c r="D496" i="4" s="1"/>
  <c r="J495" i="4"/>
  <c r="H496" i="4"/>
  <c r="I496" i="4"/>
  <c r="G496" i="4"/>
  <c r="J496" i="4" l="1"/>
  <c r="G497" i="4"/>
  <c r="I497" i="4"/>
  <c r="H497" i="4"/>
  <c r="B498" i="4"/>
  <c r="A497" i="4"/>
  <c r="E497" i="4"/>
  <c r="F497" i="4" s="1"/>
  <c r="C497" i="4"/>
  <c r="D497" i="4" s="1"/>
  <c r="B499" i="4" l="1"/>
  <c r="A498" i="4"/>
  <c r="E498" i="4"/>
  <c r="F498" i="4" s="1"/>
  <c r="C498" i="4"/>
  <c r="D498" i="4" s="1"/>
  <c r="J497" i="4"/>
  <c r="H498" i="4"/>
  <c r="G498" i="4"/>
  <c r="I498" i="4"/>
  <c r="J498" i="4" l="1"/>
  <c r="G499" i="4"/>
  <c r="I499" i="4"/>
  <c r="H499" i="4"/>
  <c r="A499" i="4"/>
  <c r="B500" i="4"/>
  <c r="E499" i="4"/>
  <c r="F499" i="4" s="1"/>
  <c r="C499" i="4"/>
  <c r="D499" i="4" s="1"/>
  <c r="A500" i="4" l="1"/>
  <c r="B501" i="4"/>
  <c r="E500" i="4"/>
  <c r="F500" i="4" s="1"/>
  <c r="C500" i="4"/>
  <c r="D500" i="4" s="1"/>
  <c r="J499" i="4"/>
  <c r="I500" i="4"/>
  <c r="G500" i="4"/>
  <c r="H500" i="4"/>
  <c r="J500" i="4" l="1"/>
  <c r="I501" i="4"/>
  <c r="G501" i="4"/>
  <c r="H501" i="4"/>
  <c r="A501" i="4"/>
  <c r="B502" i="4"/>
  <c r="E501" i="4"/>
  <c r="F501" i="4" s="1"/>
  <c r="C501" i="4"/>
  <c r="D501" i="4" s="1"/>
  <c r="B503" i="4" l="1"/>
  <c r="A502" i="4"/>
  <c r="E502" i="4"/>
  <c r="F502" i="4" s="1"/>
  <c r="C502" i="4"/>
  <c r="D502" i="4" s="1"/>
  <c r="J501" i="4"/>
  <c r="H502" i="4"/>
  <c r="I502" i="4"/>
  <c r="G502" i="4"/>
  <c r="J502" i="4" l="1"/>
  <c r="H503" i="4"/>
  <c r="I503" i="4"/>
  <c r="G503" i="4"/>
  <c r="A503" i="4"/>
  <c r="B504" i="4"/>
  <c r="C503" i="4"/>
  <c r="D503" i="4" s="1"/>
  <c r="E503" i="4"/>
  <c r="F503" i="4" s="1"/>
  <c r="B505" i="4" l="1"/>
  <c r="A504" i="4"/>
  <c r="E504" i="4"/>
  <c r="F504" i="4" s="1"/>
  <c r="C504" i="4"/>
  <c r="D504" i="4" s="1"/>
  <c r="J503" i="4"/>
  <c r="H504" i="4"/>
  <c r="G504" i="4"/>
  <c r="I504" i="4"/>
  <c r="J504" i="4" l="1"/>
  <c r="H505" i="4"/>
  <c r="I505" i="4"/>
  <c r="G505" i="4"/>
  <c r="B506" i="4"/>
  <c r="A505" i="4"/>
  <c r="E505" i="4"/>
  <c r="F505" i="4" s="1"/>
  <c r="C505" i="4"/>
  <c r="D505" i="4" s="1"/>
  <c r="B507" i="4" l="1"/>
  <c r="A506" i="4"/>
  <c r="E506" i="4"/>
  <c r="F506" i="4" s="1"/>
  <c r="C506" i="4"/>
  <c r="D506" i="4" s="1"/>
  <c r="J505" i="4"/>
  <c r="H506" i="4"/>
  <c r="I506" i="4"/>
  <c r="G506" i="4"/>
  <c r="J506" i="4" l="1"/>
  <c r="I507" i="4"/>
  <c r="H507" i="4"/>
  <c r="G507" i="4"/>
  <c r="A507" i="4"/>
  <c r="B508" i="4"/>
  <c r="E507" i="4"/>
  <c r="F507" i="4" s="1"/>
  <c r="C507" i="4"/>
  <c r="D507" i="4" s="1"/>
  <c r="B509" i="4" l="1"/>
  <c r="A508" i="4"/>
  <c r="E508" i="4"/>
  <c r="F508" i="4" s="1"/>
  <c r="C508" i="4"/>
  <c r="D508" i="4" s="1"/>
  <c r="J507" i="4"/>
  <c r="G508" i="4"/>
  <c r="H508" i="4"/>
  <c r="I508" i="4"/>
  <c r="J508" i="4" l="1"/>
  <c r="G509" i="4"/>
  <c r="I509" i="4"/>
  <c r="H509" i="4"/>
  <c r="B510" i="4"/>
  <c r="A509" i="4"/>
  <c r="E509" i="4"/>
  <c r="F509" i="4" s="1"/>
  <c r="C509" i="4"/>
  <c r="D509" i="4" s="1"/>
  <c r="B511" i="4" l="1"/>
  <c r="A510" i="4"/>
  <c r="E510" i="4"/>
  <c r="F510" i="4" s="1"/>
  <c r="C510" i="4"/>
  <c r="D510" i="4" s="1"/>
  <c r="J509" i="4"/>
  <c r="H510" i="4"/>
  <c r="G510" i="4"/>
  <c r="I510" i="4"/>
  <c r="J510" i="4" l="1"/>
  <c r="G511" i="4"/>
  <c r="H511" i="4"/>
  <c r="I511" i="4"/>
  <c r="A511" i="4"/>
  <c r="B512" i="4"/>
  <c r="E511" i="4"/>
  <c r="F511" i="4" s="1"/>
  <c r="C511" i="4"/>
  <c r="D511" i="4" s="1"/>
  <c r="A512" i="4" l="1"/>
  <c r="B513" i="4"/>
  <c r="E512" i="4"/>
  <c r="F512" i="4" s="1"/>
  <c r="C512" i="4"/>
  <c r="D512" i="4" s="1"/>
  <c r="J511" i="4"/>
  <c r="H512" i="4"/>
  <c r="G512" i="4"/>
  <c r="I512" i="4"/>
  <c r="J512" i="4" l="1"/>
  <c r="G513" i="4"/>
  <c r="H513" i="4"/>
  <c r="I513" i="4"/>
  <c r="B514" i="4"/>
  <c r="A513" i="4"/>
  <c r="E513" i="4"/>
  <c r="F513" i="4" s="1"/>
  <c r="C513" i="4"/>
  <c r="D513" i="4" s="1"/>
  <c r="B515" i="4" l="1"/>
  <c r="A514" i="4"/>
  <c r="E514" i="4"/>
  <c r="F514" i="4" s="1"/>
  <c r="C514" i="4"/>
  <c r="D514" i="4" s="1"/>
  <c r="J513" i="4"/>
  <c r="I514" i="4"/>
  <c r="G514" i="4"/>
  <c r="H514" i="4"/>
  <c r="J514" i="4" l="1"/>
  <c r="G515" i="4"/>
  <c r="I515" i="4"/>
  <c r="H515" i="4"/>
  <c r="A515" i="4"/>
  <c r="B516" i="4"/>
  <c r="E515" i="4"/>
  <c r="F515" i="4" s="1"/>
  <c r="C515" i="4"/>
  <c r="D515" i="4" s="1"/>
  <c r="B517" i="4" l="1"/>
  <c r="A516" i="4"/>
  <c r="E516" i="4"/>
  <c r="F516" i="4" s="1"/>
  <c r="C516" i="4"/>
  <c r="D516" i="4" s="1"/>
  <c r="J515" i="4"/>
  <c r="H516" i="4"/>
  <c r="G516" i="4"/>
  <c r="I516" i="4"/>
  <c r="J516" i="4" l="1"/>
  <c r="I517" i="4"/>
  <c r="G517" i="4"/>
  <c r="H517" i="4"/>
  <c r="B518" i="4"/>
  <c r="A517" i="4"/>
  <c r="E517" i="4"/>
  <c r="F517" i="4" s="1"/>
  <c r="C517" i="4"/>
  <c r="D517" i="4" s="1"/>
  <c r="B519" i="4" l="1"/>
  <c r="A518" i="4"/>
  <c r="E518" i="4"/>
  <c r="F518" i="4" s="1"/>
  <c r="C518" i="4"/>
  <c r="D518" i="4" s="1"/>
  <c r="J517" i="4"/>
  <c r="I518" i="4"/>
  <c r="G518" i="4"/>
  <c r="H518" i="4"/>
  <c r="K59" i="3"/>
  <c r="I59" i="3"/>
  <c r="G59" i="3"/>
  <c r="E59" i="3"/>
  <c r="K58" i="3"/>
  <c r="I58" i="3"/>
  <c r="G58" i="3"/>
  <c r="E58" i="3"/>
  <c r="K57" i="3"/>
  <c r="I57" i="3"/>
  <c r="G57" i="3"/>
  <c r="E57" i="3"/>
  <c r="K56" i="3"/>
  <c r="I56" i="3"/>
  <c r="G56" i="3"/>
  <c r="E56" i="3"/>
  <c r="K55" i="3"/>
  <c r="I55" i="3"/>
  <c r="G55" i="3"/>
  <c r="E55" i="3"/>
  <c r="K54" i="3"/>
  <c r="I54" i="3"/>
  <c r="G54" i="3"/>
  <c r="E54" i="3"/>
  <c r="K53" i="3"/>
  <c r="I53" i="3"/>
  <c r="G53" i="3"/>
  <c r="E53" i="3"/>
  <c r="K52" i="3"/>
  <c r="I52" i="3"/>
  <c r="G52" i="3"/>
  <c r="E52" i="3"/>
  <c r="K51" i="3"/>
  <c r="I51" i="3"/>
  <c r="G51" i="3"/>
  <c r="E51" i="3"/>
  <c r="K50" i="3"/>
  <c r="I50" i="3"/>
  <c r="G50" i="3"/>
  <c r="E50" i="3"/>
  <c r="K49" i="3"/>
  <c r="I49" i="3"/>
  <c r="G49" i="3"/>
  <c r="E49" i="3"/>
  <c r="K48" i="3"/>
  <c r="I48" i="3"/>
  <c r="G48" i="3"/>
  <c r="E48" i="3"/>
  <c r="K47" i="3"/>
  <c r="I47" i="3"/>
  <c r="G47" i="3"/>
  <c r="E47" i="3"/>
  <c r="K46" i="3"/>
  <c r="I46" i="3"/>
  <c r="G46" i="3"/>
  <c r="E46" i="3"/>
  <c r="K45" i="3"/>
  <c r="I45" i="3"/>
  <c r="G45" i="3"/>
  <c r="E45" i="3"/>
  <c r="K44" i="3"/>
  <c r="I44" i="3"/>
  <c r="G44" i="3"/>
  <c r="E44" i="3"/>
  <c r="K43" i="3"/>
  <c r="I43" i="3"/>
  <c r="G43" i="3"/>
  <c r="E43" i="3"/>
  <c r="K42" i="3"/>
  <c r="I42" i="3"/>
  <c r="G42" i="3"/>
  <c r="E42" i="3"/>
  <c r="K41" i="3"/>
  <c r="I41" i="3"/>
  <c r="G41" i="3"/>
  <c r="E41" i="3"/>
  <c r="K40" i="3"/>
  <c r="I40" i="3"/>
  <c r="G40" i="3"/>
  <c r="E40" i="3"/>
  <c r="K39" i="3"/>
  <c r="I39" i="3"/>
  <c r="G39" i="3"/>
  <c r="E39" i="3"/>
  <c r="K38" i="3"/>
  <c r="I38" i="3"/>
  <c r="G38" i="3"/>
  <c r="E38" i="3"/>
  <c r="K37" i="3"/>
  <c r="I37" i="3"/>
  <c r="G37" i="3"/>
  <c r="E37" i="3"/>
  <c r="K36" i="3"/>
  <c r="I36" i="3"/>
  <c r="G36" i="3"/>
  <c r="E36" i="3"/>
  <c r="K35" i="3"/>
  <c r="I35" i="3"/>
  <c r="G35" i="3"/>
  <c r="E35" i="3"/>
  <c r="K34" i="3"/>
  <c r="I34" i="3"/>
  <c r="G34" i="3"/>
  <c r="E34" i="3"/>
  <c r="K33" i="3"/>
  <c r="I33" i="3"/>
  <c r="G33" i="3"/>
  <c r="E33" i="3"/>
  <c r="K32" i="3"/>
  <c r="I32" i="3"/>
  <c r="G32" i="3"/>
  <c r="E32" i="3"/>
  <c r="I31" i="3"/>
  <c r="G31" i="3"/>
  <c r="E31" i="3"/>
  <c r="I30" i="3"/>
  <c r="G30" i="3"/>
  <c r="E30" i="3"/>
  <c r="I29" i="3"/>
  <c r="G29" i="3"/>
  <c r="E29" i="3"/>
  <c r="I28" i="3"/>
  <c r="G28" i="3"/>
  <c r="E28" i="3"/>
  <c r="I27" i="3"/>
  <c r="G27" i="3"/>
  <c r="E27" i="3"/>
  <c r="I26" i="3"/>
  <c r="G26" i="3"/>
  <c r="E26" i="3"/>
  <c r="I25" i="3"/>
  <c r="G25" i="3"/>
  <c r="E25" i="3"/>
  <c r="I24" i="3"/>
  <c r="G24" i="3"/>
  <c r="E24" i="3"/>
  <c r="I23" i="3"/>
  <c r="G23" i="3"/>
  <c r="E23" i="3"/>
  <c r="I22" i="3"/>
  <c r="G22" i="3"/>
  <c r="E22" i="3"/>
  <c r="I21" i="3"/>
  <c r="G21" i="3"/>
  <c r="E21" i="3"/>
  <c r="I20" i="3"/>
  <c r="G20" i="3"/>
  <c r="E20" i="3"/>
  <c r="I19" i="3"/>
  <c r="G19" i="3"/>
  <c r="E19" i="3"/>
  <c r="I18" i="3"/>
  <c r="G18" i="3"/>
  <c r="E18" i="3"/>
  <c r="I17" i="3"/>
  <c r="G17" i="3"/>
  <c r="E17" i="3"/>
  <c r="I16" i="3"/>
  <c r="E16" i="3"/>
  <c r="I15" i="3"/>
  <c r="E15" i="3"/>
  <c r="I14" i="3"/>
  <c r="E14" i="3"/>
  <c r="I13" i="3"/>
  <c r="E13" i="3"/>
  <c r="I12" i="3"/>
  <c r="E12" i="3"/>
  <c r="E11" i="3"/>
  <c r="E10" i="3"/>
  <c r="E9" i="3"/>
  <c r="E8" i="3"/>
  <c r="E7" i="3"/>
  <c r="E6" i="3"/>
  <c r="E5" i="3"/>
  <c r="T4" i="3"/>
  <c r="E4" i="3"/>
  <c r="T3" i="3"/>
  <c r="E3" i="3"/>
  <c r="A3" i="3"/>
  <c r="B3" i="3" s="1"/>
  <c r="E2" i="3"/>
  <c r="E2001" i="1"/>
  <c r="E2000" i="1" s="1"/>
  <c r="E1999" i="1" s="1"/>
  <c r="E1998" i="1" s="1"/>
  <c r="E1997" i="1" s="1"/>
  <c r="E1996" i="1" s="1"/>
  <c r="E1995" i="1" s="1"/>
  <c r="E1994" i="1" s="1"/>
  <c r="E1993" i="1" s="1"/>
  <c r="E1992" i="1" s="1"/>
  <c r="E1991" i="1" s="1"/>
  <c r="E1990" i="1" s="1"/>
  <c r="E1989" i="1" s="1"/>
  <c r="E1988" i="1" s="1"/>
  <c r="E1987" i="1" s="1"/>
  <c r="E1986" i="1" s="1"/>
  <c r="E1985" i="1" s="1"/>
  <c r="E1984" i="1" s="1"/>
  <c r="E1983" i="1" s="1"/>
  <c r="E1982" i="1" s="1"/>
  <c r="E1981" i="1" s="1"/>
  <c r="E1980" i="1" s="1"/>
  <c r="E1979" i="1" s="1"/>
  <c r="E1978" i="1" s="1"/>
  <c r="E1977" i="1" s="1"/>
  <c r="E1976" i="1" s="1"/>
  <c r="E1975" i="1" s="1"/>
  <c r="E1974" i="1" s="1"/>
  <c r="E1973" i="1" s="1"/>
  <c r="E1972" i="1" s="1"/>
  <c r="E1971" i="1" s="1"/>
  <c r="E1970" i="1" s="1"/>
  <c r="E1969" i="1" s="1"/>
  <c r="E1968" i="1" s="1"/>
  <c r="E1967" i="1" s="1"/>
  <c r="E1966" i="1" s="1"/>
  <c r="E1965" i="1" s="1"/>
  <c r="E1964" i="1" s="1"/>
  <c r="E1963" i="1" s="1"/>
  <c r="E1962" i="1" s="1"/>
  <c r="E1961" i="1" s="1"/>
  <c r="E1960" i="1" s="1"/>
  <c r="E1959" i="1" s="1"/>
  <c r="E1958" i="1" s="1"/>
  <c r="E1957" i="1" s="1"/>
  <c r="E1956" i="1" s="1"/>
  <c r="E1955" i="1" s="1"/>
  <c r="E1954" i="1" s="1"/>
  <c r="E1953" i="1" s="1"/>
  <c r="E1952" i="1" s="1"/>
  <c r="E1951" i="1" s="1"/>
  <c r="E1950" i="1" s="1"/>
  <c r="E1949" i="1" s="1"/>
  <c r="E1948" i="1" s="1"/>
  <c r="E1947" i="1" s="1"/>
  <c r="E1946" i="1" s="1"/>
  <c r="E1945" i="1" s="1"/>
  <c r="E1944" i="1" s="1"/>
  <c r="E1943" i="1" s="1"/>
  <c r="E1942" i="1" s="1"/>
  <c r="E1941" i="1" s="1"/>
  <c r="E1940" i="1" s="1"/>
  <c r="E1939" i="1" s="1"/>
  <c r="E1938" i="1" s="1"/>
  <c r="E1937" i="1" s="1"/>
  <c r="E1936" i="1" s="1"/>
  <c r="E1935" i="1" s="1"/>
  <c r="E1934" i="1" s="1"/>
  <c r="E1933" i="1" s="1"/>
  <c r="E1932" i="1" s="1"/>
  <c r="E1931" i="1" s="1"/>
  <c r="E1930" i="1" s="1"/>
  <c r="E1929" i="1" s="1"/>
  <c r="E1928" i="1" s="1"/>
  <c r="E1927" i="1" s="1"/>
  <c r="E1926" i="1" s="1"/>
  <c r="E1925" i="1" s="1"/>
  <c r="E1924" i="1" s="1"/>
  <c r="E1923" i="1" s="1"/>
  <c r="E1922" i="1" s="1"/>
  <c r="E1921" i="1" s="1"/>
  <c r="E1920" i="1" s="1"/>
  <c r="E1919" i="1" s="1"/>
  <c r="E1918" i="1" s="1"/>
  <c r="E1917" i="1" s="1"/>
  <c r="E1916" i="1" s="1"/>
  <c r="E1915" i="1" s="1"/>
  <c r="E1914" i="1" s="1"/>
  <c r="E1913" i="1" s="1"/>
  <c r="E1912" i="1" s="1"/>
  <c r="E1911" i="1" s="1"/>
  <c r="E1910" i="1" s="1"/>
  <c r="E1909" i="1" s="1"/>
  <c r="E1908" i="1" s="1"/>
  <c r="E1907" i="1" s="1"/>
  <c r="E1906" i="1" s="1"/>
  <c r="E1905" i="1" s="1"/>
  <c r="E1904" i="1" s="1"/>
  <c r="E1903" i="1" s="1"/>
  <c r="E1902" i="1" s="1"/>
  <c r="E1901" i="1" s="1"/>
  <c r="E1900" i="1" s="1"/>
  <c r="E1899" i="1" s="1"/>
  <c r="E1898" i="1" s="1"/>
  <c r="E1897" i="1" s="1"/>
  <c r="E1896" i="1" s="1"/>
  <c r="E1895" i="1" s="1"/>
  <c r="E1894" i="1" s="1"/>
  <c r="E1893" i="1" s="1"/>
  <c r="E1892" i="1" s="1"/>
  <c r="E1891" i="1" s="1"/>
  <c r="E1890" i="1" s="1"/>
  <c r="E1889" i="1" s="1"/>
  <c r="E1888" i="1" s="1"/>
  <c r="E1887" i="1" s="1"/>
  <c r="E1886" i="1" s="1"/>
  <c r="E1885" i="1" s="1"/>
  <c r="E1884" i="1" s="1"/>
  <c r="E1883" i="1" s="1"/>
  <c r="E1882" i="1" s="1"/>
  <c r="E1881" i="1" s="1"/>
  <c r="E1880" i="1" s="1"/>
  <c r="E1879" i="1" s="1"/>
  <c r="E1878" i="1" s="1"/>
  <c r="E1877" i="1" s="1"/>
  <c r="E1876" i="1" s="1"/>
  <c r="E1875" i="1" s="1"/>
  <c r="E1874" i="1" s="1"/>
  <c r="E1873" i="1" s="1"/>
  <c r="E1872" i="1" s="1"/>
  <c r="E1871" i="1" s="1"/>
  <c r="E1870" i="1" s="1"/>
  <c r="E1869" i="1" s="1"/>
  <c r="E1868" i="1" s="1"/>
  <c r="E1867" i="1" s="1"/>
  <c r="E1866" i="1" s="1"/>
  <c r="E1865" i="1" s="1"/>
  <c r="E1864" i="1" s="1"/>
  <c r="E1863" i="1" s="1"/>
  <c r="E1862" i="1" s="1"/>
  <c r="E1861" i="1" s="1"/>
  <c r="E1860" i="1" s="1"/>
  <c r="E1859" i="1" s="1"/>
  <c r="E1858" i="1" s="1"/>
  <c r="E1857" i="1" s="1"/>
  <c r="E1856" i="1" s="1"/>
  <c r="E1855" i="1" s="1"/>
  <c r="E1854" i="1" s="1"/>
  <c r="E1853" i="1" s="1"/>
  <c r="E1852" i="1" s="1"/>
  <c r="E1851" i="1" s="1"/>
  <c r="E1850" i="1" s="1"/>
  <c r="E1849" i="1" s="1"/>
  <c r="E1848" i="1" s="1"/>
  <c r="E1847" i="1" s="1"/>
  <c r="E1846" i="1" s="1"/>
  <c r="E1845" i="1" s="1"/>
  <c r="E1844" i="1" s="1"/>
  <c r="E1843" i="1" s="1"/>
  <c r="E1842" i="1" s="1"/>
  <c r="E1841" i="1" s="1"/>
  <c r="E1840" i="1" s="1"/>
  <c r="E1839" i="1" s="1"/>
  <c r="E1838" i="1" s="1"/>
  <c r="E1837" i="1" s="1"/>
  <c r="E1836" i="1" s="1"/>
  <c r="E1835" i="1" s="1"/>
  <c r="E1834" i="1" s="1"/>
  <c r="E1833" i="1" s="1"/>
  <c r="E1832" i="1" s="1"/>
  <c r="E1831" i="1" s="1"/>
  <c r="E1830" i="1" s="1"/>
  <c r="E1829" i="1" s="1"/>
  <c r="E1828" i="1" s="1"/>
  <c r="E1827" i="1" s="1"/>
  <c r="E1826" i="1" s="1"/>
  <c r="E1825" i="1" s="1"/>
  <c r="E1824" i="1" s="1"/>
  <c r="E1823" i="1" s="1"/>
  <c r="E1822" i="1" s="1"/>
  <c r="E1821" i="1" s="1"/>
  <c r="E1820" i="1" s="1"/>
  <c r="E1819" i="1" s="1"/>
  <c r="E1818" i="1" s="1"/>
  <c r="E1817" i="1" s="1"/>
  <c r="E1816" i="1" s="1"/>
  <c r="E1815" i="1" s="1"/>
  <c r="E1814" i="1" s="1"/>
  <c r="E1813" i="1" s="1"/>
  <c r="E1812" i="1" s="1"/>
  <c r="E1811" i="1" s="1"/>
  <c r="E1810" i="1" s="1"/>
  <c r="E1809" i="1" s="1"/>
  <c r="E1808" i="1" s="1"/>
  <c r="E1807" i="1" s="1"/>
  <c r="E1806" i="1" s="1"/>
  <c r="E1805" i="1" s="1"/>
  <c r="E1804" i="1" s="1"/>
  <c r="E1803" i="1" s="1"/>
  <c r="E1802" i="1" s="1"/>
  <c r="E1801" i="1" s="1"/>
  <c r="E1800" i="1" s="1"/>
  <c r="E1799" i="1" s="1"/>
  <c r="E1798" i="1" s="1"/>
  <c r="E1797" i="1" s="1"/>
  <c r="E1796" i="1" s="1"/>
  <c r="E1795" i="1" s="1"/>
  <c r="E1794" i="1" s="1"/>
  <c r="E1793" i="1" s="1"/>
  <c r="E1792" i="1" s="1"/>
  <c r="E1791" i="1" s="1"/>
  <c r="E1790" i="1" s="1"/>
  <c r="E1789" i="1" s="1"/>
  <c r="E1788" i="1" s="1"/>
  <c r="E1787" i="1" s="1"/>
  <c r="E1786" i="1" s="1"/>
  <c r="E1785" i="1" s="1"/>
  <c r="E1784" i="1" s="1"/>
  <c r="E1783" i="1" s="1"/>
  <c r="E1782" i="1" s="1"/>
  <c r="E1781" i="1" s="1"/>
  <c r="E1780" i="1" s="1"/>
  <c r="E1779" i="1" s="1"/>
  <c r="E1778" i="1" s="1"/>
  <c r="E1777" i="1" s="1"/>
  <c r="E1776" i="1" s="1"/>
  <c r="E1775" i="1" s="1"/>
  <c r="E1774" i="1" s="1"/>
  <c r="E1773" i="1" s="1"/>
  <c r="E1772" i="1" s="1"/>
  <c r="E1771" i="1" s="1"/>
  <c r="E1770" i="1" s="1"/>
  <c r="E1769" i="1" s="1"/>
  <c r="E1768" i="1" s="1"/>
  <c r="E1767" i="1" s="1"/>
  <c r="E1766" i="1" s="1"/>
  <c r="E1765" i="1" s="1"/>
  <c r="E1764" i="1" s="1"/>
  <c r="E1763" i="1" s="1"/>
  <c r="E1762" i="1" s="1"/>
  <c r="E1761" i="1" s="1"/>
  <c r="E1760" i="1" s="1"/>
  <c r="E1759" i="1" s="1"/>
  <c r="E1758" i="1" s="1"/>
  <c r="E1757" i="1" s="1"/>
  <c r="E1756" i="1" s="1"/>
  <c r="E1755" i="1" s="1"/>
  <c r="E1754" i="1" s="1"/>
  <c r="E1753" i="1" s="1"/>
  <c r="E1752" i="1" s="1"/>
  <c r="E1751" i="1" s="1"/>
  <c r="E1750" i="1" s="1"/>
  <c r="E1749" i="1" s="1"/>
  <c r="E1748" i="1" s="1"/>
  <c r="E1747" i="1" s="1"/>
  <c r="E1746" i="1" s="1"/>
  <c r="E1745" i="1" s="1"/>
  <c r="E1744" i="1" s="1"/>
  <c r="E1743" i="1" s="1"/>
  <c r="E1742" i="1" s="1"/>
  <c r="E1741" i="1" s="1"/>
  <c r="E1740" i="1" s="1"/>
  <c r="E1739" i="1" s="1"/>
  <c r="E1738" i="1" s="1"/>
  <c r="E1737" i="1" s="1"/>
  <c r="E1736" i="1" s="1"/>
  <c r="E1735" i="1" s="1"/>
  <c r="E1734" i="1" s="1"/>
  <c r="E1733" i="1" s="1"/>
  <c r="E1732" i="1" s="1"/>
  <c r="E1731" i="1" s="1"/>
  <c r="E1730" i="1" s="1"/>
  <c r="E1729" i="1" s="1"/>
  <c r="E1728" i="1" s="1"/>
  <c r="E1727" i="1" s="1"/>
  <c r="E1726" i="1" s="1"/>
  <c r="E1725" i="1" s="1"/>
  <c r="E1724" i="1" s="1"/>
  <c r="E1723" i="1" s="1"/>
  <c r="E1722" i="1" s="1"/>
  <c r="E1721" i="1" s="1"/>
  <c r="E1720" i="1" s="1"/>
  <c r="E1719" i="1" s="1"/>
  <c r="E1718" i="1" s="1"/>
  <c r="E1717" i="1" s="1"/>
  <c r="E1716" i="1" s="1"/>
  <c r="E1715" i="1" s="1"/>
  <c r="E1714" i="1" s="1"/>
  <c r="E1713" i="1" s="1"/>
  <c r="E1712" i="1" s="1"/>
  <c r="E1711" i="1" s="1"/>
  <c r="E1710" i="1" s="1"/>
  <c r="E1709" i="1" s="1"/>
  <c r="E1708" i="1" s="1"/>
  <c r="E1707" i="1" s="1"/>
  <c r="E1706" i="1" s="1"/>
  <c r="E1705" i="1" s="1"/>
  <c r="E1704" i="1" s="1"/>
  <c r="E1703" i="1" s="1"/>
  <c r="E1702" i="1" s="1"/>
  <c r="E1701" i="1" s="1"/>
  <c r="E1700" i="1" s="1"/>
  <c r="E1699" i="1" s="1"/>
  <c r="E1698" i="1" s="1"/>
  <c r="E1697" i="1" s="1"/>
  <c r="E1696" i="1" s="1"/>
  <c r="E1695" i="1" s="1"/>
  <c r="E1694" i="1" s="1"/>
  <c r="E1693" i="1" s="1"/>
  <c r="E1692" i="1" s="1"/>
  <c r="E1691" i="1" s="1"/>
  <c r="E1690" i="1" s="1"/>
  <c r="E1689" i="1" s="1"/>
  <c r="E1688" i="1" s="1"/>
  <c r="E1687" i="1" s="1"/>
  <c r="E1686" i="1" s="1"/>
  <c r="E1685" i="1" s="1"/>
  <c r="E1684" i="1" s="1"/>
  <c r="E1683" i="1" s="1"/>
  <c r="E1682" i="1" s="1"/>
  <c r="E1681" i="1" s="1"/>
  <c r="E1680" i="1" s="1"/>
  <c r="E1679" i="1" s="1"/>
  <c r="E1678" i="1" s="1"/>
  <c r="E1677" i="1" s="1"/>
  <c r="E1676" i="1" s="1"/>
  <c r="E1675" i="1" s="1"/>
  <c r="E1674" i="1" s="1"/>
  <c r="E1673" i="1" s="1"/>
  <c r="E1672" i="1" s="1"/>
  <c r="E1671" i="1" s="1"/>
  <c r="E1670" i="1" s="1"/>
  <c r="E1669" i="1" s="1"/>
  <c r="E1668" i="1" s="1"/>
  <c r="E1667" i="1" s="1"/>
  <c r="E1666" i="1" s="1"/>
  <c r="E1665" i="1" s="1"/>
  <c r="E1664" i="1" s="1"/>
  <c r="E1663" i="1" s="1"/>
  <c r="E1662" i="1" s="1"/>
  <c r="E1661" i="1" s="1"/>
  <c r="E1660" i="1" s="1"/>
  <c r="E1659" i="1" s="1"/>
  <c r="E1658" i="1" s="1"/>
  <c r="E1657" i="1" s="1"/>
  <c r="E1656" i="1" s="1"/>
  <c r="E1655" i="1" s="1"/>
  <c r="E1654" i="1" s="1"/>
  <c r="E1653" i="1" s="1"/>
  <c r="E1652" i="1" s="1"/>
  <c r="E1651" i="1" s="1"/>
  <c r="E1650" i="1" s="1"/>
  <c r="E1649" i="1" s="1"/>
  <c r="E1648" i="1" s="1"/>
  <c r="E1647" i="1" s="1"/>
  <c r="E1646" i="1" s="1"/>
  <c r="E1645" i="1" s="1"/>
  <c r="E1644" i="1" s="1"/>
  <c r="E1643" i="1" s="1"/>
  <c r="E1642" i="1" s="1"/>
  <c r="E1641" i="1" s="1"/>
  <c r="E1640" i="1" s="1"/>
  <c r="E1639" i="1" s="1"/>
  <c r="E1638" i="1" s="1"/>
  <c r="E1637" i="1" s="1"/>
  <c r="E1636" i="1" s="1"/>
  <c r="E1635" i="1" s="1"/>
  <c r="E1634" i="1" s="1"/>
  <c r="E1633" i="1" s="1"/>
  <c r="E1632" i="1" s="1"/>
  <c r="E1631" i="1" s="1"/>
  <c r="E1630" i="1" s="1"/>
  <c r="E1629" i="1" s="1"/>
  <c r="E1628" i="1" s="1"/>
  <c r="E1627" i="1" s="1"/>
  <c r="E1626" i="1" s="1"/>
  <c r="E1625" i="1" s="1"/>
  <c r="E1624" i="1" s="1"/>
  <c r="E1623" i="1" s="1"/>
  <c r="E1622" i="1" s="1"/>
  <c r="E1621" i="1" s="1"/>
  <c r="E1620" i="1" s="1"/>
  <c r="E1619" i="1" s="1"/>
  <c r="E1618" i="1" s="1"/>
  <c r="E1617" i="1" s="1"/>
  <c r="E1616" i="1" s="1"/>
  <c r="E1615" i="1" s="1"/>
  <c r="E1614" i="1" s="1"/>
  <c r="E1613" i="1" s="1"/>
  <c r="E1612" i="1" s="1"/>
  <c r="E1611" i="1" s="1"/>
  <c r="E1610" i="1" s="1"/>
  <c r="E1609" i="1" s="1"/>
  <c r="E1608" i="1" s="1"/>
  <c r="E1607" i="1" s="1"/>
  <c r="E1606" i="1" s="1"/>
  <c r="E1605" i="1" s="1"/>
  <c r="E1604" i="1" s="1"/>
  <c r="E1603" i="1" s="1"/>
  <c r="E1602" i="1" s="1"/>
  <c r="E1601" i="1" s="1"/>
  <c r="E1600" i="1" s="1"/>
  <c r="E1599" i="1" s="1"/>
  <c r="E1598" i="1" s="1"/>
  <c r="E1597" i="1" s="1"/>
  <c r="E1596" i="1" s="1"/>
  <c r="E1595" i="1" s="1"/>
  <c r="E1594" i="1" s="1"/>
  <c r="E1593" i="1" s="1"/>
  <c r="E1592" i="1" s="1"/>
  <c r="E1591" i="1" s="1"/>
  <c r="E1590" i="1" s="1"/>
  <c r="E1589" i="1" s="1"/>
  <c r="E1588" i="1" s="1"/>
  <c r="E1587" i="1" s="1"/>
  <c r="E1586" i="1" s="1"/>
  <c r="E1585" i="1" s="1"/>
  <c r="E1584" i="1" s="1"/>
  <c r="E1583" i="1" s="1"/>
  <c r="E1582" i="1" s="1"/>
  <c r="E1581" i="1" s="1"/>
  <c r="E1580" i="1" s="1"/>
  <c r="E1579" i="1" s="1"/>
  <c r="E1578" i="1" s="1"/>
  <c r="E1577" i="1" s="1"/>
  <c r="E1576" i="1" s="1"/>
  <c r="E1575" i="1" s="1"/>
  <c r="E1574" i="1" s="1"/>
  <c r="E1573" i="1" s="1"/>
  <c r="E1572" i="1" s="1"/>
  <c r="E1571" i="1" s="1"/>
  <c r="E1570" i="1" s="1"/>
  <c r="E1569" i="1" s="1"/>
  <c r="E1568" i="1" s="1"/>
  <c r="E1567" i="1" s="1"/>
  <c r="E1566" i="1" s="1"/>
  <c r="E1565" i="1" s="1"/>
  <c r="E1564" i="1" s="1"/>
  <c r="E1563" i="1" s="1"/>
  <c r="E1562" i="1" s="1"/>
  <c r="E1561" i="1" s="1"/>
  <c r="E1560" i="1" s="1"/>
  <c r="E1559" i="1" s="1"/>
  <c r="E1558" i="1" s="1"/>
  <c r="E1557" i="1" s="1"/>
  <c r="E1556" i="1" s="1"/>
  <c r="E1555" i="1" s="1"/>
  <c r="E1554" i="1" s="1"/>
  <c r="E1553" i="1" s="1"/>
  <c r="E1552" i="1" s="1"/>
  <c r="E1551" i="1" s="1"/>
  <c r="E1550" i="1" s="1"/>
  <c r="E1549" i="1" s="1"/>
  <c r="E1548" i="1" s="1"/>
  <c r="E1547" i="1" s="1"/>
  <c r="E1546" i="1" s="1"/>
  <c r="E1545" i="1" s="1"/>
  <c r="E1544" i="1" s="1"/>
  <c r="E1543" i="1" s="1"/>
  <c r="E1542" i="1" s="1"/>
  <c r="E1541" i="1" s="1"/>
  <c r="E1540" i="1" s="1"/>
  <c r="E1539" i="1" s="1"/>
  <c r="E1538" i="1" s="1"/>
  <c r="E1537" i="1" s="1"/>
  <c r="E1536" i="1" s="1"/>
  <c r="E1535" i="1" s="1"/>
  <c r="E1534" i="1" s="1"/>
  <c r="E1533" i="1" s="1"/>
  <c r="E1532" i="1" s="1"/>
  <c r="E1531" i="1" s="1"/>
  <c r="E1530" i="1" s="1"/>
  <c r="E1529" i="1" s="1"/>
  <c r="E1528" i="1" s="1"/>
  <c r="E1527" i="1" s="1"/>
  <c r="E1526" i="1" s="1"/>
  <c r="E1525" i="1" s="1"/>
  <c r="E1524" i="1" s="1"/>
  <c r="E1523" i="1" s="1"/>
  <c r="E1522" i="1" s="1"/>
  <c r="E1521" i="1" s="1"/>
  <c r="E1520" i="1" s="1"/>
  <c r="E1519" i="1" s="1"/>
  <c r="E1518" i="1" s="1"/>
  <c r="E1517" i="1" s="1"/>
  <c r="E1516" i="1" s="1"/>
  <c r="E1515" i="1" s="1"/>
  <c r="E1514" i="1" s="1"/>
  <c r="E1513" i="1" s="1"/>
  <c r="E1512" i="1" s="1"/>
  <c r="E1511" i="1" s="1"/>
  <c r="E1510" i="1" s="1"/>
  <c r="E1509" i="1" s="1"/>
  <c r="E1508" i="1" s="1"/>
  <c r="E1507" i="1" s="1"/>
  <c r="E1506" i="1" s="1"/>
  <c r="E1505" i="1" s="1"/>
  <c r="E1504" i="1" s="1"/>
  <c r="E1503" i="1" s="1"/>
  <c r="E1502" i="1" s="1"/>
  <c r="E1501" i="1" s="1"/>
  <c r="E1500" i="1" s="1"/>
  <c r="E1499" i="1" s="1"/>
  <c r="E1498" i="1" s="1"/>
  <c r="E1497" i="1" s="1"/>
  <c r="E1496" i="1" s="1"/>
  <c r="E1495" i="1" s="1"/>
  <c r="E1494" i="1" s="1"/>
  <c r="E1493" i="1" s="1"/>
  <c r="E1492" i="1" s="1"/>
  <c r="E1491" i="1" s="1"/>
  <c r="E1490" i="1" s="1"/>
  <c r="E1489" i="1" s="1"/>
  <c r="E1488" i="1" s="1"/>
  <c r="E1487" i="1" s="1"/>
  <c r="E1486" i="1" s="1"/>
  <c r="E1485" i="1" s="1"/>
  <c r="E1484" i="1" s="1"/>
  <c r="E1483" i="1" s="1"/>
  <c r="E1482" i="1" s="1"/>
  <c r="E1481" i="1" s="1"/>
  <c r="E1480" i="1" s="1"/>
  <c r="E1479" i="1" s="1"/>
  <c r="E1478" i="1" s="1"/>
  <c r="E1477" i="1" s="1"/>
  <c r="E1476" i="1" s="1"/>
  <c r="E1475" i="1" s="1"/>
  <c r="E1474" i="1" s="1"/>
  <c r="E1473" i="1" s="1"/>
  <c r="E1472" i="1" s="1"/>
  <c r="E1471" i="1" s="1"/>
  <c r="E1470" i="1" s="1"/>
  <c r="E1469" i="1" s="1"/>
  <c r="E1468" i="1" s="1"/>
  <c r="E1467" i="1" s="1"/>
  <c r="E1466" i="1" s="1"/>
  <c r="E1465" i="1" s="1"/>
  <c r="E1464" i="1" s="1"/>
  <c r="E1463" i="1" s="1"/>
  <c r="E1462" i="1" s="1"/>
  <c r="E1461" i="1" s="1"/>
  <c r="E1460" i="1" s="1"/>
  <c r="E1459" i="1" s="1"/>
  <c r="E1458" i="1" s="1"/>
  <c r="E1457" i="1" s="1"/>
  <c r="E1456" i="1" s="1"/>
  <c r="E1455" i="1" s="1"/>
  <c r="E1454" i="1" s="1"/>
  <c r="E1453" i="1" s="1"/>
  <c r="E1452" i="1" s="1"/>
  <c r="E1451" i="1" s="1"/>
  <c r="E1450" i="1" s="1"/>
  <c r="E1449" i="1" s="1"/>
  <c r="E1448" i="1" s="1"/>
  <c r="E1447" i="1" s="1"/>
  <c r="E1446" i="1" s="1"/>
  <c r="E1445" i="1" s="1"/>
  <c r="E1444" i="1" s="1"/>
  <c r="E1443" i="1" s="1"/>
  <c r="E1442" i="1" s="1"/>
  <c r="E1441" i="1" s="1"/>
  <c r="E1440" i="1" s="1"/>
  <c r="E1439" i="1" s="1"/>
  <c r="E1438" i="1" s="1"/>
  <c r="E1437" i="1" s="1"/>
  <c r="E1436" i="1" s="1"/>
  <c r="E1435" i="1" s="1"/>
  <c r="E1434" i="1" s="1"/>
  <c r="E1433" i="1" s="1"/>
  <c r="E1432" i="1" s="1"/>
  <c r="E1431" i="1" s="1"/>
  <c r="E1430" i="1" s="1"/>
  <c r="E1429" i="1" s="1"/>
  <c r="E1428" i="1" s="1"/>
  <c r="E1427" i="1" s="1"/>
  <c r="E1426" i="1" s="1"/>
  <c r="E1425" i="1" s="1"/>
  <c r="E1424" i="1" s="1"/>
  <c r="E1423" i="1" s="1"/>
  <c r="E1422" i="1" s="1"/>
  <c r="E1421" i="1" s="1"/>
  <c r="E1420" i="1" s="1"/>
  <c r="E1419" i="1" s="1"/>
  <c r="E1418" i="1" s="1"/>
  <c r="E1417" i="1" s="1"/>
  <c r="E1416" i="1" s="1"/>
  <c r="E1415" i="1" s="1"/>
  <c r="E1414" i="1" s="1"/>
  <c r="E1413" i="1" s="1"/>
  <c r="E1412" i="1" s="1"/>
  <c r="E1411" i="1" s="1"/>
  <c r="E1410" i="1" s="1"/>
  <c r="E1409" i="1" s="1"/>
  <c r="E1408" i="1" s="1"/>
  <c r="E1407" i="1" s="1"/>
  <c r="E1406" i="1" s="1"/>
  <c r="E1405" i="1" s="1"/>
  <c r="E1404" i="1" s="1"/>
  <c r="E1403" i="1" s="1"/>
  <c r="E1402" i="1" s="1"/>
  <c r="E1401" i="1" s="1"/>
  <c r="E1400" i="1" s="1"/>
  <c r="E1399" i="1" s="1"/>
  <c r="E1398" i="1" s="1"/>
  <c r="E1397" i="1" s="1"/>
  <c r="E1396" i="1" s="1"/>
  <c r="E1395" i="1" s="1"/>
  <c r="E1394" i="1" s="1"/>
  <c r="E1393" i="1" s="1"/>
  <c r="E1392" i="1" s="1"/>
  <c r="E1391" i="1" s="1"/>
  <c r="E1390" i="1" s="1"/>
  <c r="E1389" i="1" s="1"/>
  <c r="E1388" i="1" s="1"/>
  <c r="E1387" i="1" s="1"/>
  <c r="E1386" i="1" s="1"/>
  <c r="E1385" i="1" s="1"/>
  <c r="E1384" i="1" s="1"/>
  <c r="E1383" i="1" s="1"/>
  <c r="E1382" i="1" s="1"/>
  <c r="E1381" i="1" s="1"/>
  <c r="E1380" i="1" s="1"/>
  <c r="E1379" i="1" s="1"/>
  <c r="E1378" i="1" s="1"/>
  <c r="E1377" i="1" s="1"/>
  <c r="E1376" i="1" s="1"/>
  <c r="E1375" i="1" s="1"/>
  <c r="E1374" i="1" s="1"/>
  <c r="E1373" i="1" s="1"/>
  <c r="E1372" i="1" s="1"/>
  <c r="E1371" i="1" s="1"/>
  <c r="E1370" i="1" s="1"/>
  <c r="E1369" i="1" s="1"/>
  <c r="E1368" i="1" s="1"/>
  <c r="E1367" i="1" s="1"/>
  <c r="E1366" i="1" s="1"/>
  <c r="E1365" i="1" s="1"/>
  <c r="E1364" i="1" s="1"/>
  <c r="E1363" i="1" s="1"/>
  <c r="E1362" i="1" s="1"/>
  <c r="E1361" i="1" s="1"/>
  <c r="E1360" i="1" s="1"/>
  <c r="E1359" i="1" s="1"/>
  <c r="E1358" i="1" s="1"/>
  <c r="E1357" i="1" s="1"/>
  <c r="E1356" i="1" s="1"/>
  <c r="E1355" i="1" s="1"/>
  <c r="E1354" i="1" s="1"/>
  <c r="E1353" i="1" s="1"/>
  <c r="E1352" i="1" s="1"/>
  <c r="E1351" i="1" s="1"/>
  <c r="E1350" i="1" s="1"/>
  <c r="E1349" i="1" s="1"/>
  <c r="E1348" i="1" s="1"/>
  <c r="E1347" i="1" s="1"/>
  <c r="E1346" i="1" s="1"/>
  <c r="E1345" i="1" s="1"/>
  <c r="E1344" i="1" s="1"/>
  <c r="E1343" i="1" s="1"/>
  <c r="E1342" i="1" s="1"/>
  <c r="E1341" i="1" s="1"/>
  <c r="E1340" i="1" s="1"/>
  <c r="E1339" i="1" s="1"/>
  <c r="E1338" i="1" s="1"/>
  <c r="E1337" i="1" s="1"/>
  <c r="E1336" i="1" s="1"/>
  <c r="E1335" i="1" s="1"/>
  <c r="E1334" i="1" s="1"/>
  <c r="E1333" i="1" s="1"/>
  <c r="E1332" i="1" s="1"/>
  <c r="E1331" i="1" s="1"/>
  <c r="E1330" i="1" s="1"/>
  <c r="E1329" i="1" s="1"/>
  <c r="E1328" i="1" s="1"/>
  <c r="E1327" i="1" s="1"/>
  <c r="E1326" i="1" s="1"/>
  <c r="E1325" i="1" s="1"/>
  <c r="E1324" i="1" s="1"/>
  <c r="E1323" i="1" s="1"/>
  <c r="E1322" i="1" s="1"/>
  <c r="E1321" i="1" s="1"/>
  <c r="E1320" i="1" s="1"/>
  <c r="E1319" i="1" s="1"/>
  <c r="E1318" i="1" s="1"/>
  <c r="E1317" i="1" s="1"/>
  <c r="E1316" i="1" s="1"/>
  <c r="E1315" i="1" s="1"/>
  <c r="E1314" i="1" s="1"/>
  <c r="E1313" i="1" s="1"/>
  <c r="E1312" i="1" s="1"/>
  <c r="E1311" i="1" s="1"/>
  <c r="E1310" i="1" s="1"/>
  <c r="E1309" i="1" s="1"/>
  <c r="E1308" i="1" s="1"/>
  <c r="E1307" i="1" s="1"/>
  <c r="E1306" i="1" s="1"/>
  <c r="E1305" i="1" s="1"/>
  <c r="E1304" i="1" s="1"/>
  <c r="E1303" i="1" s="1"/>
  <c r="E1302" i="1" s="1"/>
  <c r="E1301" i="1" s="1"/>
  <c r="E1300" i="1" s="1"/>
  <c r="E1299" i="1" s="1"/>
  <c r="E1298" i="1" s="1"/>
  <c r="E1297" i="1" s="1"/>
  <c r="E1296" i="1" s="1"/>
  <c r="E1295" i="1" s="1"/>
  <c r="E1294" i="1" s="1"/>
  <c r="E1293" i="1" s="1"/>
  <c r="E1292" i="1" s="1"/>
  <c r="E1291" i="1" s="1"/>
  <c r="E1290" i="1" s="1"/>
  <c r="E1289" i="1" s="1"/>
  <c r="E1288" i="1" s="1"/>
  <c r="E1287" i="1" s="1"/>
  <c r="E1286" i="1" s="1"/>
  <c r="E1285" i="1" s="1"/>
  <c r="E1284" i="1" s="1"/>
  <c r="E1283" i="1" s="1"/>
  <c r="E1282" i="1" s="1"/>
  <c r="E1281" i="1" s="1"/>
  <c r="E1280" i="1" s="1"/>
  <c r="E1279" i="1" s="1"/>
  <c r="E1278" i="1" s="1"/>
  <c r="E1277" i="1" s="1"/>
  <c r="E1276" i="1" s="1"/>
  <c r="E1275" i="1" s="1"/>
  <c r="E1274" i="1" s="1"/>
  <c r="E1273" i="1" s="1"/>
  <c r="E1272" i="1" s="1"/>
  <c r="E1271" i="1" s="1"/>
  <c r="E1270" i="1" s="1"/>
  <c r="E1269" i="1" s="1"/>
  <c r="E1268" i="1" s="1"/>
  <c r="E1267" i="1" s="1"/>
  <c r="E1266" i="1" s="1"/>
  <c r="E1265" i="1" s="1"/>
  <c r="E1264" i="1" s="1"/>
  <c r="E1263" i="1" s="1"/>
  <c r="E1262" i="1" s="1"/>
  <c r="E1261" i="1" s="1"/>
  <c r="E1260" i="1" s="1"/>
  <c r="E1259" i="1" s="1"/>
  <c r="E1258" i="1" s="1"/>
  <c r="E1257" i="1" s="1"/>
  <c r="E1256" i="1" s="1"/>
  <c r="E1255" i="1" s="1"/>
  <c r="E1254" i="1" s="1"/>
  <c r="E1253" i="1" s="1"/>
  <c r="E1252" i="1" s="1"/>
  <c r="E1251" i="1" s="1"/>
  <c r="E1250" i="1" s="1"/>
  <c r="E1249" i="1" s="1"/>
  <c r="E1248" i="1" s="1"/>
  <c r="E1247" i="1" s="1"/>
  <c r="E1246" i="1" s="1"/>
  <c r="E1245" i="1" s="1"/>
  <c r="E1244" i="1" s="1"/>
  <c r="E1243" i="1" s="1"/>
  <c r="E1242" i="1" s="1"/>
  <c r="E1241" i="1" s="1"/>
  <c r="E1240" i="1" s="1"/>
  <c r="E1239" i="1" s="1"/>
  <c r="E1238" i="1" s="1"/>
  <c r="E1237" i="1" s="1"/>
  <c r="E1236" i="1" s="1"/>
  <c r="E1235" i="1" s="1"/>
  <c r="E1234" i="1" s="1"/>
  <c r="E1233" i="1" s="1"/>
  <c r="E1232" i="1" s="1"/>
  <c r="E1231" i="1" s="1"/>
  <c r="E1230" i="1" s="1"/>
  <c r="E1229" i="1" s="1"/>
  <c r="E1228" i="1" s="1"/>
  <c r="E1227" i="1" s="1"/>
  <c r="E1226" i="1" s="1"/>
  <c r="E1225" i="1" s="1"/>
  <c r="E1224" i="1" s="1"/>
  <c r="E1223" i="1" s="1"/>
  <c r="E1222" i="1" s="1"/>
  <c r="E1221" i="1" s="1"/>
  <c r="E1220" i="1" s="1"/>
  <c r="E1219" i="1" s="1"/>
  <c r="E1218" i="1" s="1"/>
  <c r="E1217" i="1" s="1"/>
  <c r="E1216" i="1" s="1"/>
  <c r="E1215" i="1" s="1"/>
  <c r="E1214" i="1" s="1"/>
  <c r="E1213" i="1" s="1"/>
  <c r="E1212" i="1" s="1"/>
  <c r="E1211" i="1" s="1"/>
  <c r="E1210" i="1" s="1"/>
  <c r="E1209" i="1" s="1"/>
  <c r="E1208" i="1" s="1"/>
  <c r="E1207" i="1" s="1"/>
  <c r="E1206" i="1" s="1"/>
  <c r="E1205" i="1" s="1"/>
  <c r="E1204" i="1" s="1"/>
  <c r="E1203" i="1" s="1"/>
  <c r="E1202" i="1" s="1"/>
  <c r="E1201" i="1" s="1"/>
  <c r="E1200" i="1" s="1"/>
  <c r="E1199" i="1" s="1"/>
  <c r="E1198" i="1" s="1"/>
  <c r="E1197" i="1" s="1"/>
  <c r="E1196" i="1" s="1"/>
  <c r="E1195" i="1" s="1"/>
  <c r="E1194" i="1" s="1"/>
  <c r="E1193" i="1" s="1"/>
  <c r="E1192" i="1" s="1"/>
  <c r="E1191" i="1" s="1"/>
  <c r="E1190" i="1" s="1"/>
  <c r="E1189" i="1" s="1"/>
  <c r="E1188" i="1" s="1"/>
  <c r="E1187" i="1" s="1"/>
  <c r="E1186" i="1" s="1"/>
  <c r="E1185" i="1" s="1"/>
  <c r="E1184" i="1" s="1"/>
  <c r="E1183" i="1" s="1"/>
  <c r="E1182" i="1" s="1"/>
  <c r="E1181" i="1" s="1"/>
  <c r="E1180" i="1" s="1"/>
  <c r="E1179" i="1" s="1"/>
  <c r="E1178" i="1" s="1"/>
  <c r="E1177" i="1" s="1"/>
  <c r="E1176" i="1" s="1"/>
  <c r="E1175" i="1" s="1"/>
  <c r="E1174" i="1" s="1"/>
  <c r="E1173" i="1" s="1"/>
  <c r="E1172" i="1" s="1"/>
  <c r="E1171" i="1" s="1"/>
  <c r="E1170" i="1" s="1"/>
  <c r="E1169" i="1" s="1"/>
  <c r="E1168" i="1" s="1"/>
  <c r="E1167" i="1" s="1"/>
  <c r="E1166" i="1" s="1"/>
  <c r="E1165" i="1" s="1"/>
  <c r="E1164" i="1" s="1"/>
  <c r="E1163" i="1" s="1"/>
  <c r="E1162" i="1" s="1"/>
  <c r="E1161" i="1" s="1"/>
  <c r="E1160" i="1" s="1"/>
  <c r="E1159" i="1" s="1"/>
  <c r="E1158" i="1" s="1"/>
  <c r="E1157" i="1" s="1"/>
  <c r="E1156" i="1" s="1"/>
  <c r="E1155" i="1" s="1"/>
  <c r="E1154" i="1" s="1"/>
  <c r="E1153" i="1" s="1"/>
  <c r="E1152" i="1" s="1"/>
  <c r="E1151" i="1" s="1"/>
  <c r="E1150" i="1" s="1"/>
  <c r="E1149" i="1" s="1"/>
  <c r="E1148" i="1" s="1"/>
  <c r="E1147" i="1" s="1"/>
  <c r="E1146" i="1" s="1"/>
  <c r="E1145" i="1" s="1"/>
  <c r="E1144" i="1" s="1"/>
  <c r="E1143" i="1" s="1"/>
  <c r="E1142" i="1" s="1"/>
  <c r="E1141" i="1" s="1"/>
  <c r="E1140" i="1" s="1"/>
  <c r="E1139" i="1" s="1"/>
  <c r="E1138" i="1" s="1"/>
  <c r="E1137" i="1" s="1"/>
  <c r="E1136" i="1" s="1"/>
  <c r="E1135" i="1" s="1"/>
  <c r="E1134" i="1" s="1"/>
  <c r="E1133" i="1" s="1"/>
  <c r="E1132" i="1" s="1"/>
  <c r="E1131" i="1" s="1"/>
  <c r="E1130" i="1" s="1"/>
  <c r="E1129" i="1" s="1"/>
  <c r="E1128" i="1" s="1"/>
  <c r="E1127" i="1" s="1"/>
  <c r="E1126" i="1" s="1"/>
  <c r="E1125" i="1" s="1"/>
  <c r="E1124" i="1" s="1"/>
  <c r="E1123" i="1" s="1"/>
  <c r="E1122" i="1" s="1"/>
  <c r="E1121" i="1" s="1"/>
  <c r="E1120" i="1" s="1"/>
  <c r="E1119" i="1" s="1"/>
  <c r="E1118" i="1" s="1"/>
  <c r="E1117" i="1" s="1"/>
  <c r="E1116" i="1" s="1"/>
  <c r="E1115" i="1" s="1"/>
  <c r="E1114" i="1" s="1"/>
  <c r="E1113" i="1" s="1"/>
  <c r="E1112" i="1" s="1"/>
  <c r="E1111" i="1" s="1"/>
  <c r="E1110" i="1" s="1"/>
  <c r="E1109" i="1" s="1"/>
  <c r="E1108" i="1" s="1"/>
  <c r="E1107" i="1" s="1"/>
  <c r="E1106" i="1" s="1"/>
  <c r="E1105" i="1" s="1"/>
  <c r="E1104" i="1" s="1"/>
  <c r="E1103" i="1" s="1"/>
  <c r="E1102" i="1" s="1"/>
  <c r="E1101" i="1" s="1"/>
  <c r="E1100" i="1" s="1"/>
  <c r="E1099" i="1" s="1"/>
  <c r="E1098" i="1" s="1"/>
  <c r="E1097" i="1" s="1"/>
  <c r="E1096" i="1" s="1"/>
  <c r="E1095" i="1" s="1"/>
  <c r="E1094" i="1" s="1"/>
  <c r="E1093" i="1" s="1"/>
  <c r="E1092" i="1" s="1"/>
  <c r="E1091" i="1" s="1"/>
  <c r="E1090" i="1" s="1"/>
  <c r="E1089" i="1" s="1"/>
  <c r="E1088" i="1" s="1"/>
  <c r="E1087" i="1" s="1"/>
  <c r="E1086" i="1" s="1"/>
  <c r="E1085" i="1" s="1"/>
  <c r="E1084" i="1" s="1"/>
  <c r="E1083" i="1" s="1"/>
  <c r="E1082" i="1" s="1"/>
  <c r="E1081" i="1" s="1"/>
  <c r="E1080" i="1" s="1"/>
  <c r="E1079" i="1" s="1"/>
  <c r="E1078" i="1" s="1"/>
  <c r="E1077" i="1" s="1"/>
  <c r="E1076" i="1" s="1"/>
  <c r="E1075" i="1" s="1"/>
  <c r="E1074" i="1" s="1"/>
  <c r="E1073" i="1" s="1"/>
  <c r="E1072" i="1" s="1"/>
  <c r="E1071" i="1" s="1"/>
  <c r="E1070" i="1" s="1"/>
  <c r="E1069" i="1" s="1"/>
  <c r="E1068" i="1" s="1"/>
  <c r="E1067" i="1" s="1"/>
  <c r="E1066" i="1" s="1"/>
  <c r="E1065" i="1" s="1"/>
  <c r="E1064" i="1" s="1"/>
  <c r="E1063" i="1" s="1"/>
  <c r="E1062" i="1" s="1"/>
  <c r="E1061" i="1" s="1"/>
  <c r="E1060" i="1" s="1"/>
  <c r="E1059" i="1" s="1"/>
  <c r="E1058" i="1" s="1"/>
  <c r="E1057" i="1" s="1"/>
  <c r="E1056" i="1" s="1"/>
  <c r="E1055" i="1" s="1"/>
  <c r="E1054" i="1" s="1"/>
  <c r="E1053" i="1" s="1"/>
  <c r="E1052" i="1" s="1"/>
  <c r="E1051" i="1" s="1"/>
  <c r="E1050" i="1" s="1"/>
  <c r="E1049" i="1" s="1"/>
  <c r="E1048" i="1" s="1"/>
  <c r="E1047" i="1" s="1"/>
  <c r="E1046" i="1" s="1"/>
  <c r="E1045" i="1" s="1"/>
  <c r="E1044" i="1" s="1"/>
  <c r="E1043" i="1" s="1"/>
  <c r="E1042" i="1" s="1"/>
  <c r="E1041" i="1" s="1"/>
  <c r="E1040" i="1" s="1"/>
  <c r="E1039" i="1" s="1"/>
  <c r="E1038" i="1" s="1"/>
  <c r="E1037" i="1" s="1"/>
  <c r="E1036" i="1" s="1"/>
  <c r="E1035" i="1" s="1"/>
  <c r="E1034" i="1" s="1"/>
  <c r="E1033" i="1" s="1"/>
  <c r="E1032" i="1" s="1"/>
  <c r="E1031" i="1" s="1"/>
  <c r="E1030" i="1" s="1"/>
  <c r="E1029" i="1" s="1"/>
  <c r="E1028" i="1" s="1"/>
  <c r="E1027" i="1" s="1"/>
  <c r="E1026" i="1" s="1"/>
  <c r="E1025" i="1" s="1"/>
  <c r="E1024" i="1" s="1"/>
  <c r="E1023" i="1" s="1"/>
  <c r="E1022" i="1" s="1"/>
  <c r="E1021" i="1" s="1"/>
  <c r="E1020" i="1" s="1"/>
  <c r="E1019" i="1" s="1"/>
  <c r="E1018" i="1" s="1"/>
  <c r="E1017" i="1" s="1"/>
  <c r="E1016" i="1" s="1"/>
  <c r="E1015" i="1" s="1"/>
  <c r="E1014" i="1" s="1"/>
  <c r="E1013" i="1" s="1"/>
  <c r="E1012" i="1" s="1"/>
  <c r="E1011" i="1" s="1"/>
  <c r="E1010" i="1" s="1"/>
  <c r="E1009" i="1" s="1"/>
  <c r="E1008" i="1" s="1"/>
  <c r="E1007" i="1" s="1"/>
  <c r="E1006" i="1" s="1"/>
  <c r="E1005" i="1" s="1"/>
  <c r="E1004" i="1" s="1"/>
  <c r="E1003" i="1" s="1"/>
  <c r="E1002" i="1" s="1"/>
  <c r="E1001" i="1" s="1"/>
  <c r="E1000" i="1" s="1"/>
  <c r="E999" i="1" s="1"/>
  <c r="E998" i="1" s="1"/>
  <c r="E997" i="1" s="1"/>
  <c r="E996" i="1" s="1"/>
  <c r="E995" i="1" s="1"/>
  <c r="E994" i="1" s="1"/>
  <c r="E993" i="1" s="1"/>
  <c r="E992" i="1" s="1"/>
  <c r="E991" i="1" s="1"/>
  <c r="E990" i="1" s="1"/>
  <c r="E989" i="1" s="1"/>
  <c r="E988" i="1" s="1"/>
  <c r="E987" i="1" s="1"/>
  <c r="E986" i="1" s="1"/>
  <c r="E985" i="1" s="1"/>
  <c r="E984" i="1" s="1"/>
  <c r="E983" i="1" s="1"/>
  <c r="E982" i="1" s="1"/>
  <c r="E981" i="1" s="1"/>
  <c r="E980" i="1" s="1"/>
  <c r="E979" i="1" s="1"/>
  <c r="E978" i="1" s="1"/>
  <c r="E977" i="1" s="1"/>
  <c r="E976" i="1" s="1"/>
  <c r="E975" i="1" s="1"/>
  <c r="E974" i="1" s="1"/>
  <c r="E973" i="1" s="1"/>
  <c r="E972" i="1" s="1"/>
  <c r="E971" i="1" s="1"/>
  <c r="E970" i="1" s="1"/>
  <c r="E969" i="1" s="1"/>
  <c r="E968" i="1" s="1"/>
  <c r="E967" i="1" s="1"/>
  <c r="E966" i="1" s="1"/>
  <c r="E965" i="1" s="1"/>
  <c r="E964" i="1" s="1"/>
  <c r="E963" i="1" s="1"/>
  <c r="E962" i="1" s="1"/>
  <c r="E961" i="1" s="1"/>
  <c r="E960" i="1" s="1"/>
  <c r="E959" i="1" s="1"/>
  <c r="E958" i="1" s="1"/>
  <c r="E957" i="1" s="1"/>
  <c r="E956" i="1" s="1"/>
  <c r="E955" i="1" s="1"/>
  <c r="E954" i="1" s="1"/>
  <c r="E953" i="1" s="1"/>
  <c r="E952" i="1" s="1"/>
  <c r="E951" i="1" s="1"/>
  <c r="E950" i="1" s="1"/>
  <c r="E949" i="1" s="1"/>
  <c r="E948" i="1" s="1"/>
  <c r="E947" i="1" s="1"/>
  <c r="E946" i="1" s="1"/>
  <c r="E945" i="1" s="1"/>
  <c r="E944" i="1" s="1"/>
  <c r="E943" i="1" s="1"/>
  <c r="E942" i="1" s="1"/>
  <c r="E941" i="1" s="1"/>
  <c r="E940" i="1" s="1"/>
  <c r="E939" i="1" s="1"/>
  <c r="E938" i="1" s="1"/>
  <c r="E937" i="1" s="1"/>
  <c r="E936" i="1" s="1"/>
  <c r="E935" i="1" s="1"/>
  <c r="E934" i="1" s="1"/>
  <c r="E933" i="1" s="1"/>
  <c r="E932" i="1" s="1"/>
  <c r="E931" i="1" s="1"/>
  <c r="E930" i="1" s="1"/>
  <c r="E929" i="1" s="1"/>
  <c r="E928" i="1" s="1"/>
  <c r="E927" i="1" s="1"/>
  <c r="E926" i="1" s="1"/>
  <c r="E925" i="1" s="1"/>
  <c r="E924" i="1" s="1"/>
  <c r="E923" i="1" s="1"/>
  <c r="E922" i="1" s="1"/>
  <c r="E921" i="1" s="1"/>
  <c r="E920" i="1" s="1"/>
  <c r="E919" i="1" s="1"/>
  <c r="E918" i="1" s="1"/>
  <c r="E917" i="1" s="1"/>
  <c r="E916" i="1" s="1"/>
  <c r="E915" i="1" s="1"/>
  <c r="E914" i="1" s="1"/>
  <c r="E913" i="1" s="1"/>
  <c r="E912" i="1" s="1"/>
  <c r="E911" i="1" s="1"/>
  <c r="E910" i="1" s="1"/>
  <c r="E909" i="1" s="1"/>
  <c r="E908" i="1" s="1"/>
  <c r="E907" i="1" s="1"/>
  <c r="E906" i="1" s="1"/>
  <c r="E905" i="1" s="1"/>
  <c r="E904" i="1" s="1"/>
  <c r="E903" i="1" s="1"/>
  <c r="E902" i="1" s="1"/>
  <c r="E901" i="1" s="1"/>
  <c r="E900" i="1" s="1"/>
  <c r="E899" i="1" s="1"/>
  <c r="E898" i="1" s="1"/>
  <c r="E897" i="1" s="1"/>
  <c r="E896" i="1" s="1"/>
  <c r="E895" i="1" s="1"/>
  <c r="E894" i="1" s="1"/>
  <c r="E893" i="1" s="1"/>
  <c r="E892" i="1" s="1"/>
  <c r="E891" i="1" s="1"/>
  <c r="E890" i="1" s="1"/>
  <c r="E889" i="1" s="1"/>
  <c r="E888" i="1" s="1"/>
  <c r="E887" i="1" s="1"/>
  <c r="E886" i="1" s="1"/>
  <c r="E885" i="1" s="1"/>
  <c r="E884" i="1" s="1"/>
  <c r="E883" i="1" s="1"/>
  <c r="E882" i="1" s="1"/>
  <c r="E881" i="1" s="1"/>
  <c r="E880" i="1" s="1"/>
  <c r="E879" i="1" s="1"/>
  <c r="E878" i="1" s="1"/>
  <c r="E877" i="1" s="1"/>
  <c r="E876" i="1" s="1"/>
  <c r="E875" i="1" s="1"/>
  <c r="E874" i="1" s="1"/>
  <c r="E873" i="1" s="1"/>
  <c r="E872" i="1" s="1"/>
  <c r="E871" i="1" s="1"/>
  <c r="E870" i="1" s="1"/>
  <c r="E869" i="1" s="1"/>
  <c r="E868" i="1" s="1"/>
  <c r="E867" i="1" s="1"/>
  <c r="E866" i="1" s="1"/>
  <c r="E865" i="1" s="1"/>
  <c r="E864" i="1" s="1"/>
  <c r="E863" i="1" s="1"/>
  <c r="E862" i="1" s="1"/>
  <c r="E861" i="1" s="1"/>
  <c r="E860" i="1" s="1"/>
  <c r="E859" i="1" s="1"/>
  <c r="E858" i="1" s="1"/>
  <c r="E857" i="1" s="1"/>
  <c r="E856" i="1" s="1"/>
  <c r="E855" i="1" s="1"/>
  <c r="E854" i="1" s="1"/>
  <c r="E853" i="1" s="1"/>
  <c r="E852" i="1" s="1"/>
  <c r="E851" i="1" s="1"/>
  <c r="E850" i="1" s="1"/>
  <c r="E849" i="1" s="1"/>
  <c r="E848" i="1" s="1"/>
  <c r="E847" i="1" s="1"/>
  <c r="E846" i="1" s="1"/>
  <c r="E845" i="1" s="1"/>
  <c r="E844" i="1" s="1"/>
  <c r="E843" i="1" s="1"/>
  <c r="E842" i="1" s="1"/>
  <c r="E841" i="1" s="1"/>
  <c r="E840" i="1" s="1"/>
  <c r="E839" i="1" s="1"/>
  <c r="E838" i="1" s="1"/>
  <c r="E837" i="1" s="1"/>
  <c r="E836" i="1" s="1"/>
  <c r="E835" i="1" s="1"/>
  <c r="E834" i="1" s="1"/>
  <c r="E833" i="1" s="1"/>
  <c r="E832" i="1" s="1"/>
  <c r="E831" i="1" s="1"/>
  <c r="E830" i="1" s="1"/>
  <c r="E829" i="1" s="1"/>
  <c r="E828" i="1" s="1"/>
  <c r="E827" i="1" s="1"/>
  <c r="E826" i="1" s="1"/>
  <c r="E825" i="1" s="1"/>
  <c r="E824" i="1" s="1"/>
  <c r="E823" i="1" s="1"/>
  <c r="E822" i="1" s="1"/>
  <c r="E821" i="1" s="1"/>
  <c r="E820" i="1" s="1"/>
  <c r="E819" i="1" s="1"/>
  <c r="E818" i="1" s="1"/>
  <c r="E817" i="1" s="1"/>
  <c r="E816" i="1" s="1"/>
  <c r="E815" i="1" s="1"/>
  <c r="E814" i="1" s="1"/>
  <c r="E813" i="1" s="1"/>
  <c r="E812" i="1" s="1"/>
  <c r="E811" i="1" s="1"/>
  <c r="E810" i="1" s="1"/>
  <c r="E809" i="1" s="1"/>
  <c r="E808" i="1" s="1"/>
  <c r="E807" i="1" s="1"/>
  <c r="E806" i="1" s="1"/>
  <c r="E805" i="1" s="1"/>
  <c r="E804" i="1" s="1"/>
  <c r="E803" i="1" s="1"/>
  <c r="E802" i="1" s="1"/>
  <c r="E801" i="1" s="1"/>
  <c r="E800" i="1" s="1"/>
  <c r="E799" i="1" s="1"/>
  <c r="E798" i="1" s="1"/>
  <c r="E797" i="1" s="1"/>
  <c r="E796" i="1" s="1"/>
  <c r="E795" i="1" s="1"/>
  <c r="E794" i="1" s="1"/>
  <c r="E793" i="1" s="1"/>
  <c r="E792" i="1" s="1"/>
  <c r="E791" i="1" s="1"/>
  <c r="E790" i="1" s="1"/>
  <c r="E789" i="1" s="1"/>
  <c r="E788" i="1" s="1"/>
  <c r="E787" i="1" s="1"/>
  <c r="E786" i="1" s="1"/>
  <c r="E785" i="1" s="1"/>
  <c r="E784" i="1" s="1"/>
  <c r="E783" i="1" s="1"/>
  <c r="E782" i="1" s="1"/>
  <c r="E781" i="1" s="1"/>
  <c r="E780" i="1" s="1"/>
  <c r="E779" i="1" s="1"/>
  <c r="E778" i="1" s="1"/>
  <c r="E777" i="1" s="1"/>
  <c r="E776" i="1" s="1"/>
  <c r="E775" i="1" s="1"/>
  <c r="E774" i="1" s="1"/>
  <c r="E773" i="1" s="1"/>
  <c r="E772" i="1" s="1"/>
  <c r="E771" i="1" s="1"/>
  <c r="E770" i="1" s="1"/>
  <c r="E769" i="1" s="1"/>
  <c r="E768" i="1" s="1"/>
  <c r="E767" i="1" s="1"/>
  <c r="E766" i="1" s="1"/>
  <c r="E765" i="1" s="1"/>
  <c r="E764" i="1" s="1"/>
  <c r="E763" i="1" s="1"/>
  <c r="E762" i="1" s="1"/>
  <c r="E761" i="1" s="1"/>
  <c r="E760" i="1" s="1"/>
  <c r="E759" i="1" s="1"/>
  <c r="E758" i="1" s="1"/>
  <c r="E757" i="1" s="1"/>
  <c r="E756" i="1" s="1"/>
  <c r="E755" i="1" s="1"/>
  <c r="E754" i="1" s="1"/>
  <c r="E753" i="1" s="1"/>
  <c r="E752" i="1" s="1"/>
  <c r="E751" i="1" s="1"/>
  <c r="E750" i="1" s="1"/>
  <c r="E749" i="1" s="1"/>
  <c r="E748" i="1" s="1"/>
  <c r="E747" i="1" s="1"/>
  <c r="E746" i="1" s="1"/>
  <c r="E745" i="1" s="1"/>
  <c r="E744" i="1" s="1"/>
  <c r="E743" i="1" s="1"/>
  <c r="E742" i="1" s="1"/>
  <c r="E741" i="1" s="1"/>
  <c r="E740" i="1" s="1"/>
  <c r="E739" i="1" s="1"/>
  <c r="E738" i="1" s="1"/>
  <c r="E737" i="1" s="1"/>
  <c r="E736" i="1" s="1"/>
  <c r="E735" i="1" s="1"/>
  <c r="E734" i="1" s="1"/>
  <c r="E733" i="1" s="1"/>
  <c r="E732" i="1" s="1"/>
  <c r="E731" i="1" s="1"/>
  <c r="E730" i="1" s="1"/>
  <c r="E729" i="1" s="1"/>
  <c r="E728" i="1" s="1"/>
  <c r="E727" i="1" s="1"/>
  <c r="E726" i="1" s="1"/>
  <c r="E725" i="1" s="1"/>
  <c r="E724" i="1" s="1"/>
  <c r="E723" i="1" s="1"/>
  <c r="E722" i="1" s="1"/>
  <c r="E721" i="1" s="1"/>
  <c r="E720" i="1" s="1"/>
  <c r="E719" i="1" s="1"/>
  <c r="E718" i="1" s="1"/>
  <c r="E717" i="1" s="1"/>
  <c r="E716" i="1" s="1"/>
  <c r="E715" i="1" s="1"/>
  <c r="E714" i="1" s="1"/>
  <c r="E713" i="1" s="1"/>
  <c r="E712" i="1" s="1"/>
  <c r="E711" i="1" s="1"/>
  <c r="E710" i="1" s="1"/>
  <c r="E709" i="1" s="1"/>
  <c r="E708" i="1" s="1"/>
  <c r="E707" i="1" s="1"/>
  <c r="E706" i="1" s="1"/>
  <c r="E705" i="1" s="1"/>
  <c r="E704" i="1" s="1"/>
  <c r="E703" i="1" s="1"/>
  <c r="E702" i="1" s="1"/>
  <c r="E701" i="1" s="1"/>
  <c r="E700" i="1" s="1"/>
  <c r="E699" i="1" s="1"/>
  <c r="E698" i="1" s="1"/>
  <c r="E697" i="1" s="1"/>
  <c r="E696" i="1" s="1"/>
  <c r="E695" i="1" s="1"/>
  <c r="E694" i="1" s="1"/>
  <c r="E693" i="1" s="1"/>
  <c r="E692" i="1" s="1"/>
  <c r="E691" i="1" s="1"/>
  <c r="E690" i="1" s="1"/>
  <c r="E689" i="1" s="1"/>
  <c r="E688" i="1" s="1"/>
  <c r="E687" i="1" s="1"/>
  <c r="E686" i="1" s="1"/>
  <c r="E685" i="1" s="1"/>
  <c r="E684" i="1" s="1"/>
  <c r="E683" i="1" s="1"/>
  <c r="E682" i="1" s="1"/>
  <c r="E681" i="1" s="1"/>
  <c r="E680" i="1" s="1"/>
  <c r="E679" i="1" s="1"/>
  <c r="E678" i="1" s="1"/>
  <c r="E677" i="1" s="1"/>
  <c r="E676" i="1" s="1"/>
  <c r="E675" i="1" s="1"/>
  <c r="E674" i="1" s="1"/>
  <c r="E673" i="1" s="1"/>
  <c r="E672" i="1" s="1"/>
  <c r="E671" i="1" s="1"/>
  <c r="E670" i="1" s="1"/>
  <c r="E669" i="1" s="1"/>
  <c r="E668" i="1" s="1"/>
  <c r="E667" i="1" s="1"/>
  <c r="E666" i="1" s="1"/>
  <c r="E665" i="1" s="1"/>
  <c r="E664" i="1" s="1"/>
  <c r="E663" i="1" s="1"/>
  <c r="E662" i="1" s="1"/>
  <c r="E661" i="1" s="1"/>
  <c r="E660" i="1" s="1"/>
  <c r="E659" i="1" s="1"/>
  <c r="E658" i="1" s="1"/>
  <c r="E657" i="1" s="1"/>
  <c r="E656" i="1" s="1"/>
  <c r="E655" i="1" s="1"/>
  <c r="E654" i="1" s="1"/>
  <c r="E653" i="1" s="1"/>
  <c r="E652" i="1" s="1"/>
  <c r="E651" i="1" s="1"/>
  <c r="E650" i="1" s="1"/>
  <c r="E649" i="1" s="1"/>
  <c r="E648" i="1" s="1"/>
  <c r="E647" i="1" s="1"/>
  <c r="E646" i="1" s="1"/>
  <c r="E645" i="1" s="1"/>
  <c r="E644" i="1" s="1"/>
  <c r="E643" i="1" s="1"/>
  <c r="E642" i="1" s="1"/>
  <c r="E641" i="1" s="1"/>
  <c r="E640" i="1" s="1"/>
  <c r="E639" i="1" s="1"/>
  <c r="E638" i="1" s="1"/>
  <c r="E637" i="1" s="1"/>
  <c r="E636" i="1" s="1"/>
  <c r="E635" i="1" s="1"/>
  <c r="E634" i="1" s="1"/>
  <c r="E633" i="1" s="1"/>
  <c r="E632" i="1" s="1"/>
  <c r="E631" i="1" s="1"/>
  <c r="E630" i="1" s="1"/>
  <c r="E629" i="1" s="1"/>
  <c r="E628" i="1" s="1"/>
  <c r="E627" i="1" s="1"/>
  <c r="E626" i="1" s="1"/>
  <c r="E625" i="1" s="1"/>
  <c r="E624" i="1" s="1"/>
  <c r="E623" i="1" s="1"/>
  <c r="E622" i="1" s="1"/>
  <c r="E621" i="1" s="1"/>
  <c r="E620" i="1" s="1"/>
  <c r="E619" i="1" s="1"/>
  <c r="E618" i="1" s="1"/>
  <c r="E617" i="1" s="1"/>
  <c r="E616" i="1" s="1"/>
  <c r="E615" i="1" s="1"/>
  <c r="E614" i="1" s="1"/>
  <c r="E613" i="1" s="1"/>
  <c r="E612" i="1" s="1"/>
  <c r="E611" i="1" s="1"/>
  <c r="E610" i="1" s="1"/>
  <c r="E609" i="1" s="1"/>
  <c r="E608" i="1" s="1"/>
  <c r="E607" i="1" s="1"/>
  <c r="E606" i="1" s="1"/>
  <c r="E605" i="1" s="1"/>
  <c r="E604" i="1" s="1"/>
  <c r="E603" i="1" s="1"/>
  <c r="E602" i="1" s="1"/>
  <c r="E601" i="1" s="1"/>
  <c r="E600" i="1" s="1"/>
  <c r="E599" i="1" s="1"/>
  <c r="E598" i="1" s="1"/>
  <c r="E597" i="1" s="1"/>
  <c r="E596" i="1" s="1"/>
  <c r="E595" i="1" s="1"/>
  <c r="E594" i="1" s="1"/>
  <c r="E593" i="1" s="1"/>
  <c r="E592" i="1" s="1"/>
  <c r="E591" i="1" s="1"/>
  <c r="E590" i="1" s="1"/>
  <c r="E589" i="1" s="1"/>
  <c r="E588" i="1" s="1"/>
  <c r="E587" i="1" s="1"/>
  <c r="E586" i="1" s="1"/>
  <c r="E585" i="1" s="1"/>
  <c r="E584" i="1" s="1"/>
  <c r="E583" i="1" s="1"/>
  <c r="E582" i="1" s="1"/>
  <c r="E581" i="1" s="1"/>
  <c r="E580" i="1" s="1"/>
  <c r="E579" i="1" s="1"/>
  <c r="E578" i="1" s="1"/>
  <c r="E577" i="1" s="1"/>
  <c r="E576" i="1" s="1"/>
  <c r="E575" i="1" s="1"/>
  <c r="E574" i="1" s="1"/>
  <c r="E573" i="1" s="1"/>
  <c r="E572" i="1" s="1"/>
  <c r="E571" i="1" s="1"/>
  <c r="E570" i="1" s="1"/>
  <c r="E569" i="1" s="1"/>
  <c r="E568" i="1" s="1"/>
  <c r="E567" i="1" s="1"/>
  <c r="E566" i="1" s="1"/>
  <c r="E565" i="1" s="1"/>
  <c r="E564" i="1" s="1"/>
  <c r="E563" i="1" s="1"/>
  <c r="E562" i="1" s="1"/>
  <c r="E561" i="1" s="1"/>
  <c r="E560" i="1" s="1"/>
  <c r="E559" i="1" s="1"/>
  <c r="E558" i="1" s="1"/>
  <c r="E557" i="1" s="1"/>
  <c r="E556" i="1" s="1"/>
  <c r="E555" i="1" s="1"/>
  <c r="E554" i="1" s="1"/>
  <c r="E553" i="1" s="1"/>
  <c r="E552" i="1" s="1"/>
  <c r="E551" i="1" s="1"/>
  <c r="E550" i="1" s="1"/>
  <c r="E549" i="1" s="1"/>
  <c r="E548" i="1" s="1"/>
  <c r="E547" i="1" s="1"/>
  <c r="E546" i="1" s="1"/>
  <c r="E545" i="1" s="1"/>
  <c r="E544" i="1" s="1"/>
  <c r="E543" i="1" s="1"/>
  <c r="E542" i="1" s="1"/>
  <c r="E541" i="1" s="1"/>
  <c r="E540" i="1" s="1"/>
  <c r="E539" i="1" s="1"/>
  <c r="E538" i="1" s="1"/>
  <c r="E537" i="1" s="1"/>
  <c r="E536" i="1" s="1"/>
  <c r="E535" i="1" s="1"/>
  <c r="E534" i="1" s="1"/>
  <c r="E533" i="1" s="1"/>
  <c r="E532" i="1" s="1"/>
  <c r="E531" i="1" s="1"/>
  <c r="E530" i="1" s="1"/>
  <c r="E529" i="1" s="1"/>
  <c r="E528" i="1" s="1"/>
  <c r="E527" i="1" s="1"/>
  <c r="E526" i="1" s="1"/>
  <c r="E525" i="1" s="1"/>
  <c r="E524" i="1" s="1"/>
  <c r="E523" i="1" s="1"/>
  <c r="E522" i="1" s="1"/>
  <c r="E521" i="1" s="1"/>
  <c r="E520" i="1" s="1"/>
  <c r="E519" i="1" s="1"/>
  <c r="E518" i="1" s="1"/>
  <c r="E517" i="1" s="1"/>
  <c r="E516" i="1" s="1"/>
  <c r="E515" i="1" s="1"/>
  <c r="E514" i="1" s="1"/>
  <c r="E513" i="1" s="1"/>
  <c r="E512" i="1" s="1"/>
  <c r="E511" i="1" s="1"/>
  <c r="E510" i="1" s="1"/>
  <c r="E509" i="1" s="1"/>
  <c r="E508" i="1" s="1"/>
  <c r="E507" i="1" s="1"/>
  <c r="E506" i="1" s="1"/>
  <c r="E505" i="1" s="1"/>
  <c r="E504" i="1" s="1"/>
  <c r="E503" i="1" s="1"/>
  <c r="E502" i="1" s="1"/>
  <c r="E501" i="1" s="1"/>
  <c r="E500" i="1" s="1"/>
  <c r="E499" i="1" s="1"/>
  <c r="E498" i="1" s="1"/>
  <c r="E497" i="1" s="1"/>
  <c r="E496" i="1" s="1"/>
  <c r="E495" i="1" s="1"/>
  <c r="E494" i="1" s="1"/>
  <c r="E493" i="1" s="1"/>
  <c r="E492" i="1" s="1"/>
  <c r="E491" i="1" s="1"/>
  <c r="E490" i="1" s="1"/>
  <c r="E489" i="1" s="1"/>
  <c r="E488" i="1" s="1"/>
  <c r="E487" i="1" s="1"/>
  <c r="E486" i="1" s="1"/>
  <c r="E485" i="1" s="1"/>
  <c r="E484" i="1" s="1"/>
  <c r="E483" i="1" s="1"/>
  <c r="E482" i="1" s="1"/>
  <c r="E481" i="1" s="1"/>
  <c r="E480" i="1" s="1"/>
  <c r="E479" i="1" s="1"/>
  <c r="E478" i="1" s="1"/>
  <c r="E477" i="1" s="1"/>
  <c r="E476" i="1" s="1"/>
  <c r="E475" i="1" s="1"/>
  <c r="E474" i="1" s="1"/>
  <c r="E473" i="1" s="1"/>
  <c r="E472" i="1" s="1"/>
  <c r="E471" i="1" s="1"/>
  <c r="E470" i="1" s="1"/>
  <c r="E469" i="1" s="1"/>
  <c r="E468" i="1" s="1"/>
  <c r="E467" i="1" s="1"/>
  <c r="E466" i="1" s="1"/>
  <c r="E465" i="1" s="1"/>
  <c r="E464" i="1" s="1"/>
  <c r="E463" i="1" s="1"/>
  <c r="E462" i="1" s="1"/>
  <c r="E461" i="1" s="1"/>
  <c r="E460" i="1" s="1"/>
  <c r="E459" i="1" s="1"/>
  <c r="E458" i="1" s="1"/>
  <c r="E457" i="1" s="1"/>
  <c r="E456" i="1" s="1"/>
  <c r="E455" i="1" s="1"/>
  <c r="E454" i="1" s="1"/>
  <c r="E453" i="1" s="1"/>
  <c r="E452" i="1" s="1"/>
  <c r="E451" i="1" s="1"/>
  <c r="E450" i="1" s="1"/>
  <c r="E449" i="1" s="1"/>
  <c r="E448" i="1" s="1"/>
  <c r="E447" i="1" s="1"/>
  <c r="E446" i="1" s="1"/>
  <c r="E445" i="1" s="1"/>
  <c r="E444" i="1" s="1"/>
  <c r="E443" i="1" s="1"/>
  <c r="E442" i="1" s="1"/>
  <c r="E441" i="1" s="1"/>
  <c r="E440" i="1" s="1"/>
  <c r="E439" i="1" s="1"/>
  <c r="E438" i="1" s="1"/>
  <c r="E437" i="1" s="1"/>
  <c r="E436" i="1" s="1"/>
  <c r="E435" i="1" s="1"/>
  <c r="E434" i="1" s="1"/>
  <c r="E433" i="1" s="1"/>
  <c r="E432" i="1" s="1"/>
  <c r="E431" i="1" s="1"/>
  <c r="E430" i="1" s="1"/>
  <c r="E429" i="1" s="1"/>
  <c r="E428" i="1" s="1"/>
  <c r="E427" i="1" s="1"/>
  <c r="E426" i="1" s="1"/>
  <c r="E425" i="1" s="1"/>
  <c r="E424" i="1" s="1"/>
  <c r="E423" i="1" s="1"/>
  <c r="E422" i="1" s="1"/>
  <c r="E421" i="1" s="1"/>
  <c r="E420" i="1" s="1"/>
  <c r="E419" i="1" s="1"/>
  <c r="E418" i="1" s="1"/>
  <c r="E417" i="1" s="1"/>
  <c r="E416" i="1" s="1"/>
  <c r="E415" i="1" s="1"/>
  <c r="E414" i="1" s="1"/>
  <c r="E413" i="1" s="1"/>
  <c r="E412" i="1" s="1"/>
  <c r="E411" i="1" s="1"/>
  <c r="E410" i="1" s="1"/>
  <c r="E409" i="1" s="1"/>
  <c r="E408" i="1" s="1"/>
  <c r="E407" i="1" s="1"/>
  <c r="E406" i="1" s="1"/>
  <c r="E405" i="1" s="1"/>
  <c r="E404" i="1" s="1"/>
  <c r="E403" i="1" s="1"/>
  <c r="E402" i="1" s="1"/>
  <c r="E401" i="1" s="1"/>
  <c r="E400" i="1" s="1"/>
  <c r="E399" i="1" s="1"/>
  <c r="E398" i="1" s="1"/>
  <c r="E397" i="1" s="1"/>
  <c r="E396" i="1" s="1"/>
  <c r="E395" i="1" s="1"/>
  <c r="E394" i="1" s="1"/>
  <c r="E393" i="1" s="1"/>
  <c r="E392" i="1" s="1"/>
  <c r="E391" i="1" s="1"/>
  <c r="E390" i="1" s="1"/>
  <c r="E389" i="1" s="1"/>
  <c r="E388" i="1" s="1"/>
  <c r="E387" i="1" s="1"/>
  <c r="E386" i="1" s="1"/>
  <c r="E385" i="1" s="1"/>
  <c r="E384" i="1" s="1"/>
  <c r="E383" i="1" s="1"/>
  <c r="E382" i="1" s="1"/>
  <c r="E381" i="1" s="1"/>
  <c r="E380" i="1" s="1"/>
  <c r="E379" i="1" s="1"/>
  <c r="E378" i="1" s="1"/>
  <c r="E377" i="1" s="1"/>
  <c r="E376" i="1" s="1"/>
  <c r="E375" i="1" s="1"/>
  <c r="E374" i="1" s="1"/>
  <c r="E373" i="1" s="1"/>
  <c r="E372" i="1" s="1"/>
  <c r="E371" i="1" s="1"/>
  <c r="E370" i="1" s="1"/>
  <c r="E369" i="1" s="1"/>
  <c r="E368" i="1" s="1"/>
  <c r="E367" i="1" s="1"/>
  <c r="E366" i="1" s="1"/>
  <c r="E365" i="1" s="1"/>
  <c r="E364" i="1" s="1"/>
  <c r="E363" i="1" s="1"/>
  <c r="E362" i="1" s="1"/>
  <c r="E361" i="1" s="1"/>
  <c r="E360" i="1" s="1"/>
  <c r="E359" i="1" s="1"/>
  <c r="E358" i="1" s="1"/>
  <c r="E357" i="1" s="1"/>
  <c r="E356" i="1" s="1"/>
  <c r="E355" i="1" s="1"/>
  <c r="E354" i="1" s="1"/>
  <c r="E353" i="1" s="1"/>
  <c r="E352" i="1" s="1"/>
  <c r="E351" i="1" s="1"/>
  <c r="E350" i="1" s="1"/>
  <c r="E349" i="1" s="1"/>
  <c r="E348" i="1" s="1"/>
  <c r="E347" i="1" s="1"/>
  <c r="E346" i="1" s="1"/>
  <c r="E345" i="1" s="1"/>
  <c r="E344" i="1" s="1"/>
  <c r="E343" i="1" s="1"/>
  <c r="E342" i="1" s="1"/>
  <c r="E341" i="1" s="1"/>
  <c r="E340" i="1" s="1"/>
  <c r="E339" i="1" s="1"/>
  <c r="E338" i="1" s="1"/>
  <c r="E337" i="1" s="1"/>
  <c r="E336" i="1" s="1"/>
  <c r="E335" i="1" s="1"/>
  <c r="E334" i="1" s="1"/>
  <c r="E333" i="1" s="1"/>
  <c r="E332" i="1" s="1"/>
  <c r="E331" i="1" s="1"/>
  <c r="E330" i="1" s="1"/>
  <c r="E329" i="1" s="1"/>
  <c r="E328" i="1" s="1"/>
  <c r="E327" i="1" s="1"/>
  <c r="E326" i="1" s="1"/>
  <c r="E325" i="1" s="1"/>
  <c r="E324" i="1" s="1"/>
  <c r="E323" i="1" s="1"/>
  <c r="E322" i="1" s="1"/>
  <c r="E321" i="1" s="1"/>
  <c r="E320" i="1" s="1"/>
  <c r="E319" i="1" s="1"/>
  <c r="E318" i="1" s="1"/>
  <c r="E317" i="1" s="1"/>
  <c r="E316" i="1" s="1"/>
  <c r="E315" i="1" s="1"/>
  <c r="E314" i="1" s="1"/>
  <c r="E313" i="1" s="1"/>
  <c r="E312" i="1" s="1"/>
  <c r="E311" i="1" s="1"/>
  <c r="E310" i="1" s="1"/>
  <c r="E309" i="1" s="1"/>
  <c r="E308" i="1" s="1"/>
  <c r="E307" i="1" s="1"/>
  <c r="E306" i="1" s="1"/>
  <c r="E305" i="1" s="1"/>
  <c r="E304" i="1" s="1"/>
  <c r="E303" i="1" s="1"/>
  <c r="E302" i="1" s="1"/>
  <c r="E301" i="1" s="1"/>
  <c r="E300" i="1" s="1"/>
  <c r="E299" i="1" s="1"/>
  <c r="E298" i="1" s="1"/>
  <c r="E297" i="1" s="1"/>
  <c r="E296" i="1" s="1"/>
  <c r="E295" i="1" s="1"/>
  <c r="E294" i="1" s="1"/>
  <c r="E293" i="1" s="1"/>
  <c r="E292" i="1" s="1"/>
  <c r="E291" i="1" s="1"/>
  <c r="E290" i="1" s="1"/>
  <c r="E289" i="1" s="1"/>
  <c r="E288" i="1" s="1"/>
  <c r="E287" i="1" s="1"/>
  <c r="E286" i="1" s="1"/>
  <c r="E285" i="1" s="1"/>
  <c r="E284" i="1" s="1"/>
  <c r="E283" i="1" s="1"/>
  <c r="E282" i="1" s="1"/>
  <c r="E281" i="1" s="1"/>
  <c r="E280" i="1" s="1"/>
  <c r="E279" i="1" s="1"/>
  <c r="E278" i="1" s="1"/>
  <c r="E277" i="1" s="1"/>
  <c r="E276" i="1" s="1"/>
  <c r="E275" i="1" s="1"/>
  <c r="E274" i="1" s="1"/>
  <c r="E273" i="1" s="1"/>
  <c r="E272" i="1" s="1"/>
  <c r="E271" i="1" s="1"/>
  <c r="E270" i="1" s="1"/>
  <c r="E269" i="1" s="1"/>
  <c r="E268" i="1" s="1"/>
  <c r="E267" i="1" s="1"/>
  <c r="E266" i="1" s="1"/>
  <c r="E265" i="1" s="1"/>
  <c r="E264" i="1" s="1"/>
  <c r="E263" i="1" s="1"/>
  <c r="E262" i="1" s="1"/>
  <c r="E261" i="1" s="1"/>
  <c r="E260" i="1" s="1"/>
  <c r="E259" i="1" s="1"/>
  <c r="E258" i="1" s="1"/>
  <c r="E257" i="1" s="1"/>
  <c r="E256" i="1" s="1"/>
  <c r="E255" i="1" s="1"/>
  <c r="E254" i="1" s="1"/>
  <c r="E253" i="1" s="1"/>
  <c r="E252" i="1" s="1"/>
  <c r="E251" i="1" s="1"/>
  <c r="E250" i="1" s="1"/>
  <c r="E249" i="1" s="1"/>
  <c r="E248" i="1" s="1"/>
  <c r="E247" i="1" s="1"/>
  <c r="E246" i="1" s="1"/>
  <c r="E245" i="1" s="1"/>
  <c r="E244" i="1" s="1"/>
  <c r="E243" i="1" s="1"/>
  <c r="E242" i="1" s="1"/>
  <c r="E241" i="1" s="1"/>
  <c r="E240" i="1" s="1"/>
  <c r="E239" i="1" s="1"/>
  <c r="E238" i="1" s="1"/>
  <c r="E237" i="1" s="1"/>
  <c r="E236" i="1" s="1"/>
  <c r="E235" i="1" s="1"/>
  <c r="E234" i="1" s="1"/>
  <c r="E233" i="1" s="1"/>
  <c r="E232" i="1" s="1"/>
  <c r="E231" i="1" s="1"/>
  <c r="E230" i="1" s="1"/>
  <c r="E229" i="1" s="1"/>
  <c r="E228" i="1" s="1"/>
  <c r="E227" i="1" s="1"/>
  <c r="E226" i="1" s="1"/>
  <c r="E225" i="1" s="1"/>
  <c r="E224" i="1" s="1"/>
  <c r="E223" i="1" s="1"/>
  <c r="E222" i="1" s="1"/>
  <c r="E221" i="1" s="1"/>
  <c r="E220" i="1" s="1"/>
  <c r="E219" i="1" s="1"/>
  <c r="E218" i="1" s="1"/>
  <c r="E217" i="1" s="1"/>
  <c r="E216" i="1" s="1"/>
  <c r="E215" i="1" s="1"/>
  <c r="E214" i="1" s="1"/>
  <c r="E213" i="1" s="1"/>
  <c r="E212" i="1" s="1"/>
  <c r="E211" i="1" s="1"/>
  <c r="E210" i="1" s="1"/>
  <c r="E209" i="1" s="1"/>
  <c r="E208" i="1" s="1"/>
  <c r="E207" i="1" s="1"/>
  <c r="E206" i="1" s="1"/>
  <c r="E205" i="1" s="1"/>
  <c r="E204" i="1" s="1"/>
  <c r="E203" i="1" s="1"/>
  <c r="E202" i="1" s="1"/>
  <c r="E201" i="1" s="1"/>
  <c r="E200" i="1" s="1"/>
  <c r="E199" i="1" s="1"/>
  <c r="E198" i="1" s="1"/>
  <c r="E197" i="1" s="1"/>
  <c r="E196" i="1" s="1"/>
  <c r="E195" i="1" s="1"/>
  <c r="E194" i="1" s="1"/>
  <c r="E193" i="1" s="1"/>
  <c r="E192" i="1" s="1"/>
  <c r="E191" i="1" s="1"/>
  <c r="E190" i="1" s="1"/>
  <c r="E189" i="1" s="1"/>
  <c r="E188" i="1" s="1"/>
  <c r="E187" i="1" s="1"/>
  <c r="E186" i="1" s="1"/>
  <c r="E185" i="1" s="1"/>
  <c r="E184" i="1" s="1"/>
  <c r="E183" i="1" s="1"/>
  <c r="E182" i="1" s="1"/>
  <c r="E181" i="1" s="1"/>
  <c r="E180" i="1" s="1"/>
  <c r="E179" i="1" s="1"/>
  <c r="E178" i="1" s="1"/>
  <c r="E177" i="1" s="1"/>
  <c r="E176" i="1" s="1"/>
  <c r="E175" i="1" s="1"/>
  <c r="E174" i="1" s="1"/>
  <c r="E173" i="1" s="1"/>
  <c r="E172" i="1" s="1"/>
  <c r="E171" i="1" s="1"/>
  <c r="E170" i="1" s="1"/>
  <c r="E169" i="1" s="1"/>
  <c r="E168" i="1" s="1"/>
  <c r="E167" i="1" s="1"/>
  <c r="E166" i="1" s="1"/>
  <c r="E165" i="1" s="1"/>
  <c r="E164" i="1" s="1"/>
  <c r="E163" i="1" s="1"/>
  <c r="E162" i="1" s="1"/>
  <c r="E161" i="1" s="1"/>
  <c r="E160" i="1" s="1"/>
  <c r="E159" i="1" s="1"/>
  <c r="E158" i="1" s="1"/>
  <c r="E157" i="1" s="1"/>
  <c r="E156" i="1" s="1"/>
  <c r="E155" i="1" s="1"/>
  <c r="E154" i="1" s="1"/>
  <c r="E153" i="1" s="1"/>
  <c r="E152" i="1" s="1"/>
  <c r="E151" i="1" s="1"/>
  <c r="E150" i="1" s="1"/>
  <c r="E149" i="1" s="1"/>
  <c r="E148" i="1" s="1"/>
  <c r="E147" i="1" s="1"/>
  <c r="E146" i="1" s="1"/>
  <c r="E145" i="1" s="1"/>
  <c r="E144" i="1" s="1"/>
  <c r="E143" i="1" s="1"/>
  <c r="E142" i="1" s="1"/>
  <c r="E141" i="1" s="1"/>
  <c r="E140" i="1" s="1"/>
  <c r="E139" i="1" s="1"/>
  <c r="E138" i="1" s="1"/>
  <c r="E137" i="1" s="1"/>
  <c r="E136" i="1" s="1"/>
  <c r="E135" i="1" s="1"/>
  <c r="E134" i="1" s="1"/>
  <c r="E133" i="1" s="1"/>
  <c r="E132" i="1" s="1"/>
  <c r="E131" i="1" s="1"/>
  <c r="E130" i="1" s="1"/>
  <c r="E129" i="1" s="1"/>
  <c r="E128" i="1" s="1"/>
  <c r="E127" i="1" s="1"/>
  <c r="E126" i="1" s="1"/>
  <c r="E125" i="1" s="1"/>
  <c r="E124" i="1" s="1"/>
  <c r="E123" i="1" s="1"/>
  <c r="E122" i="1" s="1"/>
  <c r="E121" i="1" s="1"/>
  <c r="E120" i="1" s="1"/>
  <c r="E119" i="1" s="1"/>
  <c r="E118" i="1" s="1"/>
  <c r="E117" i="1" s="1"/>
  <c r="E116" i="1" s="1"/>
  <c r="E115" i="1" s="1"/>
  <c r="E114" i="1" s="1"/>
  <c r="E113" i="1" s="1"/>
  <c r="E112" i="1" s="1"/>
  <c r="E111" i="1" s="1"/>
  <c r="E110" i="1" s="1"/>
  <c r="E109" i="1" s="1"/>
  <c r="E108" i="1" s="1"/>
  <c r="E107" i="1" s="1"/>
  <c r="E106" i="1" s="1"/>
  <c r="E105" i="1" s="1"/>
  <c r="E104" i="1" s="1"/>
  <c r="E103" i="1" s="1"/>
  <c r="E102" i="1" s="1"/>
  <c r="E101" i="1" s="1"/>
  <c r="E100" i="1" s="1"/>
  <c r="E99" i="1" s="1"/>
  <c r="E98" i="1" s="1"/>
  <c r="E97" i="1" s="1"/>
  <c r="E96" i="1" s="1"/>
  <c r="E95" i="1" s="1"/>
  <c r="E94" i="1" s="1"/>
  <c r="E93" i="1" s="1"/>
  <c r="E92" i="1" s="1"/>
  <c r="E91" i="1" s="1"/>
  <c r="E90" i="1" s="1"/>
  <c r="E89" i="1" s="1"/>
  <c r="E88" i="1" s="1"/>
  <c r="E87" i="1" s="1"/>
  <c r="E86" i="1" s="1"/>
  <c r="E85" i="1" s="1"/>
  <c r="E84" i="1" s="1"/>
  <c r="E83" i="1" s="1"/>
  <c r="E82" i="1" s="1"/>
  <c r="E81" i="1" s="1"/>
  <c r="E80" i="1" s="1"/>
  <c r="E79" i="1" s="1"/>
  <c r="E78" i="1" s="1"/>
  <c r="E77" i="1" s="1"/>
  <c r="E76" i="1" s="1"/>
  <c r="E75" i="1" s="1"/>
  <c r="E74" i="1" s="1"/>
  <c r="E73" i="1" s="1"/>
  <c r="E72" i="1" s="1"/>
  <c r="E71" i="1" s="1"/>
  <c r="E70" i="1" s="1"/>
  <c r="E69" i="1" s="1"/>
  <c r="E68" i="1" s="1"/>
  <c r="E67" i="1" s="1"/>
  <c r="E66" i="1" s="1"/>
  <c r="E65" i="1" s="1"/>
  <c r="E64" i="1" s="1"/>
  <c r="E63" i="1" s="1"/>
  <c r="E62" i="1" s="1"/>
  <c r="E61" i="1" s="1"/>
  <c r="E60" i="1" s="1"/>
  <c r="E59" i="1" s="1"/>
  <c r="E58" i="1" s="1"/>
  <c r="E57" i="1" s="1"/>
  <c r="E56" i="1" s="1"/>
  <c r="E55" i="1" s="1"/>
  <c r="E54" i="1" s="1"/>
  <c r="E53" i="1" s="1"/>
  <c r="E52" i="1" s="1"/>
  <c r="E51" i="1" s="1"/>
  <c r="E50" i="1" s="1"/>
  <c r="E49" i="1" s="1"/>
  <c r="E48" i="1" s="1"/>
  <c r="E47" i="1" s="1"/>
  <c r="E46" i="1" s="1"/>
  <c r="E45" i="1" s="1"/>
  <c r="E44" i="1" s="1"/>
  <c r="E43" i="1" s="1"/>
  <c r="E42" i="1" s="1"/>
  <c r="E41" i="1" s="1"/>
  <c r="E40" i="1" s="1"/>
  <c r="E39" i="1" s="1"/>
  <c r="E38" i="1" s="1"/>
  <c r="E37" i="1" s="1"/>
  <c r="E36" i="1" s="1"/>
  <c r="E35" i="1" s="1"/>
  <c r="E34" i="1" s="1"/>
  <c r="E33" i="1" s="1"/>
  <c r="E32" i="1" s="1"/>
  <c r="E31" i="1" s="1"/>
  <c r="E30" i="1" s="1"/>
  <c r="E29" i="1" s="1"/>
  <c r="E28" i="1" s="1"/>
  <c r="E27" i="1" s="1"/>
  <c r="E26" i="1" s="1"/>
  <c r="E25" i="1" s="1"/>
  <c r="E24" i="1" s="1"/>
  <c r="E23" i="1" s="1"/>
  <c r="E22" i="1" s="1"/>
  <c r="E21" i="1" s="1"/>
  <c r="E20" i="1" s="1"/>
  <c r="E19" i="1" s="1"/>
  <c r="E18" i="1" s="1"/>
  <c r="E17" i="1" s="1"/>
  <c r="E16" i="1" s="1"/>
  <c r="E15" i="1" s="1"/>
  <c r="E14" i="1" s="1"/>
  <c r="E13" i="1" s="1"/>
  <c r="E12" i="1" s="1"/>
  <c r="E11" i="1" s="1"/>
  <c r="E10" i="1" s="1"/>
  <c r="E9" i="1" s="1"/>
  <c r="E8" i="1" s="1"/>
  <c r="E7" i="1" s="1"/>
  <c r="E6" i="1" s="1"/>
  <c r="E5" i="1" s="1"/>
  <c r="E4" i="1" s="1"/>
  <c r="E3" i="1" s="1"/>
  <c r="E2" i="1" s="1"/>
  <c r="E2002" i="1"/>
  <c r="D200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B23" i="1"/>
  <c r="B24" i="1" s="1"/>
  <c r="B25" i="1" s="1"/>
  <c r="B26" i="1" s="1"/>
  <c r="B27" i="1" s="1"/>
  <c r="B28" i="1" s="1"/>
  <c r="B29" i="1" s="1"/>
  <c r="B30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A2001" i="1"/>
  <c r="A2002" i="1"/>
  <c r="A591" i="1"/>
  <c r="A592" i="1"/>
  <c r="A593" i="1" s="1"/>
  <c r="A594" i="1" s="1"/>
  <c r="A595" i="1" s="1"/>
  <c r="A596" i="1" s="1"/>
  <c r="A597" i="1" s="1"/>
  <c r="A598" i="1"/>
  <c r="A599" i="1"/>
  <c r="A600" i="1" s="1"/>
  <c r="A601" i="1" s="1"/>
  <c r="A602" i="1" s="1"/>
  <c r="A603" i="1" s="1"/>
  <c r="A604" i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156" i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J518" i="4" l="1"/>
  <c r="H519" i="4"/>
  <c r="I519" i="4"/>
  <c r="G519" i="4"/>
  <c r="A519" i="4"/>
  <c r="B520" i="4"/>
  <c r="E519" i="4"/>
  <c r="F519" i="4" s="1"/>
  <c r="C519" i="4"/>
  <c r="D519" i="4" s="1"/>
  <c r="D2" i="3"/>
  <c r="F2" i="3" s="1"/>
  <c r="A4" i="3"/>
  <c r="D3" i="3"/>
  <c r="F3" i="3" s="1"/>
  <c r="B47" i="1"/>
  <c r="C46" i="1"/>
  <c r="J519" i="4" l="1"/>
  <c r="I520" i="4"/>
  <c r="H520" i="4"/>
  <c r="G520" i="4"/>
  <c r="B521" i="4"/>
  <c r="A520" i="4"/>
  <c r="E520" i="4"/>
  <c r="F520" i="4" s="1"/>
  <c r="C520" i="4"/>
  <c r="D520" i="4" s="1"/>
  <c r="B4" i="3"/>
  <c r="A5" i="3"/>
  <c r="D4" i="3"/>
  <c r="F4" i="3" s="1"/>
  <c r="B48" i="1"/>
  <c r="C47" i="1"/>
  <c r="A521" i="4" l="1"/>
  <c r="B522" i="4"/>
  <c r="E521" i="4"/>
  <c r="F521" i="4" s="1"/>
  <c r="C521" i="4"/>
  <c r="D521" i="4" s="1"/>
  <c r="J520" i="4"/>
  <c r="I521" i="4"/>
  <c r="G521" i="4"/>
  <c r="H521" i="4"/>
  <c r="A6" i="3"/>
  <c r="B5" i="3"/>
  <c r="D5" i="3"/>
  <c r="F5" i="3" s="1"/>
  <c r="B49" i="1"/>
  <c r="C48" i="1"/>
  <c r="J521" i="4" l="1"/>
  <c r="H522" i="4"/>
  <c r="O4" i="4" s="1"/>
  <c r="I522" i="4"/>
  <c r="P4" i="4" s="1"/>
  <c r="G522" i="4"/>
  <c r="A522" i="4"/>
  <c r="E522" i="4"/>
  <c r="F522" i="4" s="1"/>
  <c r="C522" i="4"/>
  <c r="D522" i="4" s="1"/>
  <c r="B6" i="3"/>
  <c r="A7" i="3"/>
  <c r="D6" i="3"/>
  <c r="F6" i="3" s="1"/>
  <c r="B50" i="1"/>
  <c r="C49" i="1"/>
  <c r="J522" i="4" l="1"/>
  <c r="N4" i="4"/>
  <c r="A8" i="3"/>
  <c r="B7" i="3"/>
  <c r="D7" i="3"/>
  <c r="F7" i="3" s="1"/>
  <c r="B51" i="1"/>
  <c r="C50" i="1"/>
  <c r="A9" i="3" l="1"/>
  <c r="B8" i="3"/>
  <c r="D8" i="3"/>
  <c r="F8" i="3" s="1"/>
  <c r="B52" i="1"/>
  <c r="C51" i="1"/>
  <c r="B9" i="3" l="1"/>
  <c r="A10" i="3"/>
  <c r="D9" i="3"/>
  <c r="F9" i="3" s="1"/>
  <c r="B53" i="1"/>
  <c r="C52" i="1"/>
  <c r="A11" i="3" l="1"/>
  <c r="B10" i="3"/>
  <c r="D10" i="3"/>
  <c r="F10" i="3" s="1"/>
  <c r="B54" i="1"/>
  <c r="C53" i="1"/>
  <c r="B11" i="3" l="1"/>
  <c r="A12" i="3"/>
  <c r="D11" i="3"/>
  <c r="F11" i="3" s="1"/>
  <c r="B55" i="1"/>
  <c r="C54" i="1"/>
  <c r="B12" i="3" l="1"/>
  <c r="A13" i="3"/>
  <c r="D12" i="3"/>
  <c r="B56" i="1"/>
  <c r="C55" i="1"/>
  <c r="J12" i="3" l="1"/>
  <c r="F12" i="3"/>
  <c r="B13" i="3"/>
  <c r="A14" i="3"/>
  <c r="D13" i="3"/>
  <c r="B57" i="1"/>
  <c r="C56" i="1"/>
  <c r="J13" i="3" l="1"/>
  <c r="F13" i="3"/>
  <c r="B14" i="3"/>
  <c r="A15" i="3"/>
  <c r="D14" i="3"/>
  <c r="B58" i="1"/>
  <c r="C57" i="1"/>
  <c r="F14" i="3" l="1"/>
  <c r="J14" i="3"/>
  <c r="B15" i="3"/>
  <c r="A16" i="3"/>
  <c r="D15" i="3"/>
  <c r="B59" i="1"/>
  <c r="C58" i="1"/>
  <c r="J15" i="3" l="1"/>
  <c r="F15" i="3"/>
  <c r="B16" i="3"/>
  <c r="A17" i="3"/>
  <c r="D16" i="3"/>
  <c r="B60" i="1"/>
  <c r="C59" i="1"/>
  <c r="J16" i="3" l="1"/>
  <c r="O16" i="3" s="1"/>
  <c r="F16" i="3"/>
  <c r="O13" i="3" s="1"/>
  <c r="A18" i="3"/>
  <c r="B17" i="3"/>
  <c r="D17" i="3"/>
  <c r="B61" i="1"/>
  <c r="C60" i="1"/>
  <c r="A19" i="3" l="1"/>
  <c r="B18" i="3"/>
  <c r="D18" i="3"/>
  <c r="J17" i="3"/>
  <c r="F17" i="3"/>
  <c r="H17" i="3"/>
  <c r="B62" i="1"/>
  <c r="C61" i="1"/>
  <c r="J18" i="3" l="1"/>
  <c r="F18" i="3"/>
  <c r="H18" i="3"/>
  <c r="A20" i="3"/>
  <c r="B19" i="3"/>
  <c r="D19" i="3"/>
  <c r="B63" i="1"/>
  <c r="C62" i="1"/>
  <c r="A21" i="3" l="1"/>
  <c r="B20" i="3"/>
  <c r="D20" i="3"/>
  <c r="J19" i="3"/>
  <c r="F19" i="3"/>
  <c r="H19" i="3"/>
  <c r="B64" i="1"/>
  <c r="C63" i="1"/>
  <c r="F20" i="3" l="1"/>
  <c r="J20" i="3"/>
  <c r="H20" i="3"/>
  <c r="A22" i="3"/>
  <c r="B21" i="3"/>
  <c r="D21" i="3"/>
  <c r="B65" i="1"/>
  <c r="C64" i="1"/>
  <c r="A23" i="3" l="1"/>
  <c r="B22" i="3"/>
  <c r="D22" i="3"/>
  <c r="H21" i="3"/>
  <c r="F21" i="3"/>
  <c r="J21" i="3"/>
  <c r="B66" i="1"/>
  <c r="C65" i="1"/>
  <c r="F22" i="3" l="1"/>
  <c r="J22" i="3"/>
  <c r="H22" i="3"/>
  <c r="A24" i="3"/>
  <c r="B23" i="3"/>
  <c r="D23" i="3"/>
  <c r="B67" i="1"/>
  <c r="C66" i="1"/>
  <c r="F23" i="3" l="1"/>
  <c r="J23" i="3"/>
  <c r="H23" i="3"/>
  <c r="A25" i="3"/>
  <c r="B24" i="3"/>
  <c r="D24" i="3"/>
  <c r="B68" i="1"/>
  <c r="C67" i="1"/>
  <c r="J24" i="3" l="1"/>
  <c r="F24" i="3"/>
  <c r="H24" i="3"/>
  <c r="A26" i="3"/>
  <c r="B25" i="3"/>
  <c r="D25" i="3"/>
  <c r="B69" i="1"/>
  <c r="C68" i="1"/>
  <c r="J25" i="3" l="1"/>
  <c r="H25" i="3"/>
  <c r="F25" i="3"/>
  <c r="A27" i="3"/>
  <c r="B26" i="3"/>
  <c r="D26" i="3"/>
  <c r="B70" i="1"/>
  <c r="C69" i="1"/>
  <c r="J26" i="3" l="1"/>
  <c r="F26" i="3"/>
  <c r="H26" i="3"/>
  <c r="A28" i="3"/>
  <c r="B27" i="3"/>
  <c r="D27" i="3"/>
  <c r="B71" i="1"/>
  <c r="C70" i="1"/>
  <c r="J27" i="3" l="1"/>
  <c r="F27" i="3"/>
  <c r="H27" i="3"/>
  <c r="A29" i="3"/>
  <c r="B28" i="3"/>
  <c r="D28" i="3"/>
  <c r="B72" i="1"/>
  <c r="C71" i="1"/>
  <c r="A30" i="3" l="1"/>
  <c r="B29" i="3"/>
  <c r="D29" i="3"/>
  <c r="F28" i="3"/>
  <c r="J28" i="3"/>
  <c r="H28" i="3"/>
  <c r="B73" i="1"/>
  <c r="C72" i="1"/>
  <c r="H29" i="3" l="1"/>
  <c r="F29" i="3"/>
  <c r="J29" i="3"/>
  <c r="A31" i="3"/>
  <c r="B30" i="3"/>
  <c r="D30" i="3"/>
  <c r="B74" i="1"/>
  <c r="C73" i="1"/>
  <c r="F30" i="3" l="1"/>
  <c r="J30" i="3"/>
  <c r="H30" i="3"/>
  <c r="A32" i="3"/>
  <c r="B31" i="3"/>
  <c r="D31" i="3"/>
  <c r="B75" i="1"/>
  <c r="C74" i="1"/>
  <c r="F31" i="3" l="1"/>
  <c r="J31" i="3"/>
  <c r="H31" i="3"/>
  <c r="A33" i="3"/>
  <c r="B32" i="3"/>
  <c r="D32" i="3"/>
  <c r="B76" i="1"/>
  <c r="C75" i="1"/>
  <c r="L32" i="3" l="1"/>
  <c r="J32" i="3"/>
  <c r="F32" i="3"/>
  <c r="H32" i="3"/>
  <c r="A34" i="3"/>
  <c r="B33" i="3"/>
  <c r="D33" i="3"/>
  <c r="B77" i="1"/>
  <c r="C76" i="1"/>
  <c r="A35" i="3" l="1"/>
  <c r="B34" i="3"/>
  <c r="D34" i="3"/>
  <c r="J33" i="3"/>
  <c r="F33" i="3"/>
  <c r="L33" i="3"/>
  <c r="H33" i="3"/>
  <c r="B78" i="1"/>
  <c r="C77" i="1"/>
  <c r="F34" i="3" l="1"/>
  <c r="L34" i="3"/>
  <c r="J34" i="3"/>
  <c r="H34" i="3"/>
  <c r="B35" i="3"/>
  <c r="A36" i="3"/>
  <c r="D35" i="3"/>
  <c r="B79" i="1"/>
  <c r="C78" i="1"/>
  <c r="A37" i="3" l="1"/>
  <c r="B36" i="3"/>
  <c r="D36" i="3"/>
  <c r="L35" i="3"/>
  <c r="J35" i="3"/>
  <c r="H35" i="3"/>
  <c r="F35" i="3"/>
  <c r="B80" i="1"/>
  <c r="C79" i="1"/>
  <c r="H36" i="3" l="1"/>
  <c r="F36" i="3"/>
  <c r="L36" i="3"/>
  <c r="J36" i="3"/>
  <c r="A38" i="3"/>
  <c r="B37" i="3"/>
  <c r="D37" i="3"/>
  <c r="B81" i="1"/>
  <c r="C80" i="1"/>
  <c r="F37" i="3" l="1"/>
  <c r="J37" i="3"/>
  <c r="L37" i="3"/>
  <c r="H37" i="3"/>
  <c r="B38" i="3"/>
  <c r="A39" i="3"/>
  <c r="D38" i="3"/>
  <c r="B82" i="1"/>
  <c r="C81" i="1"/>
  <c r="A40" i="3" l="1"/>
  <c r="B39" i="3"/>
  <c r="D39" i="3"/>
  <c r="J38" i="3"/>
  <c r="F38" i="3"/>
  <c r="L38" i="3"/>
  <c r="H38" i="3"/>
  <c r="B83" i="1"/>
  <c r="C82" i="1"/>
  <c r="H39" i="3" l="1"/>
  <c r="F39" i="3"/>
  <c r="L39" i="3"/>
  <c r="J39" i="3"/>
  <c r="A41" i="3"/>
  <c r="B40" i="3"/>
  <c r="D40" i="3"/>
  <c r="B84" i="1"/>
  <c r="C83" i="1"/>
  <c r="L40" i="3" l="1"/>
  <c r="J40" i="3"/>
  <c r="F40" i="3"/>
  <c r="H40" i="3"/>
  <c r="A42" i="3"/>
  <c r="B41" i="3"/>
  <c r="D41" i="3"/>
  <c r="B85" i="1"/>
  <c r="C84" i="1"/>
  <c r="A43" i="3" l="1"/>
  <c r="B42" i="3"/>
  <c r="D42" i="3"/>
  <c r="J41" i="3"/>
  <c r="F41" i="3"/>
  <c r="L41" i="3"/>
  <c r="H41" i="3"/>
  <c r="B86" i="1"/>
  <c r="C85" i="1"/>
  <c r="F42" i="3" l="1"/>
  <c r="L42" i="3"/>
  <c r="J42" i="3"/>
  <c r="H42" i="3"/>
  <c r="B43" i="3"/>
  <c r="A44" i="3"/>
  <c r="D43" i="3"/>
  <c r="C86" i="1"/>
  <c r="B87" i="1"/>
  <c r="A45" i="3" l="1"/>
  <c r="B44" i="3"/>
  <c r="D44" i="3"/>
  <c r="L43" i="3"/>
  <c r="J43" i="3"/>
  <c r="H43" i="3"/>
  <c r="F43" i="3"/>
  <c r="B88" i="1"/>
  <c r="C87" i="1"/>
  <c r="F44" i="3" l="1"/>
  <c r="L44" i="3"/>
  <c r="J44" i="3"/>
  <c r="H44" i="3"/>
  <c r="A46" i="3"/>
  <c r="B45" i="3"/>
  <c r="D45" i="3"/>
  <c r="B89" i="1"/>
  <c r="C88" i="1"/>
  <c r="B46" i="3" l="1"/>
  <c r="A47" i="3"/>
  <c r="D46" i="3"/>
  <c r="F45" i="3"/>
  <c r="L45" i="3"/>
  <c r="J45" i="3"/>
  <c r="H45" i="3"/>
  <c r="B90" i="1"/>
  <c r="C89" i="1"/>
  <c r="A48" i="3" l="1"/>
  <c r="B47" i="3"/>
  <c r="D47" i="3"/>
  <c r="J46" i="3"/>
  <c r="F46" i="3"/>
  <c r="L46" i="3"/>
  <c r="H46" i="3"/>
  <c r="B91" i="1"/>
  <c r="C90" i="1"/>
  <c r="H47" i="3" l="1"/>
  <c r="F47" i="3"/>
  <c r="L47" i="3"/>
  <c r="J47" i="3"/>
  <c r="A49" i="3"/>
  <c r="B48" i="3"/>
  <c r="D48" i="3"/>
  <c r="B92" i="1"/>
  <c r="C91" i="1"/>
  <c r="L48" i="3" l="1"/>
  <c r="J48" i="3"/>
  <c r="F48" i="3"/>
  <c r="H48" i="3"/>
  <c r="A50" i="3"/>
  <c r="B49" i="3"/>
  <c r="D49" i="3"/>
  <c r="B93" i="1"/>
  <c r="C92" i="1"/>
  <c r="A51" i="3" l="1"/>
  <c r="B50" i="3"/>
  <c r="D50" i="3"/>
  <c r="J49" i="3"/>
  <c r="F49" i="3"/>
  <c r="L49" i="3"/>
  <c r="H49" i="3"/>
  <c r="B94" i="1"/>
  <c r="C93" i="1"/>
  <c r="F50" i="3" l="1"/>
  <c r="L50" i="3"/>
  <c r="J50" i="3"/>
  <c r="H50" i="3"/>
  <c r="B51" i="3"/>
  <c r="A52" i="3"/>
  <c r="D51" i="3"/>
  <c r="B95" i="1"/>
  <c r="C94" i="1"/>
  <c r="A53" i="3" l="1"/>
  <c r="B52" i="3"/>
  <c r="D52" i="3"/>
  <c r="L51" i="3"/>
  <c r="J51" i="3"/>
  <c r="H51" i="3"/>
  <c r="F51" i="3"/>
  <c r="B96" i="1"/>
  <c r="C95" i="1"/>
  <c r="F52" i="3" l="1"/>
  <c r="L52" i="3"/>
  <c r="J52" i="3"/>
  <c r="H52" i="3"/>
  <c r="A54" i="3"/>
  <c r="B53" i="3"/>
  <c r="D53" i="3"/>
  <c r="B97" i="1"/>
  <c r="C96" i="1"/>
  <c r="F53" i="3" l="1"/>
  <c r="L53" i="3"/>
  <c r="J53" i="3"/>
  <c r="H53" i="3"/>
  <c r="B54" i="3"/>
  <c r="A55" i="3"/>
  <c r="D54" i="3"/>
  <c r="B98" i="1"/>
  <c r="C97" i="1"/>
  <c r="A56" i="3" l="1"/>
  <c r="B55" i="3"/>
  <c r="D55" i="3"/>
  <c r="J54" i="3"/>
  <c r="F54" i="3"/>
  <c r="L54" i="3"/>
  <c r="H54" i="3"/>
  <c r="B99" i="1"/>
  <c r="C98" i="1"/>
  <c r="H55" i="3" l="1"/>
  <c r="F55" i="3"/>
  <c r="L55" i="3"/>
  <c r="J55" i="3"/>
  <c r="A57" i="3"/>
  <c r="B56" i="3"/>
  <c r="D56" i="3"/>
  <c r="B100" i="1"/>
  <c r="C99" i="1"/>
  <c r="L56" i="3" l="1"/>
  <c r="J56" i="3"/>
  <c r="F56" i="3"/>
  <c r="H56" i="3"/>
  <c r="A58" i="3"/>
  <c r="B57" i="3"/>
  <c r="D57" i="3"/>
  <c r="B101" i="1"/>
  <c r="C100" i="1"/>
  <c r="J57" i="3" l="1"/>
  <c r="F57" i="3"/>
  <c r="L57" i="3"/>
  <c r="H57" i="3"/>
  <c r="A59" i="3"/>
  <c r="B58" i="3"/>
  <c r="D58" i="3"/>
  <c r="B102" i="1"/>
  <c r="C101" i="1"/>
  <c r="F58" i="3" l="1"/>
  <c r="L58" i="3"/>
  <c r="J58" i="3"/>
  <c r="H58" i="3"/>
  <c r="B59" i="3"/>
  <c r="D59" i="3"/>
  <c r="B103" i="1"/>
  <c r="C102" i="1"/>
  <c r="L59" i="3" l="1"/>
  <c r="O17" i="3" s="1"/>
  <c r="J59" i="3"/>
  <c r="O15" i="3" s="1"/>
  <c r="H59" i="3"/>
  <c r="O12" i="3" s="1"/>
  <c r="F59" i="3"/>
  <c r="B104" i="1"/>
  <c r="C103" i="1"/>
  <c r="O14" i="3" l="1"/>
  <c r="O11" i="3"/>
  <c r="B105" i="1"/>
  <c r="C104" i="1"/>
  <c r="B106" i="1" l="1"/>
  <c r="C105" i="1"/>
  <c r="B107" i="1" l="1"/>
  <c r="C106" i="1"/>
  <c r="B108" i="1" l="1"/>
  <c r="C107" i="1"/>
  <c r="B109" i="1" l="1"/>
  <c r="C108" i="1"/>
  <c r="C109" i="1" l="1"/>
  <c r="B110" i="1"/>
  <c r="B111" i="1" l="1"/>
  <c r="C110" i="1"/>
  <c r="B112" i="1" l="1"/>
  <c r="C111" i="1"/>
  <c r="B113" i="1" l="1"/>
  <c r="C112" i="1"/>
  <c r="B114" i="1" l="1"/>
  <c r="C113" i="1"/>
  <c r="B115" i="1" l="1"/>
  <c r="C114" i="1"/>
  <c r="B116" i="1" l="1"/>
  <c r="C115" i="1"/>
  <c r="B117" i="1" l="1"/>
  <c r="C116" i="1"/>
  <c r="B118" i="1" l="1"/>
  <c r="C117" i="1"/>
  <c r="B119" i="1" l="1"/>
  <c r="C118" i="1"/>
  <c r="B120" i="1" l="1"/>
  <c r="C119" i="1"/>
  <c r="B121" i="1" l="1"/>
  <c r="C120" i="1"/>
  <c r="B122" i="1" l="1"/>
  <c r="C121" i="1"/>
  <c r="B123" i="1" l="1"/>
  <c r="C122" i="1"/>
  <c r="B124" i="1" l="1"/>
  <c r="C123" i="1"/>
  <c r="B125" i="1" l="1"/>
  <c r="C124" i="1"/>
  <c r="B126" i="1" l="1"/>
  <c r="C125" i="1"/>
  <c r="B127" i="1" l="1"/>
  <c r="C126" i="1"/>
  <c r="B128" i="1" l="1"/>
  <c r="C127" i="1"/>
  <c r="B129" i="1" l="1"/>
  <c r="C128" i="1"/>
  <c r="C129" i="1" l="1"/>
  <c r="B130" i="1"/>
  <c r="B131" i="1" l="1"/>
  <c r="C130" i="1"/>
  <c r="B132" i="1" l="1"/>
  <c r="C131" i="1"/>
  <c r="B133" i="1" l="1"/>
  <c r="C132" i="1"/>
  <c r="B134" i="1" l="1"/>
  <c r="C133" i="1"/>
  <c r="B135" i="1" l="1"/>
  <c r="C134" i="1"/>
  <c r="B136" i="1" l="1"/>
  <c r="C135" i="1"/>
  <c r="B137" i="1" l="1"/>
  <c r="C136" i="1"/>
  <c r="B138" i="1" l="1"/>
  <c r="C137" i="1"/>
  <c r="B139" i="1" l="1"/>
  <c r="C138" i="1"/>
  <c r="B140" i="1" l="1"/>
  <c r="C139" i="1"/>
  <c r="B141" i="1" l="1"/>
  <c r="C140" i="1"/>
  <c r="B142" i="1" l="1"/>
  <c r="C141" i="1"/>
  <c r="B143" i="1" l="1"/>
  <c r="C142" i="1"/>
  <c r="B144" i="1" l="1"/>
  <c r="C143" i="1"/>
  <c r="B145" i="1" l="1"/>
  <c r="C144" i="1"/>
  <c r="B146" i="1" l="1"/>
  <c r="C145" i="1"/>
  <c r="B147" i="1" l="1"/>
  <c r="C146" i="1"/>
  <c r="B148" i="1" l="1"/>
  <c r="C147" i="1"/>
  <c r="B149" i="1" l="1"/>
  <c r="C148" i="1"/>
  <c r="B150" i="1" l="1"/>
  <c r="C149" i="1"/>
  <c r="B151" i="1" l="1"/>
  <c r="C150" i="1"/>
  <c r="B152" i="1" l="1"/>
  <c r="C151" i="1"/>
  <c r="B153" i="1" l="1"/>
  <c r="C152" i="1"/>
  <c r="B154" i="1" l="1"/>
  <c r="C153" i="1"/>
  <c r="B155" i="1" l="1"/>
  <c r="C154" i="1"/>
  <c r="B156" i="1" l="1"/>
  <c r="C155" i="1"/>
  <c r="B157" i="1" l="1"/>
  <c r="C156" i="1"/>
  <c r="B158" i="1" l="1"/>
  <c r="C157" i="1"/>
  <c r="B159" i="1" l="1"/>
  <c r="C158" i="1"/>
  <c r="B160" i="1" l="1"/>
  <c r="C159" i="1"/>
  <c r="B161" i="1" l="1"/>
  <c r="C160" i="1"/>
  <c r="B162" i="1" l="1"/>
  <c r="C161" i="1"/>
  <c r="B163" i="1" l="1"/>
  <c r="C162" i="1"/>
  <c r="B164" i="1" l="1"/>
  <c r="C163" i="1"/>
  <c r="B165" i="1" l="1"/>
  <c r="C164" i="1"/>
  <c r="B166" i="1" l="1"/>
  <c r="C165" i="1"/>
  <c r="B167" i="1" l="1"/>
  <c r="C166" i="1"/>
  <c r="B168" i="1" l="1"/>
  <c r="C167" i="1"/>
  <c r="B169" i="1" l="1"/>
  <c r="C168" i="1"/>
  <c r="B170" i="1" l="1"/>
  <c r="C169" i="1"/>
  <c r="B171" i="1" l="1"/>
  <c r="C170" i="1"/>
  <c r="B172" i="1" l="1"/>
  <c r="C171" i="1"/>
  <c r="B173" i="1" l="1"/>
  <c r="C172" i="1"/>
  <c r="B174" i="1" l="1"/>
  <c r="C173" i="1"/>
  <c r="B175" i="1" l="1"/>
  <c r="C174" i="1"/>
  <c r="B176" i="1" l="1"/>
  <c r="C175" i="1"/>
  <c r="B177" i="1" l="1"/>
  <c r="C176" i="1"/>
  <c r="B178" i="1" l="1"/>
  <c r="C177" i="1"/>
  <c r="B179" i="1" l="1"/>
  <c r="C178" i="1"/>
  <c r="B180" i="1" l="1"/>
  <c r="C179" i="1"/>
  <c r="B181" i="1" l="1"/>
  <c r="C180" i="1"/>
  <c r="B182" i="1" l="1"/>
  <c r="C181" i="1"/>
  <c r="B183" i="1" l="1"/>
  <c r="C182" i="1"/>
  <c r="B184" i="1" l="1"/>
  <c r="C183" i="1"/>
  <c r="B185" i="1" l="1"/>
  <c r="C184" i="1"/>
  <c r="B186" i="1" l="1"/>
  <c r="C185" i="1"/>
  <c r="B187" i="1" l="1"/>
  <c r="C186" i="1"/>
  <c r="B188" i="1" l="1"/>
  <c r="C187" i="1"/>
  <c r="B189" i="1" l="1"/>
  <c r="C188" i="1"/>
  <c r="B190" i="1" l="1"/>
  <c r="C189" i="1"/>
  <c r="B191" i="1" l="1"/>
  <c r="C190" i="1"/>
  <c r="B192" i="1" l="1"/>
  <c r="C191" i="1"/>
  <c r="B193" i="1" l="1"/>
  <c r="C192" i="1"/>
  <c r="B194" i="1" l="1"/>
  <c r="C193" i="1"/>
  <c r="B195" i="1" l="1"/>
  <c r="C194" i="1"/>
  <c r="B196" i="1" l="1"/>
  <c r="C195" i="1"/>
  <c r="B197" i="1" l="1"/>
  <c r="C196" i="1"/>
  <c r="B198" i="1" l="1"/>
  <c r="C197" i="1"/>
  <c r="B199" i="1" l="1"/>
  <c r="C198" i="1"/>
  <c r="B200" i="1" l="1"/>
  <c r="C199" i="1"/>
  <c r="B201" i="1" l="1"/>
  <c r="C200" i="1"/>
  <c r="B202" i="1" l="1"/>
  <c r="C201" i="1"/>
  <c r="B203" i="1" l="1"/>
  <c r="C202" i="1"/>
  <c r="B204" i="1" l="1"/>
  <c r="C203" i="1"/>
  <c r="B205" i="1" l="1"/>
  <c r="C204" i="1"/>
  <c r="B206" i="1" l="1"/>
  <c r="C205" i="1"/>
  <c r="B207" i="1" l="1"/>
  <c r="C206" i="1"/>
  <c r="B208" i="1" l="1"/>
  <c r="C207" i="1"/>
  <c r="B209" i="1" l="1"/>
  <c r="C208" i="1"/>
  <c r="B210" i="1" l="1"/>
  <c r="C209" i="1"/>
  <c r="B211" i="1" l="1"/>
  <c r="C210" i="1"/>
  <c r="B212" i="1" l="1"/>
  <c r="C211" i="1"/>
  <c r="B213" i="1" l="1"/>
  <c r="C212" i="1"/>
  <c r="B214" i="1" l="1"/>
  <c r="C213" i="1"/>
  <c r="B215" i="1" l="1"/>
  <c r="C214" i="1"/>
  <c r="B216" i="1" l="1"/>
  <c r="C215" i="1"/>
  <c r="B217" i="1" l="1"/>
  <c r="C216" i="1"/>
  <c r="B218" i="1" l="1"/>
  <c r="C217" i="1"/>
  <c r="B219" i="1" l="1"/>
  <c r="C218" i="1"/>
  <c r="B220" i="1" l="1"/>
  <c r="C219" i="1"/>
  <c r="B221" i="1" l="1"/>
  <c r="C220" i="1"/>
  <c r="B222" i="1" l="1"/>
  <c r="C221" i="1"/>
  <c r="B223" i="1" l="1"/>
  <c r="C222" i="1"/>
  <c r="B224" i="1" l="1"/>
  <c r="C223" i="1"/>
  <c r="B225" i="1" l="1"/>
  <c r="C224" i="1"/>
  <c r="B226" i="1" l="1"/>
  <c r="C225" i="1"/>
  <c r="B227" i="1" l="1"/>
  <c r="C226" i="1"/>
  <c r="B228" i="1" l="1"/>
  <c r="C227" i="1"/>
  <c r="B229" i="1" l="1"/>
  <c r="C228" i="1"/>
  <c r="B230" i="1" l="1"/>
  <c r="C229" i="1"/>
  <c r="B231" i="1" l="1"/>
  <c r="C230" i="1"/>
  <c r="B232" i="1" l="1"/>
  <c r="C231" i="1"/>
  <c r="B233" i="1" l="1"/>
  <c r="C232" i="1"/>
  <c r="B234" i="1" l="1"/>
  <c r="C233" i="1"/>
  <c r="B235" i="1" l="1"/>
  <c r="C234" i="1"/>
  <c r="B236" i="1" l="1"/>
  <c r="C235" i="1"/>
  <c r="B237" i="1" l="1"/>
  <c r="C236" i="1"/>
  <c r="C237" i="1" l="1"/>
  <c r="B238" i="1"/>
  <c r="B239" i="1" l="1"/>
  <c r="C238" i="1"/>
  <c r="B240" i="1" l="1"/>
  <c r="C239" i="1"/>
  <c r="B241" i="1" l="1"/>
  <c r="C240" i="1"/>
  <c r="B242" i="1" l="1"/>
  <c r="C241" i="1"/>
  <c r="B243" i="1" l="1"/>
  <c r="C242" i="1"/>
  <c r="B244" i="1" l="1"/>
  <c r="C243" i="1"/>
  <c r="B245" i="1" l="1"/>
  <c r="C244" i="1"/>
  <c r="B246" i="1" l="1"/>
  <c r="C245" i="1"/>
  <c r="B247" i="1" l="1"/>
  <c r="C246" i="1"/>
  <c r="B248" i="1" l="1"/>
  <c r="C247" i="1"/>
  <c r="B249" i="1" l="1"/>
  <c r="C248" i="1"/>
  <c r="B250" i="1" l="1"/>
  <c r="C249" i="1"/>
  <c r="B251" i="1" l="1"/>
  <c r="C250" i="1"/>
  <c r="B252" i="1" l="1"/>
  <c r="C251" i="1"/>
  <c r="B253" i="1" l="1"/>
  <c r="C252" i="1"/>
  <c r="B254" i="1" l="1"/>
  <c r="C253" i="1"/>
  <c r="B255" i="1" l="1"/>
  <c r="C254" i="1"/>
  <c r="B256" i="1" l="1"/>
  <c r="C255" i="1"/>
  <c r="B257" i="1" l="1"/>
  <c r="C256" i="1"/>
  <c r="B258" i="1" l="1"/>
  <c r="C257" i="1"/>
  <c r="B259" i="1" l="1"/>
  <c r="C258" i="1"/>
  <c r="B260" i="1" l="1"/>
  <c r="C259" i="1"/>
  <c r="B261" i="1" l="1"/>
  <c r="C260" i="1"/>
  <c r="B262" i="1" l="1"/>
  <c r="C261" i="1"/>
  <c r="B263" i="1" l="1"/>
  <c r="C262" i="1"/>
  <c r="B264" i="1" l="1"/>
  <c r="C263" i="1"/>
  <c r="B265" i="1" l="1"/>
  <c r="C264" i="1"/>
  <c r="B266" i="1" l="1"/>
  <c r="C265" i="1"/>
  <c r="B267" i="1" l="1"/>
  <c r="C266" i="1"/>
  <c r="B268" i="1" l="1"/>
  <c r="C267" i="1"/>
  <c r="B269" i="1" l="1"/>
  <c r="C268" i="1"/>
  <c r="B270" i="1" l="1"/>
  <c r="C269" i="1"/>
  <c r="B271" i="1" l="1"/>
  <c r="C270" i="1"/>
  <c r="B272" i="1" l="1"/>
  <c r="C271" i="1"/>
  <c r="B273" i="1" l="1"/>
  <c r="C272" i="1"/>
  <c r="B274" i="1" l="1"/>
  <c r="C273" i="1"/>
  <c r="B275" i="1" l="1"/>
  <c r="C274" i="1"/>
  <c r="B276" i="1" l="1"/>
  <c r="C275" i="1"/>
  <c r="B277" i="1" l="1"/>
  <c r="C276" i="1"/>
  <c r="B278" i="1" l="1"/>
  <c r="C277" i="1"/>
  <c r="C278" i="1" l="1"/>
  <c r="B279" i="1"/>
  <c r="B280" i="1" l="1"/>
  <c r="C279" i="1"/>
  <c r="B281" i="1" l="1"/>
  <c r="C280" i="1"/>
  <c r="B282" i="1" l="1"/>
  <c r="C281" i="1"/>
  <c r="B283" i="1" l="1"/>
  <c r="C282" i="1"/>
  <c r="B284" i="1" l="1"/>
  <c r="C283" i="1"/>
  <c r="B285" i="1" l="1"/>
  <c r="C284" i="1"/>
  <c r="B286" i="1" l="1"/>
  <c r="C285" i="1"/>
  <c r="B287" i="1" l="1"/>
  <c r="C286" i="1"/>
  <c r="B288" i="1" l="1"/>
  <c r="C287" i="1"/>
  <c r="B289" i="1" l="1"/>
  <c r="C288" i="1"/>
  <c r="B290" i="1" l="1"/>
  <c r="C289" i="1"/>
  <c r="B291" i="1" l="1"/>
  <c r="C290" i="1"/>
  <c r="B292" i="1" l="1"/>
  <c r="C291" i="1"/>
  <c r="B293" i="1" l="1"/>
  <c r="C292" i="1"/>
  <c r="B294" i="1" l="1"/>
  <c r="C293" i="1"/>
  <c r="B295" i="1" l="1"/>
  <c r="C294" i="1"/>
  <c r="B296" i="1" l="1"/>
  <c r="C295" i="1"/>
  <c r="B297" i="1" l="1"/>
  <c r="C296" i="1"/>
  <c r="B298" i="1" l="1"/>
  <c r="C297" i="1"/>
  <c r="B299" i="1" l="1"/>
  <c r="C298" i="1"/>
  <c r="B300" i="1" l="1"/>
  <c r="C299" i="1"/>
  <c r="B301" i="1" l="1"/>
  <c r="C300" i="1"/>
  <c r="C301" i="1" l="1"/>
  <c r="B302" i="1"/>
  <c r="B303" i="1" l="1"/>
  <c r="C302" i="1"/>
  <c r="B304" i="1" l="1"/>
  <c r="C303" i="1"/>
  <c r="B305" i="1" l="1"/>
  <c r="C304" i="1"/>
  <c r="B306" i="1" l="1"/>
  <c r="C305" i="1"/>
  <c r="B307" i="1" l="1"/>
  <c r="C306" i="1"/>
  <c r="B308" i="1" l="1"/>
  <c r="C307" i="1"/>
  <c r="B309" i="1" l="1"/>
  <c r="C308" i="1"/>
  <c r="B310" i="1" l="1"/>
  <c r="C309" i="1"/>
  <c r="B311" i="1" l="1"/>
  <c r="C310" i="1"/>
  <c r="B312" i="1" l="1"/>
  <c r="C311" i="1"/>
  <c r="B313" i="1" l="1"/>
  <c r="C312" i="1"/>
  <c r="B314" i="1" l="1"/>
  <c r="C313" i="1"/>
  <c r="B315" i="1" l="1"/>
  <c r="C314" i="1"/>
  <c r="B316" i="1" l="1"/>
  <c r="C315" i="1"/>
  <c r="B317" i="1" l="1"/>
  <c r="C316" i="1"/>
  <c r="B318" i="1" l="1"/>
  <c r="C317" i="1"/>
  <c r="B319" i="1" l="1"/>
  <c r="C318" i="1"/>
  <c r="B320" i="1" l="1"/>
  <c r="C319" i="1"/>
  <c r="B321" i="1" l="1"/>
  <c r="C320" i="1"/>
  <c r="B322" i="1" l="1"/>
  <c r="C321" i="1"/>
  <c r="B323" i="1" l="1"/>
  <c r="C322" i="1"/>
  <c r="B324" i="1" l="1"/>
  <c r="C323" i="1"/>
  <c r="B325" i="1" l="1"/>
  <c r="C324" i="1"/>
  <c r="B326" i="1" l="1"/>
  <c r="C325" i="1"/>
  <c r="B327" i="1" l="1"/>
  <c r="C326" i="1"/>
  <c r="B328" i="1" l="1"/>
  <c r="C327" i="1"/>
  <c r="B329" i="1" l="1"/>
  <c r="C328" i="1"/>
  <c r="B330" i="1" l="1"/>
  <c r="C329" i="1"/>
  <c r="B331" i="1" l="1"/>
  <c r="C330" i="1"/>
  <c r="B332" i="1" l="1"/>
  <c r="C331" i="1"/>
  <c r="B333" i="1" l="1"/>
  <c r="C332" i="1"/>
  <c r="B334" i="1" l="1"/>
  <c r="C333" i="1"/>
  <c r="B335" i="1" l="1"/>
  <c r="C334" i="1"/>
  <c r="B336" i="1" l="1"/>
  <c r="C335" i="1"/>
  <c r="B337" i="1" l="1"/>
  <c r="C336" i="1"/>
  <c r="B338" i="1" l="1"/>
  <c r="C337" i="1"/>
  <c r="B339" i="1" l="1"/>
  <c r="C338" i="1"/>
  <c r="B340" i="1" l="1"/>
  <c r="C339" i="1"/>
  <c r="B341" i="1" l="1"/>
  <c r="C340" i="1"/>
  <c r="B342" i="1" l="1"/>
  <c r="C341" i="1"/>
  <c r="B343" i="1" l="1"/>
  <c r="C342" i="1"/>
  <c r="B344" i="1" l="1"/>
  <c r="C343" i="1"/>
  <c r="B345" i="1" l="1"/>
  <c r="C344" i="1"/>
  <c r="B346" i="1" l="1"/>
  <c r="C345" i="1"/>
  <c r="B347" i="1" l="1"/>
  <c r="C346" i="1"/>
  <c r="B348" i="1" l="1"/>
  <c r="C347" i="1"/>
  <c r="B349" i="1" l="1"/>
  <c r="C348" i="1"/>
  <c r="B350" i="1" l="1"/>
  <c r="C349" i="1"/>
  <c r="B351" i="1" l="1"/>
  <c r="C350" i="1"/>
  <c r="B352" i="1" l="1"/>
  <c r="C351" i="1"/>
  <c r="B353" i="1" l="1"/>
  <c r="C352" i="1"/>
  <c r="B354" i="1" l="1"/>
  <c r="C353" i="1"/>
  <c r="B355" i="1" l="1"/>
  <c r="C354" i="1"/>
  <c r="B356" i="1" l="1"/>
  <c r="C355" i="1"/>
  <c r="B357" i="1" l="1"/>
  <c r="C356" i="1"/>
  <c r="B358" i="1" l="1"/>
  <c r="C357" i="1"/>
  <c r="B359" i="1" l="1"/>
  <c r="C358" i="1"/>
  <c r="B360" i="1" l="1"/>
  <c r="C359" i="1"/>
  <c r="B361" i="1" l="1"/>
  <c r="C360" i="1"/>
  <c r="B362" i="1" l="1"/>
  <c r="C361" i="1"/>
  <c r="B363" i="1" l="1"/>
  <c r="C362" i="1"/>
  <c r="B364" i="1" l="1"/>
  <c r="C363" i="1"/>
  <c r="B365" i="1" l="1"/>
  <c r="C364" i="1"/>
  <c r="B366" i="1" l="1"/>
  <c r="C365" i="1"/>
  <c r="B367" i="1" l="1"/>
  <c r="C366" i="1"/>
  <c r="B368" i="1" l="1"/>
  <c r="C367" i="1"/>
  <c r="B369" i="1" l="1"/>
  <c r="C368" i="1"/>
  <c r="B370" i="1" l="1"/>
  <c r="C369" i="1"/>
  <c r="B371" i="1" l="1"/>
  <c r="C370" i="1"/>
  <c r="B372" i="1" l="1"/>
  <c r="C371" i="1"/>
  <c r="B373" i="1" l="1"/>
  <c r="C372" i="1"/>
  <c r="B374" i="1" l="1"/>
  <c r="C373" i="1"/>
  <c r="B375" i="1" l="1"/>
  <c r="C374" i="1"/>
  <c r="B376" i="1" l="1"/>
  <c r="C375" i="1"/>
  <c r="B377" i="1" l="1"/>
  <c r="C376" i="1"/>
  <c r="B378" i="1" l="1"/>
  <c r="C377" i="1"/>
  <c r="B379" i="1" l="1"/>
  <c r="C378" i="1"/>
  <c r="B380" i="1" l="1"/>
  <c r="C379" i="1"/>
  <c r="B381" i="1" l="1"/>
  <c r="C380" i="1"/>
  <c r="B382" i="1" l="1"/>
  <c r="C381" i="1"/>
  <c r="B383" i="1" l="1"/>
  <c r="C382" i="1"/>
  <c r="B384" i="1" l="1"/>
  <c r="C383" i="1"/>
  <c r="B385" i="1" l="1"/>
  <c r="C384" i="1"/>
  <c r="B386" i="1" l="1"/>
  <c r="C385" i="1"/>
  <c r="B387" i="1" l="1"/>
  <c r="C386" i="1"/>
  <c r="B388" i="1" l="1"/>
  <c r="C387" i="1"/>
  <c r="B389" i="1" l="1"/>
  <c r="C388" i="1"/>
  <c r="B390" i="1" l="1"/>
  <c r="C389" i="1"/>
  <c r="B391" i="1" l="1"/>
  <c r="C390" i="1"/>
  <c r="B392" i="1" l="1"/>
  <c r="C391" i="1"/>
  <c r="B393" i="1" l="1"/>
  <c r="C392" i="1"/>
  <c r="B394" i="1" l="1"/>
  <c r="C393" i="1"/>
  <c r="B395" i="1" l="1"/>
  <c r="C394" i="1"/>
  <c r="B396" i="1" l="1"/>
  <c r="C395" i="1"/>
  <c r="B397" i="1" l="1"/>
  <c r="C396" i="1"/>
  <c r="B398" i="1" l="1"/>
  <c r="C397" i="1"/>
  <c r="B399" i="1" l="1"/>
  <c r="C398" i="1"/>
  <c r="B400" i="1" l="1"/>
  <c r="C399" i="1"/>
  <c r="B401" i="1" l="1"/>
  <c r="C400" i="1"/>
  <c r="B402" i="1" l="1"/>
  <c r="C401" i="1"/>
  <c r="B403" i="1" l="1"/>
  <c r="C402" i="1"/>
  <c r="B404" i="1" l="1"/>
  <c r="C403" i="1"/>
  <c r="B405" i="1" l="1"/>
  <c r="C404" i="1"/>
  <c r="B406" i="1" l="1"/>
  <c r="C405" i="1"/>
  <c r="B407" i="1" l="1"/>
  <c r="C406" i="1"/>
  <c r="B408" i="1" l="1"/>
  <c r="C407" i="1"/>
  <c r="B409" i="1" l="1"/>
  <c r="C408" i="1"/>
  <c r="B410" i="1" l="1"/>
  <c r="C409" i="1"/>
  <c r="B411" i="1" l="1"/>
  <c r="C410" i="1"/>
  <c r="B412" i="1" l="1"/>
  <c r="C411" i="1"/>
  <c r="B413" i="1" l="1"/>
  <c r="C412" i="1"/>
  <c r="B414" i="1" l="1"/>
  <c r="C413" i="1"/>
  <c r="B415" i="1" l="1"/>
  <c r="C414" i="1"/>
  <c r="B416" i="1" l="1"/>
  <c r="C415" i="1"/>
  <c r="B417" i="1" l="1"/>
  <c r="C416" i="1"/>
  <c r="B418" i="1" l="1"/>
  <c r="C417" i="1"/>
  <c r="B419" i="1" l="1"/>
  <c r="C418" i="1"/>
  <c r="B420" i="1" l="1"/>
  <c r="C419" i="1"/>
  <c r="B421" i="1" l="1"/>
  <c r="C420" i="1"/>
  <c r="B422" i="1" l="1"/>
  <c r="C421" i="1"/>
  <c r="B423" i="1" l="1"/>
  <c r="C422" i="1"/>
  <c r="B424" i="1" l="1"/>
  <c r="C423" i="1"/>
  <c r="B425" i="1" l="1"/>
  <c r="C424" i="1"/>
  <c r="B426" i="1" l="1"/>
  <c r="C425" i="1"/>
  <c r="B427" i="1" l="1"/>
  <c r="C426" i="1"/>
  <c r="B428" i="1" l="1"/>
  <c r="C427" i="1"/>
  <c r="B429" i="1" l="1"/>
  <c r="C428" i="1"/>
  <c r="B430" i="1" l="1"/>
  <c r="C429" i="1"/>
  <c r="B431" i="1" l="1"/>
  <c r="C430" i="1"/>
  <c r="B432" i="1" l="1"/>
  <c r="C431" i="1"/>
  <c r="B433" i="1" l="1"/>
  <c r="C432" i="1"/>
  <c r="B434" i="1" l="1"/>
  <c r="C433" i="1"/>
  <c r="B435" i="1" l="1"/>
  <c r="C434" i="1"/>
  <c r="B436" i="1" l="1"/>
  <c r="C435" i="1"/>
  <c r="B437" i="1" l="1"/>
  <c r="C436" i="1"/>
  <c r="B438" i="1" l="1"/>
  <c r="C437" i="1"/>
  <c r="B439" i="1" l="1"/>
  <c r="C438" i="1"/>
  <c r="B440" i="1" l="1"/>
  <c r="C439" i="1"/>
  <c r="B441" i="1" l="1"/>
  <c r="C440" i="1"/>
  <c r="B442" i="1" l="1"/>
  <c r="C441" i="1"/>
  <c r="B443" i="1" l="1"/>
  <c r="C442" i="1"/>
  <c r="B444" i="1" l="1"/>
  <c r="C443" i="1"/>
  <c r="B445" i="1" l="1"/>
  <c r="C444" i="1"/>
  <c r="B446" i="1" l="1"/>
  <c r="C445" i="1"/>
  <c r="B447" i="1" l="1"/>
  <c r="C446" i="1"/>
  <c r="B448" i="1" l="1"/>
  <c r="C447" i="1"/>
  <c r="B449" i="1" l="1"/>
  <c r="C448" i="1"/>
  <c r="C449" i="1" l="1"/>
  <c r="B450" i="1"/>
  <c r="B451" i="1" l="1"/>
  <c r="C450" i="1"/>
  <c r="B452" i="1" l="1"/>
  <c r="C451" i="1"/>
  <c r="B453" i="1" l="1"/>
  <c r="C452" i="1"/>
  <c r="B454" i="1" l="1"/>
  <c r="C453" i="1"/>
  <c r="B455" i="1" l="1"/>
  <c r="C454" i="1"/>
  <c r="B456" i="1" l="1"/>
  <c r="C455" i="1"/>
  <c r="B457" i="1" l="1"/>
  <c r="C456" i="1"/>
  <c r="B458" i="1" l="1"/>
  <c r="C457" i="1"/>
  <c r="B459" i="1" l="1"/>
  <c r="C458" i="1"/>
  <c r="B460" i="1" l="1"/>
  <c r="C459" i="1"/>
  <c r="B461" i="1" l="1"/>
  <c r="C460" i="1"/>
  <c r="B462" i="1" l="1"/>
  <c r="C461" i="1"/>
  <c r="B463" i="1" l="1"/>
  <c r="C462" i="1"/>
  <c r="B464" i="1" l="1"/>
  <c r="C463" i="1"/>
  <c r="B465" i="1" l="1"/>
  <c r="C464" i="1"/>
  <c r="B466" i="1" l="1"/>
  <c r="C465" i="1"/>
  <c r="B467" i="1" l="1"/>
  <c r="C466" i="1"/>
  <c r="B468" i="1" l="1"/>
  <c r="C467" i="1"/>
  <c r="B469" i="1" l="1"/>
  <c r="C468" i="1"/>
  <c r="B470" i="1" l="1"/>
  <c r="C469" i="1"/>
  <c r="B471" i="1" l="1"/>
  <c r="C470" i="1"/>
  <c r="B472" i="1" l="1"/>
  <c r="C471" i="1"/>
  <c r="B473" i="1" l="1"/>
  <c r="C472" i="1"/>
  <c r="B474" i="1" l="1"/>
  <c r="C473" i="1"/>
  <c r="B475" i="1" l="1"/>
  <c r="C474" i="1"/>
  <c r="B476" i="1" l="1"/>
  <c r="C475" i="1"/>
  <c r="B477" i="1" l="1"/>
  <c r="C476" i="1"/>
  <c r="B478" i="1" l="1"/>
  <c r="C477" i="1"/>
  <c r="B479" i="1" l="1"/>
  <c r="C478" i="1"/>
  <c r="B480" i="1" l="1"/>
  <c r="C479" i="1"/>
  <c r="B481" i="1" l="1"/>
  <c r="C480" i="1"/>
  <c r="B482" i="1" l="1"/>
  <c r="C481" i="1"/>
  <c r="B483" i="1" l="1"/>
  <c r="C482" i="1"/>
  <c r="B484" i="1" l="1"/>
  <c r="C483" i="1"/>
  <c r="B485" i="1" l="1"/>
  <c r="C484" i="1"/>
  <c r="B486" i="1" l="1"/>
  <c r="C485" i="1"/>
  <c r="B487" i="1" l="1"/>
  <c r="C486" i="1"/>
  <c r="B488" i="1" l="1"/>
  <c r="C487" i="1"/>
  <c r="B489" i="1" l="1"/>
  <c r="C488" i="1"/>
  <c r="B490" i="1" l="1"/>
  <c r="C489" i="1"/>
  <c r="B491" i="1" l="1"/>
  <c r="C490" i="1"/>
  <c r="B492" i="1" l="1"/>
  <c r="C491" i="1"/>
  <c r="B493" i="1" l="1"/>
  <c r="C492" i="1"/>
  <c r="B494" i="1" l="1"/>
  <c r="C493" i="1"/>
  <c r="B495" i="1" l="1"/>
  <c r="C494" i="1"/>
  <c r="B496" i="1" l="1"/>
  <c r="C495" i="1"/>
  <c r="B497" i="1" l="1"/>
  <c r="C496" i="1"/>
  <c r="B498" i="1" l="1"/>
  <c r="C497" i="1"/>
  <c r="B499" i="1" l="1"/>
  <c r="C498" i="1"/>
  <c r="B500" i="1" l="1"/>
  <c r="C499" i="1"/>
  <c r="B501" i="1" l="1"/>
  <c r="C500" i="1"/>
  <c r="B502" i="1" l="1"/>
  <c r="C501" i="1"/>
  <c r="B503" i="1" l="1"/>
  <c r="C502" i="1"/>
  <c r="B504" i="1" l="1"/>
  <c r="C503" i="1"/>
  <c r="B505" i="1" l="1"/>
  <c r="C504" i="1"/>
  <c r="B506" i="1" l="1"/>
  <c r="C505" i="1"/>
  <c r="B507" i="1" l="1"/>
  <c r="C506" i="1"/>
  <c r="B508" i="1" l="1"/>
  <c r="C507" i="1"/>
  <c r="B509" i="1" l="1"/>
  <c r="C508" i="1"/>
  <c r="B510" i="1" l="1"/>
  <c r="C509" i="1"/>
  <c r="B511" i="1" l="1"/>
  <c r="C510" i="1"/>
  <c r="B512" i="1" l="1"/>
  <c r="C511" i="1"/>
  <c r="B513" i="1" l="1"/>
  <c r="C512" i="1"/>
  <c r="B514" i="1" l="1"/>
  <c r="C513" i="1"/>
  <c r="B515" i="1" l="1"/>
  <c r="C514" i="1"/>
  <c r="B516" i="1" l="1"/>
  <c r="C515" i="1"/>
  <c r="B517" i="1" l="1"/>
  <c r="C516" i="1"/>
  <c r="B518" i="1" l="1"/>
  <c r="C517" i="1"/>
  <c r="B519" i="1" l="1"/>
  <c r="C518" i="1"/>
  <c r="B520" i="1" l="1"/>
  <c r="C519" i="1"/>
  <c r="B521" i="1" l="1"/>
  <c r="C520" i="1"/>
  <c r="B522" i="1" l="1"/>
  <c r="C521" i="1"/>
  <c r="B523" i="1" l="1"/>
  <c r="C522" i="1"/>
  <c r="B524" i="1" l="1"/>
  <c r="C523" i="1"/>
  <c r="B525" i="1" l="1"/>
  <c r="C524" i="1"/>
  <c r="B526" i="1" l="1"/>
  <c r="C525" i="1"/>
  <c r="B527" i="1" l="1"/>
  <c r="C526" i="1"/>
  <c r="B528" i="1" l="1"/>
  <c r="C527" i="1"/>
  <c r="B529" i="1" l="1"/>
  <c r="C528" i="1"/>
  <c r="B530" i="1" l="1"/>
  <c r="C529" i="1"/>
  <c r="B531" i="1" l="1"/>
  <c r="C530" i="1"/>
  <c r="B532" i="1" l="1"/>
  <c r="C531" i="1"/>
  <c r="B533" i="1" l="1"/>
  <c r="C532" i="1"/>
  <c r="B534" i="1" l="1"/>
  <c r="C533" i="1"/>
  <c r="B535" i="1" l="1"/>
  <c r="C534" i="1"/>
  <c r="B536" i="1" l="1"/>
  <c r="C535" i="1"/>
  <c r="B537" i="1" l="1"/>
  <c r="C536" i="1"/>
  <c r="B538" i="1" l="1"/>
  <c r="C537" i="1"/>
  <c r="B539" i="1" l="1"/>
  <c r="C538" i="1"/>
  <c r="B540" i="1" l="1"/>
  <c r="C539" i="1"/>
  <c r="B541" i="1" l="1"/>
  <c r="C540" i="1"/>
  <c r="B542" i="1" l="1"/>
  <c r="C541" i="1"/>
  <c r="B543" i="1" l="1"/>
  <c r="C542" i="1"/>
  <c r="B544" i="1" l="1"/>
  <c r="C543" i="1"/>
  <c r="B545" i="1" l="1"/>
  <c r="C544" i="1"/>
  <c r="B546" i="1" l="1"/>
  <c r="C545" i="1"/>
  <c r="B547" i="1" l="1"/>
  <c r="C546" i="1"/>
  <c r="B548" i="1" l="1"/>
  <c r="C547" i="1"/>
  <c r="B549" i="1" l="1"/>
  <c r="C548" i="1"/>
  <c r="B550" i="1" l="1"/>
  <c r="C549" i="1"/>
  <c r="B551" i="1" l="1"/>
  <c r="C550" i="1"/>
  <c r="B552" i="1" l="1"/>
  <c r="C551" i="1"/>
  <c r="B553" i="1" l="1"/>
  <c r="C552" i="1"/>
  <c r="B554" i="1" l="1"/>
  <c r="C553" i="1"/>
  <c r="B555" i="1" l="1"/>
  <c r="C554" i="1"/>
  <c r="B556" i="1" l="1"/>
  <c r="C555" i="1"/>
  <c r="B557" i="1" l="1"/>
  <c r="C556" i="1"/>
  <c r="B558" i="1" l="1"/>
  <c r="C557" i="1"/>
  <c r="B559" i="1" l="1"/>
  <c r="C558" i="1"/>
  <c r="B560" i="1" l="1"/>
  <c r="C559" i="1"/>
  <c r="B561" i="1" l="1"/>
  <c r="C560" i="1"/>
  <c r="B562" i="1" l="1"/>
  <c r="C561" i="1"/>
  <c r="B563" i="1" l="1"/>
  <c r="C562" i="1"/>
  <c r="B564" i="1" l="1"/>
  <c r="C563" i="1"/>
  <c r="B565" i="1" l="1"/>
  <c r="C564" i="1"/>
  <c r="B566" i="1" l="1"/>
  <c r="C565" i="1"/>
  <c r="B567" i="1" l="1"/>
  <c r="C566" i="1"/>
  <c r="B568" i="1" l="1"/>
  <c r="C567" i="1"/>
  <c r="B569" i="1" l="1"/>
  <c r="C568" i="1"/>
  <c r="B570" i="1" l="1"/>
  <c r="C569" i="1"/>
  <c r="B571" i="1" l="1"/>
  <c r="C570" i="1"/>
  <c r="B572" i="1" l="1"/>
  <c r="C571" i="1"/>
  <c r="B573" i="1" l="1"/>
  <c r="C572" i="1"/>
  <c r="B574" i="1" l="1"/>
  <c r="C573" i="1"/>
  <c r="B575" i="1" l="1"/>
  <c r="C574" i="1"/>
  <c r="B576" i="1" l="1"/>
  <c r="C575" i="1"/>
  <c r="B577" i="1" l="1"/>
  <c r="C576" i="1"/>
  <c r="B578" i="1" l="1"/>
  <c r="C577" i="1"/>
  <c r="B579" i="1" l="1"/>
  <c r="C578" i="1"/>
  <c r="B580" i="1" l="1"/>
  <c r="C579" i="1"/>
  <c r="B581" i="1" l="1"/>
  <c r="C580" i="1"/>
  <c r="B582" i="1" l="1"/>
  <c r="C581" i="1"/>
  <c r="B583" i="1" l="1"/>
  <c r="C582" i="1"/>
  <c r="B584" i="1" l="1"/>
  <c r="C583" i="1"/>
  <c r="B585" i="1" l="1"/>
  <c r="C584" i="1"/>
  <c r="B586" i="1" l="1"/>
  <c r="C585" i="1"/>
  <c r="B587" i="1" l="1"/>
  <c r="C586" i="1"/>
  <c r="B588" i="1" l="1"/>
  <c r="C587" i="1"/>
  <c r="B589" i="1" l="1"/>
  <c r="C588" i="1"/>
  <c r="B590" i="1" l="1"/>
  <c r="C589" i="1"/>
  <c r="B591" i="1" l="1"/>
  <c r="C590" i="1"/>
  <c r="B592" i="1" l="1"/>
  <c r="C591" i="1"/>
  <c r="B593" i="1" l="1"/>
  <c r="C592" i="1"/>
  <c r="B594" i="1" l="1"/>
  <c r="C593" i="1"/>
  <c r="B595" i="1" l="1"/>
  <c r="C594" i="1"/>
  <c r="B596" i="1" l="1"/>
  <c r="C595" i="1"/>
  <c r="B597" i="1" l="1"/>
  <c r="C596" i="1"/>
  <c r="B598" i="1" l="1"/>
  <c r="C597" i="1"/>
  <c r="B599" i="1" l="1"/>
  <c r="C598" i="1"/>
  <c r="B600" i="1" l="1"/>
  <c r="C599" i="1"/>
  <c r="B601" i="1" l="1"/>
  <c r="C600" i="1"/>
  <c r="B602" i="1" l="1"/>
  <c r="C601" i="1"/>
  <c r="B603" i="1" l="1"/>
  <c r="C602" i="1"/>
  <c r="B604" i="1" l="1"/>
  <c r="C603" i="1"/>
  <c r="B605" i="1" l="1"/>
  <c r="C604" i="1"/>
  <c r="B606" i="1" l="1"/>
  <c r="C605" i="1"/>
  <c r="B607" i="1" l="1"/>
  <c r="C606" i="1"/>
  <c r="B608" i="1" l="1"/>
  <c r="C607" i="1"/>
  <c r="B609" i="1" l="1"/>
  <c r="C608" i="1"/>
  <c r="B610" i="1" l="1"/>
  <c r="C609" i="1"/>
  <c r="B611" i="1" l="1"/>
  <c r="C610" i="1"/>
  <c r="B612" i="1" l="1"/>
  <c r="C611" i="1"/>
  <c r="B613" i="1" l="1"/>
  <c r="C612" i="1"/>
  <c r="B614" i="1" l="1"/>
  <c r="C613" i="1"/>
  <c r="B615" i="1" l="1"/>
  <c r="C614" i="1"/>
  <c r="B616" i="1" l="1"/>
  <c r="C615" i="1"/>
  <c r="B617" i="1" l="1"/>
  <c r="C616" i="1"/>
  <c r="B618" i="1" l="1"/>
  <c r="C617" i="1"/>
  <c r="B619" i="1" l="1"/>
  <c r="C618" i="1"/>
  <c r="B620" i="1" l="1"/>
  <c r="C619" i="1"/>
  <c r="B621" i="1" l="1"/>
  <c r="C620" i="1"/>
  <c r="B622" i="1" l="1"/>
  <c r="C621" i="1"/>
  <c r="B623" i="1" l="1"/>
  <c r="C622" i="1"/>
  <c r="B624" i="1" l="1"/>
  <c r="C623" i="1"/>
  <c r="B625" i="1" l="1"/>
  <c r="C624" i="1"/>
  <c r="B626" i="1" l="1"/>
  <c r="C625" i="1"/>
  <c r="B627" i="1" l="1"/>
  <c r="C626" i="1"/>
  <c r="B628" i="1" l="1"/>
  <c r="C627" i="1"/>
  <c r="B629" i="1" l="1"/>
  <c r="C628" i="1"/>
  <c r="B630" i="1" l="1"/>
  <c r="C629" i="1"/>
  <c r="B631" i="1" l="1"/>
  <c r="C630" i="1"/>
  <c r="B632" i="1" l="1"/>
  <c r="C631" i="1"/>
  <c r="B633" i="1" l="1"/>
  <c r="C632" i="1"/>
  <c r="B634" i="1" l="1"/>
  <c r="C633" i="1"/>
  <c r="B635" i="1" l="1"/>
  <c r="C634" i="1"/>
  <c r="B636" i="1" l="1"/>
  <c r="C635" i="1"/>
  <c r="B637" i="1" l="1"/>
  <c r="C636" i="1"/>
  <c r="B638" i="1" l="1"/>
  <c r="C637" i="1"/>
  <c r="B639" i="1" l="1"/>
  <c r="C638" i="1"/>
  <c r="B640" i="1" l="1"/>
  <c r="C639" i="1"/>
  <c r="B641" i="1" l="1"/>
  <c r="C640" i="1"/>
  <c r="B642" i="1" l="1"/>
  <c r="C641" i="1"/>
  <c r="B643" i="1" l="1"/>
  <c r="C642" i="1"/>
  <c r="B644" i="1" l="1"/>
  <c r="C643" i="1"/>
  <c r="B645" i="1" l="1"/>
  <c r="C644" i="1"/>
  <c r="B646" i="1" l="1"/>
  <c r="C645" i="1"/>
  <c r="B647" i="1" l="1"/>
  <c r="C646" i="1"/>
  <c r="B648" i="1" l="1"/>
  <c r="C647" i="1"/>
  <c r="B649" i="1" l="1"/>
  <c r="C648" i="1"/>
  <c r="B650" i="1" l="1"/>
  <c r="C649" i="1"/>
  <c r="B651" i="1" l="1"/>
  <c r="C650" i="1"/>
  <c r="B652" i="1" l="1"/>
  <c r="C651" i="1"/>
  <c r="B653" i="1" l="1"/>
  <c r="C652" i="1"/>
  <c r="B654" i="1" l="1"/>
  <c r="C653" i="1"/>
  <c r="B655" i="1" l="1"/>
  <c r="C654" i="1"/>
  <c r="B656" i="1" l="1"/>
  <c r="C655" i="1"/>
  <c r="B657" i="1" l="1"/>
  <c r="C656" i="1"/>
  <c r="B658" i="1" l="1"/>
  <c r="C657" i="1"/>
  <c r="B659" i="1" l="1"/>
  <c r="C658" i="1"/>
  <c r="B660" i="1" l="1"/>
  <c r="C659" i="1"/>
  <c r="B661" i="1" l="1"/>
  <c r="C660" i="1"/>
  <c r="B662" i="1" l="1"/>
  <c r="C661" i="1"/>
  <c r="B663" i="1" l="1"/>
  <c r="C662" i="1"/>
  <c r="B664" i="1" l="1"/>
  <c r="C663" i="1"/>
  <c r="B665" i="1" l="1"/>
  <c r="C664" i="1"/>
  <c r="B666" i="1" l="1"/>
  <c r="C665" i="1"/>
  <c r="B667" i="1" l="1"/>
  <c r="C666" i="1"/>
  <c r="B668" i="1" l="1"/>
  <c r="C667" i="1"/>
  <c r="B669" i="1" l="1"/>
  <c r="C668" i="1"/>
  <c r="B670" i="1" l="1"/>
  <c r="C669" i="1"/>
  <c r="B671" i="1" l="1"/>
  <c r="C670" i="1"/>
  <c r="B672" i="1" l="1"/>
  <c r="C671" i="1"/>
  <c r="B673" i="1" l="1"/>
  <c r="C672" i="1"/>
  <c r="B674" i="1" l="1"/>
  <c r="C673" i="1"/>
  <c r="B675" i="1" l="1"/>
  <c r="C674" i="1"/>
  <c r="B676" i="1" l="1"/>
  <c r="C675" i="1"/>
  <c r="B677" i="1" l="1"/>
  <c r="C676" i="1"/>
  <c r="B678" i="1" l="1"/>
  <c r="C677" i="1"/>
  <c r="B679" i="1" l="1"/>
  <c r="C678" i="1"/>
  <c r="B680" i="1" l="1"/>
  <c r="C679" i="1"/>
  <c r="B681" i="1" l="1"/>
  <c r="C680" i="1"/>
  <c r="B682" i="1" l="1"/>
  <c r="C681" i="1"/>
  <c r="B683" i="1" l="1"/>
  <c r="C682" i="1"/>
  <c r="B684" i="1" l="1"/>
  <c r="C683" i="1"/>
  <c r="B685" i="1" l="1"/>
  <c r="C684" i="1"/>
  <c r="B686" i="1" l="1"/>
  <c r="C685" i="1"/>
  <c r="B687" i="1" l="1"/>
  <c r="C686" i="1"/>
  <c r="B688" i="1" l="1"/>
  <c r="C687" i="1"/>
  <c r="B689" i="1" l="1"/>
  <c r="C688" i="1"/>
  <c r="B690" i="1" l="1"/>
  <c r="C689" i="1"/>
  <c r="B691" i="1" l="1"/>
  <c r="C690" i="1"/>
  <c r="B692" i="1" l="1"/>
  <c r="C691" i="1"/>
  <c r="B693" i="1" l="1"/>
  <c r="C692" i="1"/>
  <c r="B694" i="1" l="1"/>
  <c r="C693" i="1"/>
  <c r="B695" i="1" l="1"/>
  <c r="C694" i="1"/>
  <c r="B696" i="1" l="1"/>
  <c r="C695" i="1"/>
  <c r="B697" i="1" l="1"/>
  <c r="C696" i="1"/>
  <c r="B698" i="1" l="1"/>
  <c r="C697" i="1"/>
  <c r="B699" i="1" l="1"/>
  <c r="C698" i="1"/>
  <c r="B700" i="1" l="1"/>
  <c r="C699" i="1"/>
  <c r="B701" i="1" l="1"/>
  <c r="C700" i="1"/>
  <c r="B702" i="1" l="1"/>
  <c r="C701" i="1"/>
  <c r="B703" i="1" l="1"/>
  <c r="C702" i="1"/>
  <c r="B704" i="1" l="1"/>
  <c r="C703" i="1"/>
  <c r="B705" i="1" l="1"/>
  <c r="C704" i="1"/>
  <c r="B706" i="1" l="1"/>
  <c r="C705" i="1"/>
  <c r="B707" i="1" l="1"/>
  <c r="C706" i="1"/>
  <c r="B708" i="1" l="1"/>
  <c r="C707" i="1"/>
  <c r="B709" i="1" l="1"/>
  <c r="C708" i="1"/>
  <c r="B710" i="1" l="1"/>
  <c r="C709" i="1"/>
  <c r="B711" i="1" l="1"/>
  <c r="C710" i="1"/>
  <c r="B712" i="1" l="1"/>
  <c r="C711" i="1"/>
  <c r="B713" i="1" l="1"/>
  <c r="C712" i="1"/>
  <c r="B714" i="1" l="1"/>
  <c r="C713" i="1"/>
  <c r="B715" i="1" l="1"/>
  <c r="C714" i="1"/>
  <c r="B716" i="1" l="1"/>
  <c r="C715" i="1"/>
  <c r="B717" i="1" l="1"/>
  <c r="C716" i="1"/>
  <c r="B718" i="1" l="1"/>
  <c r="C717" i="1"/>
  <c r="B719" i="1" l="1"/>
  <c r="C718" i="1"/>
  <c r="B720" i="1" l="1"/>
  <c r="C719" i="1"/>
  <c r="B721" i="1" l="1"/>
  <c r="C720" i="1"/>
  <c r="B722" i="1" l="1"/>
  <c r="C721" i="1"/>
  <c r="B723" i="1" l="1"/>
  <c r="C722" i="1"/>
  <c r="B724" i="1" l="1"/>
  <c r="C723" i="1"/>
  <c r="B725" i="1" l="1"/>
  <c r="C724" i="1"/>
  <c r="B726" i="1" l="1"/>
  <c r="C725" i="1"/>
  <c r="B727" i="1" l="1"/>
  <c r="C726" i="1"/>
  <c r="B728" i="1" l="1"/>
  <c r="C727" i="1"/>
  <c r="B729" i="1" l="1"/>
  <c r="C728" i="1"/>
  <c r="B730" i="1" l="1"/>
  <c r="C729" i="1"/>
  <c r="B731" i="1" l="1"/>
  <c r="C730" i="1"/>
  <c r="B732" i="1" l="1"/>
  <c r="C731" i="1"/>
  <c r="B733" i="1" l="1"/>
  <c r="C732" i="1"/>
  <c r="B734" i="1" l="1"/>
  <c r="C733" i="1"/>
  <c r="B735" i="1" l="1"/>
  <c r="C734" i="1"/>
  <c r="B736" i="1" l="1"/>
  <c r="C735" i="1"/>
  <c r="B737" i="1" l="1"/>
  <c r="C736" i="1"/>
  <c r="B738" i="1" l="1"/>
  <c r="C737" i="1"/>
  <c r="B739" i="1" l="1"/>
  <c r="C738" i="1"/>
  <c r="B740" i="1" l="1"/>
  <c r="C739" i="1"/>
  <c r="B741" i="1" l="1"/>
  <c r="C740" i="1"/>
  <c r="B742" i="1" l="1"/>
  <c r="C741" i="1"/>
  <c r="B743" i="1" l="1"/>
  <c r="C742" i="1"/>
  <c r="B744" i="1" l="1"/>
  <c r="C743" i="1"/>
  <c r="B745" i="1" l="1"/>
  <c r="C744" i="1"/>
  <c r="B746" i="1" l="1"/>
  <c r="C745" i="1"/>
  <c r="B747" i="1" l="1"/>
  <c r="C746" i="1"/>
  <c r="B748" i="1" l="1"/>
  <c r="C747" i="1"/>
  <c r="B749" i="1" l="1"/>
  <c r="C748" i="1"/>
  <c r="B750" i="1" l="1"/>
  <c r="C749" i="1"/>
  <c r="B751" i="1" l="1"/>
  <c r="C750" i="1"/>
  <c r="B752" i="1" l="1"/>
  <c r="C751" i="1"/>
  <c r="B753" i="1" l="1"/>
  <c r="C752" i="1"/>
  <c r="B754" i="1" l="1"/>
  <c r="C753" i="1"/>
  <c r="B755" i="1" l="1"/>
  <c r="C754" i="1"/>
  <c r="B756" i="1" l="1"/>
  <c r="C755" i="1"/>
  <c r="B757" i="1" l="1"/>
  <c r="C756" i="1"/>
  <c r="B758" i="1" l="1"/>
  <c r="C757" i="1"/>
  <c r="B759" i="1" l="1"/>
  <c r="C758" i="1"/>
  <c r="B760" i="1" l="1"/>
  <c r="C759" i="1"/>
  <c r="B761" i="1" l="1"/>
  <c r="C760" i="1"/>
  <c r="B762" i="1" l="1"/>
  <c r="C761" i="1"/>
  <c r="B763" i="1" l="1"/>
  <c r="C762" i="1"/>
  <c r="B764" i="1" l="1"/>
  <c r="C763" i="1"/>
  <c r="B765" i="1" l="1"/>
  <c r="C764" i="1"/>
  <c r="B766" i="1" l="1"/>
  <c r="C765" i="1"/>
  <c r="B767" i="1" l="1"/>
  <c r="C766" i="1"/>
  <c r="B768" i="1" l="1"/>
  <c r="C767" i="1"/>
  <c r="B769" i="1" l="1"/>
  <c r="C768" i="1"/>
  <c r="B770" i="1" l="1"/>
  <c r="C769" i="1"/>
  <c r="B771" i="1" l="1"/>
  <c r="C770" i="1"/>
  <c r="B772" i="1" l="1"/>
  <c r="C771" i="1"/>
  <c r="B773" i="1" l="1"/>
  <c r="C772" i="1"/>
  <c r="B774" i="1" l="1"/>
  <c r="C773" i="1"/>
  <c r="B775" i="1" l="1"/>
  <c r="C774" i="1"/>
  <c r="B776" i="1" l="1"/>
  <c r="C775" i="1"/>
  <c r="B777" i="1" l="1"/>
  <c r="C776" i="1"/>
  <c r="B778" i="1" l="1"/>
  <c r="C777" i="1"/>
  <c r="B779" i="1" l="1"/>
  <c r="C778" i="1"/>
  <c r="B780" i="1" l="1"/>
  <c r="C779" i="1"/>
  <c r="B781" i="1" l="1"/>
  <c r="C780" i="1"/>
  <c r="B782" i="1" l="1"/>
  <c r="C781" i="1"/>
  <c r="B783" i="1" l="1"/>
  <c r="C782" i="1"/>
  <c r="B784" i="1" l="1"/>
  <c r="C783" i="1"/>
  <c r="B785" i="1" l="1"/>
  <c r="C784" i="1"/>
  <c r="B786" i="1" l="1"/>
  <c r="C785" i="1"/>
  <c r="B787" i="1" l="1"/>
  <c r="C786" i="1"/>
  <c r="B788" i="1" l="1"/>
  <c r="C787" i="1"/>
  <c r="B789" i="1" l="1"/>
  <c r="C788" i="1"/>
  <c r="B790" i="1" l="1"/>
  <c r="C789" i="1"/>
  <c r="B791" i="1" l="1"/>
  <c r="C790" i="1"/>
  <c r="B792" i="1" l="1"/>
  <c r="C791" i="1"/>
  <c r="B793" i="1" l="1"/>
  <c r="C792" i="1"/>
  <c r="B794" i="1" l="1"/>
  <c r="C793" i="1"/>
  <c r="B795" i="1" l="1"/>
  <c r="C794" i="1"/>
  <c r="B796" i="1" l="1"/>
  <c r="C795" i="1"/>
  <c r="B797" i="1" l="1"/>
  <c r="C796" i="1"/>
  <c r="B798" i="1" l="1"/>
  <c r="C797" i="1"/>
  <c r="B799" i="1" l="1"/>
  <c r="C798" i="1"/>
  <c r="B800" i="1" l="1"/>
  <c r="C799" i="1"/>
  <c r="B801" i="1" l="1"/>
  <c r="C800" i="1"/>
  <c r="B802" i="1" l="1"/>
  <c r="C801" i="1"/>
  <c r="B803" i="1" l="1"/>
  <c r="C802" i="1"/>
  <c r="B804" i="1" l="1"/>
  <c r="C803" i="1"/>
  <c r="B805" i="1" l="1"/>
  <c r="C804" i="1"/>
  <c r="B806" i="1" l="1"/>
  <c r="C805" i="1"/>
  <c r="B807" i="1" l="1"/>
  <c r="C806" i="1"/>
  <c r="B808" i="1" l="1"/>
  <c r="C807" i="1"/>
  <c r="B809" i="1" l="1"/>
  <c r="C808" i="1"/>
  <c r="B810" i="1" l="1"/>
  <c r="C809" i="1"/>
  <c r="B811" i="1" l="1"/>
  <c r="C810" i="1"/>
  <c r="B812" i="1" l="1"/>
  <c r="C811" i="1"/>
  <c r="B813" i="1" l="1"/>
  <c r="C812" i="1"/>
  <c r="B814" i="1" l="1"/>
  <c r="C813" i="1"/>
  <c r="B815" i="1" l="1"/>
  <c r="C814" i="1"/>
  <c r="B816" i="1" l="1"/>
  <c r="C815" i="1"/>
  <c r="B817" i="1" l="1"/>
  <c r="C816" i="1"/>
  <c r="B818" i="1" l="1"/>
  <c r="C817" i="1"/>
  <c r="B819" i="1" l="1"/>
  <c r="C818" i="1"/>
  <c r="B820" i="1" l="1"/>
  <c r="C819" i="1"/>
  <c r="B821" i="1" l="1"/>
  <c r="C820" i="1"/>
  <c r="B822" i="1" l="1"/>
  <c r="C821" i="1"/>
  <c r="B823" i="1" l="1"/>
  <c r="C822" i="1"/>
  <c r="B824" i="1" l="1"/>
  <c r="C823" i="1"/>
  <c r="B825" i="1" l="1"/>
  <c r="C824" i="1"/>
  <c r="B826" i="1" l="1"/>
  <c r="C825" i="1"/>
  <c r="B827" i="1" l="1"/>
  <c r="C826" i="1"/>
  <c r="B828" i="1" l="1"/>
  <c r="C827" i="1"/>
  <c r="B829" i="1" l="1"/>
  <c r="C828" i="1"/>
  <c r="B830" i="1" l="1"/>
  <c r="C829" i="1"/>
  <c r="B831" i="1" l="1"/>
  <c r="C830" i="1"/>
  <c r="B832" i="1" l="1"/>
  <c r="C831" i="1"/>
  <c r="B833" i="1" l="1"/>
  <c r="C832" i="1"/>
  <c r="B834" i="1" l="1"/>
  <c r="C833" i="1"/>
  <c r="B835" i="1" l="1"/>
  <c r="C834" i="1"/>
  <c r="B836" i="1" l="1"/>
  <c r="C835" i="1"/>
  <c r="B837" i="1" l="1"/>
  <c r="C836" i="1"/>
  <c r="B838" i="1" l="1"/>
  <c r="C837" i="1"/>
  <c r="B839" i="1" l="1"/>
  <c r="C838" i="1"/>
  <c r="B840" i="1" l="1"/>
  <c r="C839" i="1"/>
  <c r="B841" i="1" l="1"/>
  <c r="C840" i="1"/>
  <c r="B842" i="1" l="1"/>
  <c r="C841" i="1"/>
  <c r="B843" i="1" l="1"/>
  <c r="C842" i="1"/>
  <c r="B844" i="1" l="1"/>
  <c r="C843" i="1"/>
  <c r="B845" i="1" l="1"/>
  <c r="C844" i="1"/>
  <c r="B846" i="1" l="1"/>
  <c r="C845" i="1"/>
  <c r="B847" i="1" l="1"/>
  <c r="C846" i="1"/>
  <c r="B848" i="1" l="1"/>
  <c r="C847" i="1"/>
  <c r="B849" i="1" l="1"/>
  <c r="C848" i="1"/>
  <c r="B850" i="1" l="1"/>
  <c r="C849" i="1"/>
  <c r="B851" i="1" l="1"/>
  <c r="C850" i="1"/>
  <c r="B852" i="1" l="1"/>
  <c r="C851" i="1"/>
  <c r="B853" i="1" l="1"/>
  <c r="C852" i="1"/>
  <c r="B854" i="1" l="1"/>
  <c r="C853" i="1"/>
  <c r="B855" i="1" l="1"/>
  <c r="C854" i="1"/>
  <c r="B856" i="1" l="1"/>
  <c r="C855" i="1"/>
  <c r="B857" i="1" l="1"/>
  <c r="C856" i="1"/>
  <c r="B858" i="1" l="1"/>
  <c r="C857" i="1"/>
  <c r="B859" i="1" l="1"/>
  <c r="C858" i="1"/>
  <c r="B860" i="1" l="1"/>
  <c r="C859" i="1"/>
  <c r="B861" i="1" l="1"/>
  <c r="C860" i="1"/>
  <c r="B862" i="1" l="1"/>
  <c r="C861" i="1"/>
  <c r="B863" i="1" l="1"/>
  <c r="C862" i="1"/>
  <c r="B864" i="1" l="1"/>
  <c r="C863" i="1"/>
  <c r="B865" i="1" l="1"/>
  <c r="C864" i="1"/>
  <c r="B866" i="1" l="1"/>
  <c r="C865" i="1"/>
  <c r="B867" i="1" l="1"/>
  <c r="C866" i="1"/>
  <c r="B868" i="1" l="1"/>
  <c r="C867" i="1"/>
  <c r="B869" i="1" l="1"/>
  <c r="C868" i="1"/>
  <c r="B870" i="1" l="1"/>
  <c r="C869" i="1"/>
  <c r="B871" i="1" l="1"/>
  <c r="C870" i="1"/>
  <c r="B872" i="1" l="1"/>
  <c r="C871" i="1"/>
  <c r="B873" i="1" l="1"/>
  <c r="C872" i="1"/>
  <c r="B874" i="1" l="1"/>
  <c r="C873" i="1"/>
  <c r="B875" i="1" l="1"/>
  <c r="C874" i="1"/>
  <c r="B876" i="1" l="1"/>
  <c r="C875" i="1"/>
  <c r="B877" i="1" l="1"/>
  <c r="C876" i="1"/>
  <c r="B878" i="1" l="1"/>
  <c r="C877" i="1"/>
  <c r="B879" i="1" l="1"/>
  <c r="C878" i="1"/>
  <c r="B880" i="1" l="1"/>
  <c r="C879" i="1"/>
  <c r="B881" i="1" l="1"/>
  <c r="C880" i="1"/>
  <c r="B882" i="1" l="1"/>
  <c r="C881" i="1"/>
  <c r="B883" i="1" l="1"/>
  <c r="C882" i="1"/>
  <c r="B884" i="1" l="1"/>
  <c r="C883" i="1"/>
  <c r="B885" i="1" l="1"/>
  <c r="C884" i="1"/>
  <c r="B886" i="1" l="1"/>
  <c r="C885" i="1"/>
  <c r="B887" i="1" l="1"/>
  <c r="C886" i="1"/>
  <c r="B888" i="1" l="1"/>
  <c r="C887" i="1"/>
  <c r="B889" i="1" l="1"/>
  <c r="C888" i="1"/>
  <c r="B890" i="1" l="1"/>
  <c r="C889" i="1"/>
  <c r="B891" i="1" l="1"/>
  <c r="C890" i="1"/>
  <c r="B892" i="1" l="1"/>
  <c r="C891" i="1"/>
  <c r="B893" i="1" l="1"/>
  <c r="C892" i="1"/>
  <c r="B894" i="1" l="1"/>
  <c r="C893" i="1"/>
  <c r="B895" i="1" l="1"/>
  <c r="C894" i="1"/>
  <c r="B896" i="1" l="1"/>
  <c r="C895" i="1"/>
  <c r="B897" i="1" l="1"/>
  <c r="C896" i="1"/>
  <c r="B898" i="1" l="1"/>
  <c r="C897" i="1"/>
  <c r="B899" i="1" l="1"/>
  <c r="C898" i="1"/>
  <c r="B900" i="1" l="1"/>
  <c r="C899" i="1"/>
  <c r="B901" i="1" l="1"/>
  <c r="C900" i="1"/>
  <c r="B902" i="1" l="1"/>
  <c r="C901" i="1"/>
  <c r="B903" i="1" l="1"/>
  <c r="C902" i="1"/>
  <c r="B904" i="1" l="1"/>
  <c r="C903" i="1"/>
  <c r="B905" i="1" l="1"/>
  <c r="C904" i="1"/>
  <c r="B906" i="1" l="1"/>
  <c r="C905" i="1"/>
  <c r="B907" i="1" l="1"/>
  <c r="C906" i="1"/>
  <c r="B908" i="1" l="1"/>
  <c r="C907" i="1"/>
  <c r="B909" i="1" l="1"/>
  <c r="C908" i="1"/>
  <c r="B910" i="1" l="1"/>
  <c r="C909" i="1"/>
  <c r="B911" i="1" l="1"/>
  <c r="C910" i="1"/>
  <c r="B912" i="1" l="1"/>
  <c r="C911" i="1"/>
  <c r="B913" i="1" l="1"/>
  <c r="C912" i="1"/>
  <c r="B914" i="1" l="1"/>
  <c r="C913" i="1"/>
  <c r="B915" i="1" l="1"/>
  <c r="C914" i="1"/>
  <c r="B916" i="1" l="1"/>
  <c r="C915" i="1"/>
  <c r="B917" i="1" l="1"/>
  <c r="C916" i="1"/>
  <c r="B918" i="1" l="1"/>
  <c r="C917" i="1"/>
  <c r="B919" i="1" l="1"/>
  <c r="C918" i="1"/>
  <c r="B920" i="1" l="1"/>
  <c r="C919" i="1"/>
  <c r="B921" i="1" l="1"/>
  <c r="C920" i="1"/>
  <c r="B922" i="1" l="1"/>
  <c r="C921" i="1"/>
  <c r="B923" i="1" l="1"/>
  <c r="C922" i="1"/>
  <c r="B924" i="1" l="1"/>
  <c r="C923" i="1"/>
  <c r="B925" i="1" l="1"/>
  <c r="C924" i="1"/>
  <c r="B926" i="1" l="1"/>
  <c r="C925" i="1"/>
  <c r="B927" i="1" l="1"/>
  <c r="C926" i="1"/>
  <c r="B928" i="1" l="1"/>
  <c r="C927" i="1"/>
  <c r="B929" i="1" l="1"/>
  <c r="C928" i="1"/>
  <c r="B930" i="1" l="1"/>
  <c r="C929" i="1"/>
  <c r="B931" i="1" l="1"/>
  <c r="C930" i="1"/>
  <c r="B932" i="1" l="1"/>
  <c r="C931" i="1"/>
  <c r="B933" i="1" l="1"/>
  <c r="C932" i="1"/>
  <c r="B934" i="1" l="1"/>
  <c r="C933" i="1"/>
  <c r="B935" i="1" l="1"/>
  <c r="C934" i="1"/>
  <c r="B936" i="1" l="1"/>
  <c r="C935" i="1"/>
  <c r="B937" i="1" l="1"/>
  <c r="C936" i="1"/>
  <c r="B938" i="1" l="1"/>
  <c r="C937" i="1"/>
  <c r="B939" i="1" l="1"/>
  <c r="C938" i="1"/>
  <c r="B940" i="1" l="1"/>
  <c r="C939" i="1"/>
  <c r="B941" i="1" l="1"/>
  <c r="C940" i="1"/>
  <c r="B942" i="1" l="1"/>
  <c r="C941" i="1"/>
  <c r="B943" i="1" l="1"/>
  <c r="C942" i="1"/>
  <c r="B944" i="1" l="1"/>
  <c r="C943" i="1"/>
  <c r="B945" i="1" l="1"/>
  <c r="C944" i="1"/>
  <c r="B946" i="1" l="1"/>
  <c r="C945" i="1"/>
  <c r="B947" i="1" l="1"/>
  <c r="C946" i="1"/>
  <c r="B948" i="1" l="1"/>
  <c r="C947" i="1"/>
  <c r="B949" i="1" l="1"/>
  <c r="C948" i="1"/>
  <c r="B950" i="1" l="1"/>
  <c r="C949" i="1"/>
  <c r="B951" i="1" l="1"/>
  <c r="C950" i="1"/>
  <c r="B952" i="1" l="1"/>
  <c r="C951" i="1"/>
  <c r="B953" i="1" l="1"/>
  <c r="C952" i="1"/>
  <c r="B954" i="1" l="1"/>
  <c r="C953" i="1"/>
  <c r="B955" i="1" l="1"/>
  <c r="C954" i="1"/>
  <c r="B956" i="1" l="1"/>
  <c r="C955" i="1"/>
  <c r="B957" i="1" l="1"/>
  <c r="C956" i="1"/>
  <c r="B958" i="1" l="1"/>
  <c r="C957" i="1"/>
  <c r="B959" i="1" l="1"/>
  <c r="C958" i="1"/>
  <c r="B960" i="1" l="1"/>
  <c r="C959" i="1"/>
  <c r="B961" i="1" l="1"/>
  <c r="C960" i="1"/>
  <c r="B962" i="1" l="1"/>
  <c r="C961" i="1"/>
  <c r="B963" i="1" l="1"/>
  <c r="C962" i="1"/>
  <c r="B964" i="1" l="1"/>
  <c r="C963" i="1"/>
  <c r="B965" i="1" l="1"/>
  <c r="C964" i="1"/>
  <c r="B966" i="1" l="1"/>
  <c r="C965" i="1"/>
  <c r="B967" i="1" l="1"/>
  <c r="C966" i="1"/>
  <c r="B968" i="1" l="1"/>
  <c r="C967" i="1"/>
  <c r="B969" i="1" l="1"/>
  <c r="C968" i="1"/>
  <c r="B970" i="1" l="1"/>
  <c r="C969" i="1"/>
  <c r="B971" i="1" l="1"/>
  <c r="C970" i="1"/>
  <c r="B972" i="1" l="1"/>
  <c r="C971" i="1"/>
  <c r="B973" i="1" l="1"/>
  <c r="C972" i="1"/>
  <c r="B974" i="1" l="1"/>
  <c r="C973" i="1"/>
  <c r="B975" i="1" l="1"/>
  <c r="C974" i="1"/>
  <c r="B976" i="1" l="1"/>
  <c r="C975" i="1"/>
  <c r="B977" i="1" l="1"/>
  <c r="C976" i="1"/>
  <c r="B978" i="1" l="1"/>
  <c r="C977" i="1"/>
  <c r="B979" i="1" l="1"/>
  <c r="C978" i="1"/>
  <c r="B980" i="1" l="1"/>
  <c r="C979" i="1"/>
  <c r="B981" i="1" l="1"/>
  <c r="C980" i="1"/>
  <c r="B982" i="1" l="1"/>
  <c r="C981" i="1"/>
  <c r="B983" i="1" l="1"/>
  <c r="C982" i="1"/>
  <c r="B984" i="1" l="1"/>
  <c r="C983" i="1"/>
  <c r="B985" i="1" l="1"/>
  <c r="C984" i="1"/>
  <c r="B986" i="1" l="1"/>
  <c r="C985" i="1"/>
  <c r="B987" i="1" l="1"/>
  <c r="C986" i="1"/>
  <c r="B988" i="1" l="1"/>
  <c r="C987" i="1"/>
  <c r="B989" i="1" l="1"/>
  <c r="C988" i="1"/>
  <c r="B990" i="1" l="1"/>
  <c r="C989" i="1"/>
  <c r="B991" i="1" l="1"/>
  <c r="C990" i="1"/>
  <c r="B992" i="1" l="1"/>
  <c r="C991" i="1"/>
  <c r="B993" i="1" l="1"/>
  <c r="C992" i="1"/>
  <c r="B994" i="1" l="1"/>
  <c r="C993" i="1"/>
  <c r="B995" i="1" l="1"/>
  <c r="C994" i="1"/>
  <c r="B996" i="1" l="1"/>
  <c r="C995" i="1"/>
  <c r="B997" i="1" l="1"/>
  <c r="C996" i="1"/>
  <c r="B998" i="1" l="1"/>
  <c r="C997" i="1"/>
  <c r="B999" i="1" l="1"/>
  <c r="C998" i="1"/>
  <c r="B1000" i="1" l="1"/>
  <c r="C999" i="1"/>
  <c r="B1001" i="1" l="1"/>
  <c r="C1000" i="1"/>
  <c r="B1002" i="1" l="1"/>
  <c r="C1001" i="1"/>
  <c r="B1003" i="1" l="1"/>
  <c r="C1002" i="1"/>
  <c r="B1004" i="1" l="1"/>
  <c r="C1003" i="1"/>
  <c r="B1005" i="1" l="1"/>
  <c r="C1004" i="1"/>
  <c r="B1006" i="1" l="1"/>
  <c r="C1005" i="1"/>
  <c r="B1007" i="1" l="1"/>
  <c r="C1006" i="1"/>
  <c r="B1008" i="1" l="1"/>
  <c r="C1007" i="1"/>
  <c r="B1009" i="1" l="1"/>
  <c r="C1008" i="1"/>
  <c r="B1010" i="1" l="1"/>
  <c r="C1009" i="1"/>
  <c r="B1011" i="1" l="1"/>
  <c r="C1010" i="1"/>
  <c r="B1012" i="1" l="1"/>
  <c r="C1011" i="1"/>
  <c r="B1013" i="1" l="1"/>
  <c r="C1012" i="1"/>
  <c r="B1014" i="1" l="1"/>
  <c r="C1013" i="1"/>
  <c r="B1015" i="1" l="1"/>
  <c r="C1014" i="1"/>
  <c r="B1016" i="1" l="1"/>
  <c r="C1015" i="1"/>
  <c r="B1017" i="1" l="1"/>
  <c r="C1016" i="1"/>
  <c r="B1018" i="1" l="1"/>
  <c r="C1017" i="1"/>
  <c r="B1019" i="1" l="1"/>
  <c r="C1018" i="1"/>
  <c r="B1020" i="1" l="1"/>
  <c r="C1019" i="1"/>
  <c r="B1021" i="1" l="1"/>
  <c r="C1020" i="1"/>
  <c r="B1022" i="1" l="1"/>
  <c r="C1021" i="1"/>
  <c r="B1023" i="1" l="1"/>
  <c r="C1022" i="1"/>
  <c r="B1024" i="1" l="1"/>
  <c r="C1023" i="1"/>
  <c r="B1025" i="1" l="1"/>
  <c r="C1024" i="1"/>
  <c r="B1026" i="1" l="1"/>
  <c r="C1025" i="1"/>
  <c r="B1027" i="1" l="1"/>
  <c r="C1026" i="1"/>
  <c r="B1028" i="1" l="1"/>
  <c r="C1027" i="1"/>
  <c r="B1029" i="1" l="1"/>
  <c r="C1028" i="1"/>
  <c r="B1030" i="1" l="1"/>
  <c r="C1029" i="1"/>
  <c r="B1031" i="1" l="1"/>
  <c r="C1030" i="1"/>
  <c r="B1032" i="1" l="1"/>
  <c r="C1031" i="1"/>
  <c r="B1033" i="1" l="1"/>
  <c r="C1032" i="1"/>
  <c r="B1034" i="1" l="1"/>
  <c r="C1033" i="1"/>
  <c r="B1035" i="1" l="1"/>
  <c r="C1034" i="1"/>
  <c r="B1036" i="1" l="1"/>
  <c r="C1035" i="1"/>
  <c r="B1037" i="1" l="1"/>
  <c r="C1036" i="1"/>
  <c r="B1038" i="1" l="1"/>
  <c r="C1037" i="1"/>
  <c r="B1039" i="1" l="1"/>
  <c r="C1038" i="1"/>
  <c r="B1040" i="1" l="1"/>
  <c r="C1039" i="1"/>
  <c r="B1041" i="1" l="1"/>
  <c r="C1040" i="1"/>
  <c r="B1042" i="1" l="1"/>
  <c r="C1041" i="1"/>
  <c r="B1043" i="1" l="1"/>
  <c r="C1042" i="1"/>
  <c r="B1044" i="1" l="1"/>
  <c r="C1043" i="1"/>
  <c r="B1045" i="1" l="1"/>
  <c r="C1044" i="1"/>
  <c r="B1046" i="1" l="1"/>
  <c r="C1045" i="1"/>
  <c r="B1047" i="1" l="1"/>
  <c r="C1046" i="1"/>
  <c r="B1048" i="1" l="1"/>
  <c r="C1047" i="1"/>
  <c r="B1049" i="1" l="1"/>
  <c r="C1048" i="1"/>
  <c r="B1050" i="1" l="1"/>
  <c r="C1049" i="1"/>
  <c r="B1051" i="1" l="1"/>
  <c r="C1050" i="1"/>
  <c r="B1052" i="1" l="1"/>
  <c r="C1051" i="1"/>
  <c r="B1053" i="1" l="1"/>
  <c r="C1052" i="1"/>
  <c r="B1054" i="1" l="1"/>
  <c r="C1053" i="1"/>
  <c r="B1055" i="1" l="1"/>
  <c r="C1054" i="1"/>
  <c r="B1056" i="1" l="1"/>
  <c r="C1055" i="1"/>
  <c r="B1057" i="1" l="1"/>
  <c r="C1056" i="1"/>
  <c r="B1058" i="1" l="1"/>
  <c r="C1057" i="1"/>
  <c r="B1059" i="1" l="1"/>
  <c r="C1058" i="1"/>
  <c r="B1060" i="1" l="1"/>
  <c r="C1059" i="1"/>
  <c r="B1061" i="1" l="1"/>
  <c r="C1060" i="1"/>
  <c r="B1062" i="1" l="1"/>
  <c r="C1061" i="1"/>
  <c r="B1063" i="1" l="1"/>
  <c r="C1062" i="1"/>
  <c r="B1064" i="1" l="1"/>
  <c r="C1063" i="1"/>
  <c r="B1065" i="1" l="1"/>
  <c r="C1064" i="1"/>
  <c r="B1066" i="1" l="1"/>
  <c r="C1065" i="1"/>
  <c r="B1067" i="1" l="1"/>
  <c r="C1066" i="1"/>
  <c r="B1068" i="1" l="1"/>
  <c r="C1067" i="1"/>
  <c r="B1069" i="1" l="1"/>
  <c r="C1068" i="1"/>
  <c r="B1070" i="1" l="1"/>
  <c r="C1069" i="1"/>
  <c r="B1071" i="1" l="1"/>
  <c r="C1070" i="1"/>
  <c r="B1072" i="1" l="1"/>
  <c r="C1071" i="1"/>
  <c r="B1073" i="1" l="1"/>
  <c r="C1072" i="1"/>
  <c r="B1074" i="1" l="1"/>
  <c r="C1073" i="1"/>
  <c r="B1075" i="1" l="1"/>
  <c r="C1074" i="1"/>
  <c r="B1076" i="1" l="1"/>
  <c r="C1075" i="1"/>
  <c r="B1077" i="1" l="1"/>
  <c r="C1076" i="1"/>
  <c r="B1078" i="1" l="1"/>
  <c r="C1077" i="1"/>
  <c r="B1079" i="1" l="1"/>
  <c r="C1078" i="1"/>
  <c r="B1080" i="1" l="1"/>
  <c r="C1079" i="1"/>
  <c r="B1081" i="1" l="1"/>
  <c r="C1080" i="1"/>
  <c r="B1082" i="1" l="1"/>
  <c r="C1081" i="1"/>
  <c r="B1083" i="1" l="1"/>
  <c r="C1082" i="1"/>
  <c r="B1084" i="1" l="1"/>
  <c r="C1083" i="1"/>
  <c r="B1085" i="1" l="1"/>
  <c r="C1084" i="1"/>
  <c r="B1086" i="1" l="1"/>
  <c r="C1085" i="1"/>
  <c r="B1087" i="1" l="1"/>
  <c r="C1086" i="1"/>
  <c r="B1088" i="1" l="1"/>
  <c r="C1087" i="1"/>
  <c r="B1089" i="1" l="1"/>
  <c r="C1088" i="1"/>
  <c r="B1090" i="1" l="1"/>
  <c r="C1089" i="1"/>
  <c r="B1091" i="1" l="1"/>
  <c r="C1090" i="1"/>
  <c r="B1092" i="1" l="1"/>
  <c r="C1091" i="1"/>
  <c r="B1093" i="1" l="1"/>
  <c r="C1092" i="1"/>
  <c r="B1094" i="1" l="1"/>
  <c r="C1093" i="1"/>
  <c r="B1095" i="1" l="1"/>
  <c r="C1094" i="1"/>
  <c r="B1096" i="1" l="1"/>
  <c r="C1095" i="1"/>
  <c r="B1097" i="1" l="1"/>
  <c r="C1096" i="1"/>
  <c r="B1098" i="1" l="1"/>
  <c r="C1097" i="1"/>
  <c r="B1099" i="1" l="1"/>
  <c r="C1098" i="1"/>
  <c r="B1100" i="1" l="1"/>
  <c r="C1099" i="1"/>
  <c r="B1101" i="1" l="1"/>
  <c r="C1100" i="1"/>
  <c r="B1102" i="1" l="1"/>
  <c r="C1101" i="1"/>
  <c r="B1103" i="1" l="1"/>
  <c r="C1102" i="1"/>
  <c r="B1104" i="1" l="1"/>
  <c r="C1103" i="1"/>
  <c r="B1105" i="1" l="1"/>
  <c r="C1104" i="1"/>
  <c r="B1106" i="1" l="1"/>
  <c r="C1105" i="1"/>
  <c r="B1107" i="1" l="1"/>
  <c r="C1106" i="1"/>
  <c r="B1108" i="1" l="1"/>
  <c r="C1107" i="1"/>
  <c r="B1109" i="1" l="1"/>
  <c r="C1108" i="1"/>
  <c r="B1110" i="1" l="1"/>
  <c r="C1109" i="1"/>
  <c r="B1111" i="1" l="1"/>
  <c r="C1110" i="1"/>
  <c r="B1112" i="1" l="1"/>
  <c r="C1111" i="1"/>
  <c r="B1113" i="1" l="1"/>
  <c r="C1112" i="1"/>
  <c r="B1114" i="1" l="1"/>
  <c r="C1113" i="1"/>
  <c r="B1115" i="1" l="1"/>
  <c r="C1114" i="1"/>
  <c r="B1116" i="1" l="1"/>
  <c r="C1115" i="1"/>
  <c r="B1117" i="1" l="1"/>
  <c r="C1116" i="1"/>
  <c r="B1118" i="1" l="1"/>
  <c r="C1117" i="1"/>
  <c r="B1119" i="1" l="1"/>
  <c r="C1118" i="1"/>
  <c r="B1120" i="1" l="1"/>
  <c r="C1119" i="1"/>
  <c r="B1121" i="1" l="1"/>
  <c r="C1120" i="1"/>
  <c r="B1122" i="1" l="1"/>
  <c r="C1121" i="1"/>
  <c r="B1123" i="1" l="1"/>
  <c r="C1122" i="1"/>
  <c r="B1124" i="1" l="1"/>
  <c r="C1123" i="1"/>
  <c r="B1125" i="1" l="1"/>
  <c r="C1124" i="1"/>
  <c r="B1126" i="1" l="1"/>
  <c r="C1125" i="1"/>
  <c r="B1127" i="1" l="1"/>
  <c r="C1126" i="1"/>
  <c r="B1128" i="1" l="1"/>
  <c r="C1127" i="1"/>
  <c r="B1129" i="1" l="1"/>
  <c r="C1128" i="1"/>
  <c r="B1130" i="1" l="1"/>
  <c r="C1129" i="1"/>
  <c r="B1131" i="1" l="1"/>
  <c r="C1130" i="1"/>
  <c r="B1132" i="1" l="1"/>
  <c r="C1131" i="1"/>
  <c r="B1133" i="1" l="1"/>
  <c r="C1132" i="1"/>
  <c r="B1134" i="1" l="1"/>
  <c r="C1133" i="1"/>
  <c r="B1135" i="1" l="1"/>
  <c r="C1134" i="1"/>
  <c r="B1136" i="1" l="1"/>
  <c r="C1135" i="1"/>
  <c r="B1137" i="1" l="1"/>
  <c r="C1136" i="1"/>
  <c r="B1138" i="1" l="1"/>
  <c r="C1137" i="1"/>
  <c r="B1139" i="1" l="1"/>
  <c r="C1138" i="1"/>
  <c r="B1140" i="1" l="1"/>
  <c r="C1139" i="1"/>
  <c r="B1141" i="1" l="1"/>
  <c r="C1140" i="1"/>
  <c r="B1142" i="1" l="1"/>
  <c r="C1141" i="1"/>
  <c r="B1143" i="1" l="1"/>
  <c r="C1142" i="1"/>
  <c r="B1144" i="1" l="1"/>
  <c r="C1143" i="1"/>
  <c r="B1145" i="1" l="1"/>
  <c r="C1144" i="1"/>
  <c r="B1146" i="1" l="1"/>
  <c r="C1145" i="1"/>
  <c r="B1147" i="1" l="1"/>
  <c r="C1146" i="1"/>
  <c r="B1148" i="1" l="1"/>
  <c r="C1147" i="1"/>
  <c r="B1149" i="1" l="1"/>
  <c r="C1148" i="1"/>
  <c r="B1150" i="1" l="1"/>
  <c r="C1149" i="1"/>
  <c r="B1151" i="1" l="1"/>
  <c r="C1150" i="1"/>
  <c r="B1152" i="1" l="1"/>
  <c r="C1151" i="1"/>
  <c r="B1153" i="1" l="1"/>
  <c r="C1152" i="1"/>
  <c r="B1154" i="1" l="1"/>
  <c r="C1153" i="1"/>
  <c r="B1155" i="1" l="1"/>
  <c r="C1154" i="1"/>
  <c r="B1156" i="1" l="1"/>
  <c r="C1155" i="1"/>
  <c r="B1157" i="1" l="1"/>
  <c r="C1156" i="1"/>
  <c r="B1158" i="1" l="1"/>
  <c r="C1157" i="1"/>
  <c r="B1159" i="1" l="1"/>
  <c r="C1158" i="1"/>
  <c r="B1160" i="1" l="1"/>
  <c r="C1159" i="1"/>
  <c r="B1161" i="1" l="1"/>
  <c r="C1160" i="1"/>
  <c r="B1162" i="1" l="1"/>
  <c r="C1161" i="1"/>
  <c r="B1163" i="1" l="1"/>
  <c r="C1162" i="1"/>
  <c r="B1164" i="1" l="1"/>
  <c r="C1163" i="1"/>
  <c r="B1165" i="1" l="1"/>
  <c r="C1164" i="1"/>
  <c r="B1166" i="1" l="1"/>
  <c r="C1165" i="1"/>
  <c r="B1167" i="1" l="1"/>
  <c r="C1166" i="1"/>
  <c r="B1168" i="1" l="1"/>
  <c r="C1167" i="1"/>
  <c r="B1169" i="1" l="1"/>
  <c r="C1168" i="1"/>
  <c r="B1170" i="1" l="1"/>
  <c r="C1169" i="1"/>
  <c r="B1171" i="1" l="1"/>
  <c r="C1170" i="1"/>
  <c r="B1172" i="1" l="1"/>
  <c r="C1171" i="1"/>
  <c r="B1173" i="1" l="1"/>
  <c r="C1172" i="1"/>
  <c r="B1174" i="1" l="1"/>
  <c r="C1173" i="1"/>
  <c r="B1175" i="1" l="1"/>
  <c r="C1174" i="1"/>
  <c r="B1176" i="1" l="1"/>
  <c r="C1175" i="1"/>
  <c r="B1177" i="1" l="1"/>
  <c r="C1176" i="1"/>
  <c r="B1178" i="1" l="1"/>
  <c r="C1177" i="1"/>
  <c r="B1179" i="1" l="1"/>
  <c r="C1178" i="1"/>
  <c r="B1180" i="1" l="1"/>
  <c r="C1179" i="1"/>
  <c r="B1181" i="1" l="1"/>
  <c r="C1180" i="1"/>
  <c r="B1182" i="1" l="1"/>
  <c r="C1181" i="1"/>
  <c r="B1183" i="1" l="1"/>
  <c r="C1182" i="1"/>
  <c r="B1184" i="1" l="1"/>
  <c r="C1183" i="1"/>
  <c r="B1185" i="1" l="1"/>
  <c r="C1184" i="1"/>
  <c r="B1186" i="1" l="1"/>
  <c r="C1185" i="1"/>
  <c r="B1187" i="1" l="1"/>
  <c r="C1186" i="1"/>
  <c r="B1188" i="1" l="1"/>
  <c r="C1187" i="1"/>
  <c r="B1189" i="1" l="1"/>
  <c r="C1188" i="1"/>
  <c r="B1190" i="1" l="1"/>
  <c r="C1189" i="1"/>
  <c r="B1191" i="1" l="1"/>
  <c r="C1190" i="1"/>
  <c r="B1192" i="1" l="1"/>
  <c r="C1191" i="1"/>
  <c r="B1193" i="1" l="1"/>
  <c r="C1192" i="1"/>
  <c r="B1194" i="1" l="1"/>
  <c r="C1193" i="1"/>
  <c r="B1195" i="1" l="1"/>
  <c r="C1194" i="1"/>
  <c r="B1196" i="1" l="1"/>
  <c r="C1195" i="1"/>
  <c r="B1197" i="1" l="1"/>
  <c r="C1196" i="1"/>
  <c r="B1198" i="1" l="1"/>
  <c r="C1197" i="1"/>
  <c r="B1199" i="1" l="1"/>
  <c r="C1198" i="1"/>
  <c r="B1200" i="1" l="1"/>
  <c r="C1199" i="1"/>
  <c r="B1201" i="1" l="1"/>
  <c r="C1200" i="1"/>
  <c r="B1202" i="1" l="1"/>
  <c r="C1201" i="1"/>
  <c r="B1203" i="1" l="1"/>
  <c r="C1202" i="1"/>
  <c r="B1204" i="1" l="1"/>
  <c r="C1203" i="1"/>
  <c r="B1205" i="1" l="1"/>
  <c r="C1204" i="1"/>
  <c r="B1206" i="1" l="1"/>
  <c r="C1205" i="1"/>
  <c r="B1207" i="1" l="1"/>
  <c r="C1206" i="1"/>
  <c r="B1208" i="1" l="1"/>
  <c r="C1207" i="1"/>
  <c r="B1209" i="1" l="1"/>
  <c r="C1208" i="1"/>
  <c r="B1210" i="1" l="1"/>
  <c r="C1209" i="1"/>
  <c r="B1211" i="1" l="1"/>
  <c r="C1210" i="1"/>
  <c r="B1212" i="1" l="1"/>
  <c r="C1211" i="1"/>
  <c r="B1213" i="1" l="1"/>
  <c r="C1212" i="1"/>
  <c r="B1214" i="1" l="1"/>
  <c r="C1213" i="1"/>
  <c r="B1215" i="1" l="1"/>
  <c r="C1214" i="1"/>
  <c r="B1216" i="1" l="1"/>
  <c r="C1215" i="1"/>
  <c r="B1217" i="1" l="1"/>
  <c r="C1216" i="1"/>
  <c r="B1218" i="1" l="1"/>
  <c r="C1217" i="1"/>
  <c r="B1219" i="1" l="1"/>
  <c r="C1218" i="1"/>
  <c r="B1220" i="1" l="1"/>
  <c r="C1219" i="1"/>
  <c r="B1221" i="1" l="1"/>
  <c r="C1220" i="1"/>
  <c r="B1222" i="1" l="1"/>
  <c r="C1221" i="1"/>
  <c r="B1223" i="1" l="1"/>
  <c r="C1222" i="1"/>
  <c r="B1224" i="1" l="1"/>
  <c r="C1223" i="1"/>
  <c r="B1225" i="1" l="1"/>
  <c r="C1224" i="1"/>
  <c r="B1226" i="1" l="1"/>
  <c r="C1225" i="1"/>
  <c r="B1227" i="1" l="1"/>
  <c r="C1226" i="1"/>
  <c r="B1228" i="1" l="1"/>
  <c r="C1227" i="1"/>
  <c r="B1229" i="1" l="1"/>
  <c r="C1228" i="1"/>
  <c r="B1230" i="1" l="1"/>
  <c r="C1229" i="1"/>
  <c r="B1231" i="1" l="1"/>
  <c r="C1230" i="1"/>
  <c r="B1232" i="1" l="1"/>
  <c r="C1231" i="1"/>
  <c r="B1233" i="1" l="1"/>
  <c r="C1232" i="1"/>
  <c r="B1234" i="1" l="1"/>
  <c r="C1233" i="1"/>
  <c r="B1235" i="1" l="1"/>
  <c r="C1234" i="1"/>
  <c r="B1236" i="1" l="1"/>
  <c r="C1235" i="1"/>
  <c r="B1237" i="1" l="1"/>
  <c r="C1236" i="1"/>
  <c r="B1238" i="1" l="1"/>
  <c r="C1237" i="1"/>
  <c r="B1239" i="1" l="1"/>
  <c r="C1238" i="1"/>
  <c r="B1240" i="1" l="1"/>
  <c r="C1239" i="1"/>
  <c r="B1241" i="1" l="1"/>
  <c r="C1240" i="1"/>
  <c r="B1242" i="1" l="1"/>
  <c r="C1241" i="1"/>
  <c r="B1243" i="1" l="1"/>
  <c r="C1242" i="1"/>
  <c r="B1244" i="1" l="1"/>
  <c r="C1243" i="1"/>
  <c r="B1245" i="1" l="1"/>
  <c r="C1244" i="1"/>
  <c r="B1246" i="1" l="1"/>
  <c r="C1245" i="1"/>
  <c r="B1247" i="1" l="1"/>
  <c r="C1246" i="1"/>
  <c r="B1248" i="1" l="1"/>
  <c r="C1247" i="1"/>
  <c r="B1249" i="1" l="1"/>
  <c r="C1248" i="1"/>
  <c r="B1250" i="1" l="1"/>
  <c r="C1249" i="1"/>
  <c r="B1251" i="1" l="1"/>
  <c r="C1250" i="1"/>
  <c r="B1252" i="1" l="1"/>
  <c r="C1251" i="1"/>
  <c r="B1253" i="1" l="1"/>
  <c r="C1252" i="1"/>
  <c r="B1254" i="1" l="1"/>
  <c r="C1253" i="1"/>
  <c r="B1255" i="1" l="1"/>
  <c r="C1254" i="1"/>
  <c r="B1256" i="1" l="1"/>
  <c r="C1255" i="1"/>
  <c r="B1257" i="1" l="1"/>
  <c r="C1256" i="1"/>
  <c r="B1258" i="1" l="1"/>
  <c r="C1257" i="1"/>
  <c r="B1259" i="1" l="1"/>
  <c r="C1258" i="1"/>
  <c r="B1260" i="1" l="1"/>
  <c r="C1259" i="1"/>
  <c r="B1261" i="1" l="1"/>
  <c r="C1260" i="1"/>
  <c r="B1262" i="1" l="1"/>
  <c r="C1261" i="1"/>
  <c r="B1263" i="1" l="1"/>
  <c r="C1262" i="1"/>
  <c r="B1264" i="1" l="1"/>
  <c r="C1263" i="1"/>
  <c r="B1265" i="1" l="1"/>
  <c r="C1264" i="1"/>
  <c r="B1266" i="1" l="1"/>
  <c r="C1265" i="1"/>
  <c r="B1267" i="1" l="1"/>
  <c r="C1266" i="1"/>
  <c r="B1268" i="1" l="1"/>
  <c r="C1267" i="1"/>
  <c r="B1269" i="1" l="1"/>
  <c r="C1268" i="1"/>
  <c r="B1270" i="1" l="1"/>
  <c r="C1269" i="1"/>
  <c r="B1271" i="1" l="1"/>
  <c r="C1270" i="1"/>
  <c r="B1272" i="1" l="1"/>
  <c r="C1271" i="1"/>
  <c r="B1273" i="1" l="1"/>
  <c r="C1272" i="1"/>
  <c r="B1274" i="1" l="1"/>
  <c r="C1273" i="1"/>
  <c r="B1275" i="1" l="1"/>
  <c r="C1274" i="1"/>
  <c r="B1276" i="1" l="1"/>
  <c r="C1275" i="1"/>
  <c r="B1277" i="1" l="1"/>
  <c r="C1276" i="1"/>
  <c r="B1278" i="1" l="1"/>
  <c r="C1277" i="1"/>
  <c r="B1279" i="1" l="1"/>
  <c r="C1278" i="1"/>
  <c r="B1280" i="1" l="1"/>
  <c r="C1279" i="1"/>
  <c r="B1281" i="1" l="1"/>
  <c r="C1280" i="1"/>
  <c r="B1282" i="1" l="1"/>
  <c r="C1281" i="1"/>
  <c r="B1283" i="1" l="1"/>
  <c r="C1282" i="1"/>
  <c r="B1284" i="1" l="1"/>
  <c r="C1283" i="1"/>
  <c r="B1285" i="1" l="1"/>
  <c r="C1284" i="1"/>
  <c r="B1286" i="1" l="1"/>
  <c r="C1285" i="1"/>
  <c r="B1287" i="1" l="1"/>
  <c r="C1286" i="1"/>
  <c r="B1288" i="1" l="1"/>
  <c r="C1287" i="1"/>
  <c r="B1289" i="1" l="1"/>
  <c r="C1288" i="1"/>
  <c r="B1290" i="1" l="1"/>
  <c r="C1289" i="1"/>
  <c r="B1291" i="1" l="1"/>
  <c r="C1290" i="1"/>
  <c r="B1292" i="1" l="1"/>
  <c r="C1291" i="1"/>
  <c r="B1293" i="1" l="1"/>
  <c r="C1292" i="1"/>
  <c r="B1294" i="1" l="1"/>
  <c r="C1293" i="1"/>
  <c r="B1295" i="1" l="1"/>
  <c r="C1294" i="1"/>
  <c r="B1296" i="1" l="1"/>
  <c r="C1295" i="1"/>
  <c r="B1297" i="1" l="1"/>
  <c r="C1296" i="1"/>
  <c r="B1298" i="1" l="1"/>
  <c r="C1297" i="1"/>
  <c r="B1299" i="1" l="1"/>
  <c r="C1298" i="1"/>
  <c r="B1300" i="1" l="1"/>
  <c r="C1299" i="1"/>
  <c r="B1301" i="1" l="1"/>
  <c r="C1300" i="1"/>
  <c r="B1302" i="1" l="1"/>
  <c r="C1301" i="1"/>
  <c r="B1303" i="1" l="1"/>
  <c r="C1302" i="1"/>
  <c r="B1304" i="1" l="1"/>
  <c r="C1303" i="1"/>
  <c r="B1305" i="1" l="1"/>
  <c r="C1304" i="1"/>
  <c r="B1306" i="1" l="1"/>
  <c r="C1305" i="1"/>
  <c r="B1307" i="1" l="1"/>
  <c r="C1306" i="1"/>
  <c r="B1308" i="1" l="1"/>
  <c r="C1307" i="1"/>
  <c r="B1309" i="1" l="1"/>
  <c r="C1308" i="1"/>
  <c r="B1310" i="1" l="1"/>
  <c r="C1309" i="1"/>
  <c r="B1311" i="1" l="1"/>
  <c r="C1310" i="1"/>
  <c r="B1312" i="1" l="1"/>
  <c r="C1311" i="1"/>
  <c r="B1313" i="1" l="1"/>
  <c r="C1312" i="1"/>
  <c r="B1314" i="1" l="1"/>
  <c r="C1313" i="1"/>
  <c r="B1315" i="1" l="1"/>
  <c r="C1314" i="1"/>
  <c r="B1316" i="1" l="1"/>
  <c r="C1315" i="1"/>
  <c r="B1317" i="1" l="1"/>
  <c r="C1316" i="1"/>
  <c r="B1318" i="1" l="1"/>
  <c r="C1317" i="1"/>
  <c r="B1319" i="1" l="1"/>
  <c r="C1318" i="1"/>
  <c r="B1320" i="1" l="1"/>
  <c r="C1319" i="1"/>
  <c r="B1321" i="1" l="1"/>
  <c r="C1320" i="1"/>
  <c r="B1322" i="1" l="1"/>
  <c r="C1321" i="1"/>
  <c r="B1323" i="1" l="1"/>
  <c r="C1322" i="1"/>
  <c r="B1324" i="1" l="1"/>
  <c r="C1323" i="1"/>
  <c r="B1325" i="1" l="1"/>
  <c r="C1324" i="1"/>
  <c r="B1326" i="1" l="1"/>
  <c r="C1325" i="1"/>
  <c r="B1327" i="1" l="1"/>
  <c r="C1326" i="1"/>
  <c r="B1328" i="1" l="1"/>
  <c r="C1327" i="1"/>
  <c r="B1329" i="1" l="1"/>
  <c r="C1328" i="1"/>
  <c r="B1330" i="1" l="1"/>
  <c r="C1329" i="1"/>
  <c r="B1331" i="1" l="1"/>
  <c r="C1330" i="1"/>
  <c r="B1332" i="1" l="1"/>
  <c r="C1331" i="1"/>
  <c r="B1333" i="1" l="1"/>
  <c r="C1332" i="1"/>
  <c r="B1334" i="1" l="1"/>
  <c r="C1333" i="1"/>
  <c r="B1335" i="1" l="1"/>
  <c r="C1334" i="1"/>
  <c r="B1336" i="1" l="1"/>
  <c r="C1335" i="1"/>
  <c r="B1337" i="1" l="1"/>
  <c r="C1336" i="1"/>
  <c r="B1338" i="1" l="1"/>
  <c r="C1337" i="1"/>
  <c r="B1339" i="1" l="1"/>
  <c r="C1338" i="1"/>
  <c r="B1340" i="1" l="1"/>
  <c r="C1339" i="1"/>
  <c r="B1341" i="1" l="1"/>
  <c r="C1340" i="1"/>
  <c r="B1342" i="1" l="1"/>
  <c r="C1341" i="1"/>
  <c r="B1343" i="1" l="1"/>
  <c r="C1342" i="1"/>
  <c r="B1344" i="1" l="1"/>
  <c r="C1343" i="1"/>
  <c r="B1345" i="1" l="1"/>
  <c r="C1344" i="1"/>
  <c r="B1346" i="1" l="1"/>
  <c r="C1345" i="1"/>
  <c r="B1347" i="1" l="1"/>
  <c r="C1346" i="1"/>
  <c r="B1348" i="1" l="1"/>
  <c r="C1347" i="1"/>
  <c r="B1349" i="1" l="1"/>
  <c r="C1348" i="1"/>
  <c r="B1350" i="1" l="1"/>
  <c r="C1349" i="1"/>
  <c r="B1351" i="1" l="1"/>
  <c r="C1350" i="1"/>
  <c r="B1352" i="1" l="1"/>
  <c r="C1351" i="1"/>
  <c r="B1353" i="1" l="1"/>
  <c r="C1352" i="1"/>
  <c r="B1354" i="1" l="1"/>
  <c r="C1353" i="1"/>
  <c r="B1355" i="1" l="1"/>
  <c r="C1354" i="1"/>
  <c r="B1356" i="1" l="1"/>
  <c r="C1355" i="1"/>
  <c r="B1357" i="1" l="1"/>
  <c r="C1356" i="1"/>
  <c r="B1358" i="1" l="1"/>
  <c r="C1357" i="1"/>
  <c r="B1359" i="1" l="1"/>
  <c r="C1358" i="1"/>
  <c r="B1360" i="1" l="1"/>
  <c r="C1359" i="1"/>
  <c r="B1361" i="1" l="1"/>
  <c r="C1360" i="1"/>
  <c r="B1362" i="1" l="1"/>
  <c r="C1361" i="1"/>
  <c r="B1363" i="1" l="1"/>
  <c r="C1362" i="1"/>
  <c r="B1364" i="1" l="1"/>
  <c r="C1363" i="1"/>
  <c r="B1365" i="1" l="1"/>
  <c r="C1364" i="1"/>
  <c r="B1366" i="1" l="1"/>
  <c r="C1365" i="1"/>
  <c r="B1367" i="1" l="1"/>
  <c r="C1366" i="1"/>
  <c r="B1368" i="1" l="1"/>
  <c r="C1367" i="1"/>
  <c r="B1369" i="1" l="1"/>
  <c r="C1368" i="1"/>
  <c r="B1370" i="1" l="1"/>
  <c r="C1369" i="1"/>
  <c r="B1371" i="1" l="1"/>
  <c r="C1370" i="1"/>
  <c r="B1372" i="1" l="1"/>
  <c r="C1371" i="1"/>
  <c r="B1373" i="1" l="1"/>
  <c r="C1372" i="1"/>
  <c r="B1374" i="1" l="1"/>
  <c r="C1373" i="1"/>
  <c r="B1375" i="1" l="1"/>
  <c r="C1374" i="1"/>
  <c r="B1376" i="1" l="1"/>
  <c r="C1375" i="1"/>
  <c r="B1377" i="1" l="1"/>
  <c r="C1376" i="1"/>
  <c r="B1378" i="1" l="1"/>
  <c r="C1377" i="1"/>
  <c r="B1379" i="1" l="1"/>
  <c r="C1378" i="1"/>
  <c r="B1380" i="1" l="1"/>
  <c r="C1379" i="1"/>
  <c r="B1381" i="1" l="1"/>
  <c r="C1380" i="1"/>
  <c r="B1382" i="1" l="1"/>
  <c r="C1381" i="1"/>
  <c r="B1383" i="1" l="1"/>
  <c r="C1382" i="1"/>
  <c r="B1384" i="1" l="1"/>
  <c r="C1383" i="1"/>
  <c r="B1385" i="1" l="1"/>
  <c r="C1384" i="1"/>
  <c r="B1386" i="1" l="1"/>
  <c r="C1385" i="1"/>
  <c r="B1387" i="1" l="1"/>
  <c r="C1386" i="1"/>
  <c r="B1388" i="1" l="1"/>
  <c r="C1387" i="1"/>
  <c r="B1389" i="1" l="1"/>
  <c r="C1388" i="1"/>
  <c r="B1390" i="1" l="1"/>
  <c r="C1389" i="1"/>
  <c r="B1391" i="1" l="1"/>
  <c r="C1390" i="1"/>
  <c r="B1392" i="1" l="1"/>
  <c r="C1391" i="1"/>
  <c r="B1393" i="1" l="1"/>
  <c r="C1392" i="1"/>
  <c r="B1394" i="1" l="1"/>
  <c r="C1393" i="1"/>
  <c r="B1395" i="1" l="1"/>
  <c r="C1394" i="1"/>
  <c r="B1396" i="1" l="1"/>
  <c r="C1395" i="1"/>
  <c r="B1397" i="1" l="1"/>
  <c r="C1396" i="1"/>
  <c r="B1398" i="1" l="1"/>
  <c r="C1397" i="1"/>
  <c r="B1399" i="1" l="1"/>
  <c r="C1398" i="1"/>
  <c r="B1400" i="1" l="1"/>
  <c r="C1399" i="1"/>
  <c r="B1401" i="1" l="1"/>
  <c r="C1400" i="1"/>
  <c r="B1402" i="1" l="1"/>
  <c r="C1401" i="1"/>
  <c r="B1403" i="1" l="1"/>
  <c r="C1402" i="1"/>
  <c r="B1404" i="1" l="1"/>
  <c r="C1403" i="1"/>
  <c r="B1405" i="1" l="1"/>
  <c r="C1404" i="1"/>
  <c r="B1406" i="1" l="1"/>
  <c r="C1405" i="1"/>
  <c r="B1407" i="1" l="1"/>
  <c r="C1406" i="1"/>
  <c r="B1408" i="1" l="1"/>
  <c r="C1407" i="1"/>
  <c r="B1409" i="1" l="1"/>
  <c r="C1408" i="1"/>
  <c r="B1410" i="1" l="1"/>
  <c r="C1409" i="1"/>
  <c r="B1411" i="1" l="1"/>
  <c r="C1410" i="1"/>
  <c r="B1412" i="1" l="1"/>
  <c r="C1411" i="1"/>
  <c r="B1413" i="1" l="1"/>
  <c r="C1412" i="1"/>
  <c r="B1414" i="1" l="1"/>
  <c r="C1413" i="1"/>
  <c r="B1415" i="1" l="1"/>
  <c r="C1414" i="1"/>
  <c r="B1416" i="1" l="1"/>
  <c r="C1415" i="1"/>
  <c r="B1417" i="1" l="1"/>
  <c r="C1416" i="1"/>
  <c r="B1418" i="1" l="1"/>
  <c r="C1417" i="1"/>
  <c r="B1419" i="1" l="1"/>
  <c r="C1418" i="1"/>
  <c r="B1420" i="1" l="1"/>
  <c r="C1419" i="1"/>
  <c r="B1421" i="1" l="1"/>
  <c r="C1420" i="1"/>
  <c r="B1422" i="1" l="1"/>
  <c r="C1421" i="1"/>
  <c r="B1423" i="1" l="1"/>
  <c r="C1422" i="1"/>
  <c r="B1424" i="1" l="1"/>
  <c r="C1423" i="1"/>
  <c r="B1425" i="1" l="1"/>
  <c r="C1424" i="1"/>
  <c r="B1426" i="1" l="1"/>
  <c r="C1425" i="1"/>
  <c r="B1427" i="1" l="1"/>
  <c r="C1426" i="1"/>
  <c r="B1428" i="1" l="1"/>
  <c r="C1427" i="1"/>
  <c r="B1429" i="1" l="1"/>
  <c r="C1428" i="1"/>
  <c r="B1430" i="1" l="1"/>
  <c r="C1429" i="1"/>
  <c r="B1431" i="1" l="1"/>
  <c r="C1430" i="1"/>
  <c r="B1432" i="1" l="1"/>
  <c r="C1431" i="1"/>
  <c r="B1433" i="1" l="1"/>
  <c r="C1432" i="1"/>
  <c r="B1434" i="1" l="1"/>
  <c r="C1433" i="1"/>
  <c r="B1435" i="1" l="1"/>
  <c r="C1434" i="1"/>
  <c r="B1436" i="1" l="1"/>
  <c r="C1435" i="1"/>
  <c r="B1437" i="1" l="1"/>
  <c r="C1436" i="1"/>
  <c r="B1438" i="1" l="1"/>
  <c r="C1437" i="1"/>
  <c r="B1439" i="1" l="1"/>
  <c r="C1438" i="1"/>
  <c r="B1440" i="1" l="1"/>
  <c r="C1439" i="1"/>
  <c r="B1441" i="1" l="1"/>
  <c r="C1440" i="1"/>
  <c r="B1442" i="1" l="1"/>
  <c r="C1441" i="1"/>
  <c r="B1443" i="1" l="1"/>
  <c r="C1442" i="1"/>
  <c r="B1444" i="1" l="1"/>
  <c r="C1443" i="1"/>
  <c r="B1445" i="1" l="1"/>
  <c r="C1444" i="1"/>
  <c r="B1446" i="1" l="1"/>
  <c r="C1445" i="1"/>
  <c r="B1447" i="1" l="1"/>
  <c r="C1446" i="1"/>
  <c r="B1448" i="1" l="1"/>
  <c r="C1447" i="1"/>
  <c r="B1449" i="1" l="1"/>
  <c r="C1448" i="1"/>
  <c r="B1450" i="1" l="1"/>
  <c r="C1449" i="1"/>
  <c r="B1451" i="1" l="1"/>
  <c r="C1450" i="1"/>
  <c r="B1452" i="1" l="1"/>
  <c r="C1451" i="1"/>
  <c r="B1453" i="1" l="1"/>
  <c r="C1452" i="1"/>
  <c r="B1454" i="1" l="1"/>
  <c r="C1453" i="1"/>
  <c r="B1455" i="1" l="1"/>
  <c r="C1454" i="1"/>
  <c r="B1456" i="1" l="1"/>
  <c r="C1455" i="1"/>
  <c r="B1457" i="1" l="1"/>
  <c r="C1456" i="1"/>
  <c r="B1458" i="1" l="1"/>
  <c r="C1457" i="1"/>
  <c r="B1459" i="1" l="1"/>
  <c r="C1458" i="1"/>
  <c r="B1460" i="1" l="1"/>
  <c r="C1459" i="1"/>
  <c r="B1461" i="1" l="1"/>
  <c r="C1460" i="1"/>
  <c r="B1462" i="1" l="1"/>
  <c r="C1461" i="1"/>
  <c r="B1463" i="1" l="1"/>
  <c r="C1462" i="1"/>
  <c r="B1464" i="1" l="1"/>
  <c r="C1463" i="1"/>
  <c r="B1465" i="1" l="1"/>
  <c r="C1464" i="1"/>
  <c r="B1466" i="1" l="1"/>
  <c r="C1465" i="1"/>
  <c r="B1467" i="1" l="1"/>
  <c r="C1466" i="1"/>
  <c r="B1468" i="1" l="1"/>
  <c r="C1467" i="1"/>
  <c r="B1469" i="1" l="1"/>
  <c r="C1468" i="1"/>
  <c r="B1470" i="1" l="1"/>
  <c r="C1469" i="1"/>
  <c r="B1471" i="1" l="1"/>
  <c r="C1470" i="1"/>
  <c r="B1472" i="1" l="1"/>
  <c r="C1471" i="1"/>
  <c r="B1473" i="1" l="1"/>
  <c r="C1472" i="1"/>
  <c r="B1474" i="1" l="1"/>
  <c r="C1473" i="1"/>
  <c r="B1475" i="1" l="1"/>
  <c r="C1474" i="1"/>
  <c r="B1476" i="1" l="1"/>
  <c r="C1475" i="1"/>
  <c r="B1477" i="1" l="1"/>
  <c r="C1476" i="1"/>
  <c r="B1478" i="1" l="1"/>
  <c r="C1477" i="1"/>
  <c r="B1479" i="1" l="1"/>
  <c r="C1478" i="1"/>
  <c r="B1480" i="1" l="1"/>
  <c r="C1479" i="1"/>
  <c r="B1481" i="1" l="1"/>
  <c r="C1480" i="1"/>
  <c r="B1482" i="1" l="1"/>
  <c r="C1481" i="1"/>
  <c r="B1483" i="1" l="1"/>
  <c r="C1482" i="1"/>
  <c r="B1484" i="1" l="1"/>
  <c r="C1483" i="1"/>
  <c r="B1485" i="1" l="1"/>
  <c r="C1484" i="1"/>
  <c r="B1486" i="1" l="1"/>
  <c r="C1485" i="1"/>
  <c r="B1487" i="1" l="1"/>
  <c r="C1486" i="1"/>
  <c r="B1488" i="1" l="1"/>
  <c r="C1487" i="1"/>
  <c r="B1489" i="1" l="1"/>
  <c r="C1488" i="1"/>
  <c r="B1490" i="1" l="1"/>
  <c r="C1489" i="1"/>
  <c r="B1491" i="1" l="1"/>
  <c r="C1490" i="1"/>
  <c r="B1492" i="1" l="1"/>
  <c r="C1491" i="1"/>
  <c r="B1493" i="1" l="1"/>
  <c r="C1492" i="1"/>
  <c r="B1494" i="1" l="1"/>
  <c r="C1493" i="1"/>
  <c r="B1495" i="1" l="1"/>
  <c r="C1494" i="1"/>
  <c r="B1496" i="1" l="1"/>
  <c r="C1495" i="1"/>
  <c r="B1497" i="1" l="1"/>
  <c r="C1496" i="1"/>
  <c r="B1498" i="1" l="1"/>
  <c r="C1497" i="1"/>
  <c r="B1499" i="1" l="1"/>
  <c r="C1498" i="1"/>
  <c r="B1500" i="1" l="1"/>
  <c r="C1499" i="1"/>
  <c r="B1501" i="1" l="1"/>
  <c r="C1500" i="1"/>
  <c r="B1502" i="1" l="1"/>
  <c r="C1501" i="1"/>
  <c r="B1503" i="1" l="1"/>
  <c r="C1502" i="1"/>
  <c r="B1504" i="1" l="1"/>
  <c r="C1503" i="1"/>
  <c r="B1505" i="1" l="1"/>
  <c r="C1504" i="1"/>
  <c r="B1506" i="1" l="1"/>
  <c r="C1505" i="1"/>
  <c r="B1507" i="1" l="1"/>
  <c r="C1506" i="1"/>
  <c r="B1508" i="1" l="1"/>
  <c r="C1507" i="1"/>
  <c r="B1509" i="1" l="1"/>
  <c r="C1508" i="1"/>
  <c r="B1510" i="1" l="1"/>
  <c r="C1509" i="1"/>
  <c r="B1511" i="1" l="1"/>
  <c r="C1510" i="1"/>
  <c r="B1512" i="1" l="1"/>
  <c r="C1511" i="1"/>
  <c r="B1513" i="1" l="1"/>
  <c r="C1512" i="1"/>
  <c r="B1514" i="1" l="1"/>
  <c r="C1513" i="1"/>
  <c r="B1515" i="1" l="1"/>
  <c r="C1514" i="1"/>
  <c r="B1516" i="1" l="1"/>
  <c r="C1515" i="1"/>
  <c r="B1517" i="1" l="1"/>
  <c r="C1516" i="1"/>
  <c r="B1518" i="1" l="1"/>
  <c r="C1517" i="1"/>
  <c r="B1519" i="1" l="1"/>
  <c r="C1518" i="1"/>
  <c r="B1520" i="1" l="1"/>
  <c r="C1519" i="1"/>
  <c r="B1521" i="1" l="1"/>
  <c r="C1520" i="1"/>
  <c r="B1522" i="1" l="1"/>
  <c r="C1521" i="1"/>
  <c r="B1523" i="1" l="1"/>
  <c r="C1522" i="1"/>
  <c r="B1524" i="1" l="1"/>
  <c r="C1523" i="1"/>
  <c r="B1525" i="1" l="1"/>
  <c r="C1524" i="1"/>
  <c r="B1526" i="1" l="1"/>
  <c r="C1525" i="1"/>
  <c r="B1527" i="1" l="1"/>
  <c r="C1526" i="1"/>
  <c r="B1528" i="1" l="1"/>
  <c r="C1527" i="1"/>
  <c r="B1529" i="1" l="1"/>
  <c r="C1528" i="1"/>
  <c r="B1530" i="1" l="1"/>
  <c r="C1529" i="1"/>
  <c r="B1531" i="1" l="1"/>
  <c r="C1530" i="1"/>
  <c r="B1532" i="1" l="1"/>
  <c r="C1531" i="1"/>
  <c r="B1533" i="1" l="1"/>
  <c r="C1532" i="1"/>
  <c r="B1534" i="1" l="1"/>
  <c r="C1533" i="1"/>
  <c r="B1535" i="1" l="1"/>
  <c r="C1534" i="1"/>
  <c r="B1536" i="1" l="1"/>
  <c r="C1535" i="1"/>
  <c r="B1537" i="1" l="1"/>
  <c r="C1536" i="1"/>
  <c r="B1538" i="1" l="1"/>
  <c r="C1537" i="1"/>
  <c r="B1539" i="1" l="1"/>
  <c r="C1538" i="1"/>
  <c r="B1540" i="1" l="1"/>
  <c r="C1539" i="1"/>
  <c r="B1541" i="1" l="1"/>
  <c r="C1540" i="1"/>
  <c r="B1542" i="1" l="1"/>
  <c r="C1541" i="1"/>
  <c r="B1543" i="1" l="1"/>
  <c r="C1542" i="1"/>
  <c r="B1544" i="1" l="1"/>
  <c r="C1543" i="1"/>
  <c r="B1545" i="1" l="1"/>
  <c r="C1544" i="1"/>
  <c r="B1546" i="1" l="1"/>
  <c r="C1545" i="1"/>
  <c r="B1547" i="1" l="1"/>
  <c r="C1546" i="1"/>
  <c r="B1548" i="1" l="1"/>
  <c r="C1547" i="1"/>
  <c r="B1549" i="1" l="1"/>
  <c r="C1548" i="1"/>
  <c r="B1550" i="1" l="1"/>
  <c r="C1549" i="1"/>
  <c r="B1551" i="1" l="1"/>
  <c r="C1550" i="1"/>
  <c r="B1552" i="1" l="1"/>
  <c r="C1551" i="1"/>
  <c r="B1553" i="1" l="1"/>
  <c r="C1552" i="1"/>
  <c r="B1554" i="1" l="1"/>
  <c r="C1553" i="1"/>
  <c r="B1555" i="1" l="1"/>
  <c r="C1554" i="1"/>
  <c r="B1556" i="1" l="1"/>
  <c r="C1555" i="1"/>
  <c r="B1557" i="1" l="1"/>
  <c r="C1556" i="1"/>
  <c r="B1558" i="1" l="1"/>
  <c r="C1557" i="1"/>
  <c r="B1559" i="1" l="1"/>
  <c r="C1558" i="1"/>
  <c r="B1560" i="1" l="1"/>
  <c r="C1559" i="1"/>
  <c r="B1561" i="1" l="1"/>
  <c r="C1560" i="1"/>
  <c r="B1562" i="1" l="1"/>
  <c r="C1561" i="1"/>
  <c r="B1563" i="1" l="1"/>
  <c r="C1562" i="1"/>
  <c r="B1564" i="1" l="1"/>
  <c r="C1563" i="1"/>
  <c r="B1565" i="1" l="1"/>
  <c r="C1564" i="1"/>
  <c r="B1566" i="1" l="1"/>
  <c r="C1565" i="1"/>
  <c r="B1567" i="1" l="1"/>
  <c r="C1566" i="1"/>
  <c r="B1568" i="1" l="1"/>
  <c r="C1567" i="1"/>
  <c r="B1569" i="1" l="1"/>
  <c r="C1568" i="1"/>
  <c r="B1570" i="1" l="1"/>
  <c r="C1569" i="1"/>
  <c r="B1571" i="1" l="1"/>
  <c r="C1570" i="1"/>
  <c r="B1572" i="1" l="1"/>
  <c r="C1571" i="1"/>
  <c r="B1573" i="1" l="1"/>
  <c r="C1572" i="1"/>
  <c r="B1574" i="1" l="1"/>
  <c r="C1573" i="1"/>
  <c r="B1575" i="1" l="1"/>
  <c r="C1574" i="1"/>
  <c r="B1576" i="1" l="1"/>
  <c r="C1575" i="1"/>
  <c r="B1577" i="1" l="1"/>
  <c r="C1576" i="1"/>
  <c r="B1578" i="1" l="1"/>
  <c r="C1577" i="1"/>
  <c r="B1579" i="1" l="1"/>
  <c r="C1578" i="1"/>
  <c r="B1580" i="1" l="1"/>
  <c r="C1579" i="1"/>
  <c r="B1581" i="1" l="1"/>
  <c r="C1580" i="1"/>
  <c r="B1582" i="1" l="1"/>
  <c r="C1581" i="1"/>
  <c r="B1583" i="1" l="1"/>
  <c r="C1582" i="1"/>
  <c r="B1584" i="1" l="1"/>
  <c r="C1583" i="1"/>
  <c r="B1585" i="1" l="1"/>
  <c r="C1584" i="1"/>
  <c r="B1586" i="1" l="1"/>
  <c r="C1585" i="1"/>
  <c r="B1587" i="1" l="1"/>
  <c r="C1586" i="1"/>
  <c r="B1588" i="1" l="1"/>
  <c r="C1587" i="1"/>
  <c r="B1589" i="1" l="1"/>
  <c r="C1588" i="1"/>
  <c r="B1590" i="1" l="1"/>
  <c r="C1589" i="1"/>
  <c r="B1591" i="1" l="1"/>
  <c r="C1590" i="1"/>
  <c r="B1592" i="1" l="1"/>
  <c r="C1591" i="1"/>
  <c r="B1593" i="1" l="1"/>
  <c r="C1592" i="1"/>
  <c r="B1594" i="1" l="1"/>
  <c r="C1593" i="1"/>
  <c r="B1595" i="1" l="1"/>
  <c r="C1594" i="1"/>
  <c r="B1596" i="1" l="1"/>
  <c r="C1595" i="1"/>
  <c r="B1597" i="1" l="1"/>
  <c r="C1596" i="1"/>
  <c r="B1598" i="1" l="1"/>
  <c r="C1597" i="1"/>
  <c r="B1599" i="1" l="1"/>
  <c r="C1598" i="1"/>
  <c r="B1600" i="1" l="1"/>
  <c r="C1599" i="1"/>
  <c r="B1601" i="1" l="1"/>
  <c r="C1600" i="1"/>
  <c r="B1602" i="1" l="1"/>
  <c r="C1601" i="1"/>
  <c r="B1603" i="1" l="1"/>
  <c r="C1602" i="1"/>
  <c r="B1604" i="1" l="1"/>
  <c r="C1603" i="1"/>
  <c r="B1605" i="1" l="1"/>
  <c r="C1604" i="1"/>
  <c r="B1606" i="1" l="1"/>
  <c r="C1605" i="1"/>
  <c r="B1607" i="1" l="1"/>
  <c r="C1606" i="1"/>
  <c r="B1608" i="1" l="1"/>
  <c r="C1607" i="1"/>
  <c r="B1609" i="1" l="1"/>
  <c r="C1608" i="1"/>
  <c r="B1610" i="1" l="1"/>
  <c r="C1609" i="1"/>
  <c r="B1611" i="1" l="1"/>
  <c r="C1610" i="1"/>
  <c r="B1612" i="1" l="1"/>
  <c r="C1611" i="1"/>
  <c r="B1613" i="1" l="1"/>
  <c r="C1612" i="1"/>
  <c r="B1614" i="1" l="1"/>
  <c r="C1613" i="1"/>
  <c r="B1615" i="1" l="1"/>
  <c r="C1614" i="1"/>
  <c r="B1616" i="1" l="1"/>
  <c r="C1615" i="1"/>
  <c r="B1617" i="1" l="1"/>
  <c r="C1616" i="1"/>
  <c r="B1618" i="1" l="1"/>
  <c r="C1617" i="1"/>
  <c r="B1619" i="1" l="1"/>
  <c r="C1618" i="1"/>
  <c r="B1620" i="1" l="1"/>
  <c r="C1619" i="1"/>
  <c r="B1621" i="1" l="1"/>
  <c r="C1620" i="1"/>
  <c r="B1622" i="1" l="1"/>
  <c r="C1621" i="1"/>
  <c r="B1623" i="1" l="1"/>
  <c r="C1622" i="1"/>
  <c r="B1624" i="1" l="1"/>
  <c r="C1623" i="1"/>
  <c r="B1625" i="1" l="1"/>
  <c r="C1624" i="1"/>
  <c r="B1626" i="1" l="1"/>
  <c r="C1625" i="1"/>
  <c r="B1627" i="1" l="1"/>
  <c r="C1626" i="1"/>
  <c r="B1628" i="1" l="1"/>
  <c r="C1627" i="1"/>
  <c r="B1629" i="1" l="1"/>
  <c r="C1628" i="1"/>
  <c r="B1630" i="1" l="1"/>
  <c r="C1629" i="1"/>
  <c r="B1631" i="1" l="1"/>
  <c r="C1630" i="1"/>
  <c r="B1632" i="1" l="1"/>
  <c r="C1631" i="1"/>
  <c r="B1633" i="1" l="1"/>
  <c r="C1632" i="1"/>
  <c r="B1634" i="1" l="1"/>
  <c r="C1633" i="1"/>
  <c r="B1635" i="1" l="1"/>
  <c r="C1634" i="1"/>
  <c r="B1636" i="1" l="1"/>
  <c r="C1635" i="1"/>
  <c r="B1637" i="1" l="1"/>
  <c r="C1636" i="1"/>
  <c r="B1638" i="1" l="1"/>
  <c r="C1637" i="1"/>
  <c r="B1639" i="1" l="1"/>
  <c r="C1638" i="1"/>
  <c r="B1640" i="1" l="1"/>
  <c r="C1639" i="1"/>
  <c r="B1641" i="1" l="1"/>
  <c r="C1640" i="1"/>
  <c r="B1642" i="1" l="1"/>
  <c r="C1641" i="1"/>
  <c r="B1643" i="1" l="1"/>
  <c r="C1642" i="1"/>
  <c r="B1644" i="1" l="1"/>
  <c r="C1643" i="1"/>
  <c r="B1645" i="1" l="1"/>
  <c r="C1644" i="1"/>
  <c r="B1646" i="1" l="1"/>
  <c r="C1645" i="1"/>
  <c r="B1647" i="1" l="1"/>
  <c r="C1646" i="1"/>
  <c r="B1648" i="1" l="1"/>
  <c r="C1647" i="1"/>
  <c r="B1649" i="1" l="1"/>
  <c r="C1648" i="1"/>
  <c r="B1650" i="1" l="1"/>
  <c r="C1649" i="1"/>
  <c r="B1651" i="1" l="1"/>
  <c r="C1650" i="1"/>
  <c r="B1652" i="1" l="1"/>
  <c r="C1651" i="1"/>
  <c r="B1653" i="1" l="1"/>
  <c r="C1652" i="1"/>
  <c r="B1654" i="1" l="1"/>
  <c r="C1653" i="1"/>
  <c r="B1655" i="1" l="1"/>
  <c r="C1654" i="1"/>
  <c r="B1656" i="1" l="1"/>
  <c r="C1655" i="1"/>
  <c r="B1657" i="1" l="1"/>
  <c r="C1656" i="1"/>
  <c r="B1658" i="1" l="1"/>
  <c r="C1657" i="1"/>
  <c r="B1659" i="1" l="1"/>
  <c r="C1658" i="1"/>
  <c r="B1660" i="1" l="1"/>
  <c r="C1659" i="1"/>
  <c r="B1661" i="1" l="1"/>
  <c r="C1660" i="1"/>
  <c r="B1662" i="1" l="1"/>
  <c r="C1661" i="1"/>
  <c r="B1663" i="1" l="1"/>
  <c r="C1662" i="1"/>
  <c r="B1664" i="1" l="1"/>
  <c r="C1663" i="1"/>
  <c r="B1665" i="1" l="1"/>
  <c r="C1664" i="1"/>
  <c r="B1666" i="1" l="1"/>
  <c r="C1665" i="1"/>
  <c r="B1667" i="1" l="1"/>
  <c r="C1666" i="1"/>
  <c r="B1668" i="1" l="1"/>
  <c r="C1667" i="1"/>
  <c r="B1669" i="1" l="1"/>
  <c r="C1668" i="1"/>
  <c r="B1670" i="1" l="1"/>
  <c r="C1669" i="1"/>
  <c r="B1671" i="1" l="1"/>
  <c r="C1670" i="1"/>
  <c r="B1672" i="1" l="1"/>
  <c r="C1671" i="1"/>
  <c r="B1673" i="1" l="1"/>
  <c r="C1672" i="1"/>
  <c r="B1674" i="1" l="1"/>
  <c r="C1673" i="1"/>
  <c r="B1675" i="1" l="1"/>
  <c r="C1674" i="1"/>
  <c r="B1676" i="1" l="1"/>
  <c r="C1675" i="1"/>
  <c r="B1677" i="1" l="1"/>
  <c r="C1676" i="1"/>
  <c r="B1678" i="1" l="1"/>
  <c r="C1677" i="1"/>
  <c r="B1679" i="1" l="1"/>
  <c r="C1678" i="1"/>
  <c r="B1680" i="1" l="1"/>
  <c r="C1679" i="1"/>
  <c r="B1681" i="1" l="1"/>
  <c r="C1680" i="1"/>
  <c r="B1682" i="1" l="1"/>
  <c r="C1681" i="1"/>
  <c r="B1683" i="1" l="1"/>
  <c r="C1682" i="1"/>
  <c r="B1684" i="1" l="1"/>
  <c r="C1683" i="1"/>
  <c r="B1685" i="1" l="1"/>
  <c r="C1684" i="1"/>
  <c r="B1686" i="1" l="1"/>
  <c r="C1685" i="1"/>
  <c r="B1687" i="1" l="1"/>
  <c r="C1686" i="1"/>
  <c r="B1688" i="1" l="1"/>
  <c r="C1687" i="1"/>
  <c r="B1689" i="1" l="1"/>
  <c r="C1688" i="1"/>
  <c r="B1690" i="1" l="1"/>
  <c r="C1689" i="1"/>
  <c r="B1691" i="1" l="1"/>
  <c r="C1690" i="1"/>
  <c r="B1692" i="1" l="1"/>
  <c r="C1691" i="1"/>
  <c r="B1693" i="1" l="1"/>
  <c r="C1692" i="1"/>
  <c r="B1694" i="1" l="1"/>
  <c r="C1693" i="1"/>
  <c r="B1695" i="1" l="1"/>
  <c r="C1694" i="1"/>
  <c r="B1696" i="1" l="1"/>
  <c r="C1695" i="1"/>
  <c r="B1697" i="1" l="1"/>
  <c r="C1696" i="1"/>
  <c r="B1698" i="1" l="1"/>
  <c r="C1697" i="1"/>
  <c r="B1699" i="1" l="1"/>
  <c r="C1698" i="1"/>
  <c r="B1700" i="1" l="1"/>
  <c r="C1699" i="1"/>
  <c r="B1701" i="1" l="1"/>
  <c r="C1700" i="1"/>
  <c r="B1702" i="1" l="1"/>
  <c r="C1701" i="1"/>
  <c r="B1703" i="1" l="1"/>
  <c r="C1702" i="1"/>
  <c r="B1704" i="1" l="1"/>
  <c r="C1703" i="1"/>
  <c r="B1705" i="1" l="1"/>
  <c r="C1704" i="1"/>
  <c r="B1706" i="1" l="1"/>
  <c r="C1705" i="1"/>
  <c r="B1707" i="1" l="1"/>
  <c r="C1706" i="1"/>
  <c r="B1708" i="1" l="1"/>
  <c r="C1707" i="1"/>
  <c r="B1709" i="1" l="1"/>
  <c r="C1708" i="1"/>
  <c r="B1710" i="1" l="1"/>
  <c r="C1709" i="1"/>
  <c r="B1711" i="1" l="1"/>
  <c r="C1710" i="1"/>
  <c r="B1712" i="1" l="1"/>
  <c r="C1711" i="1"/>
  <c r="B1713" i="1" l="1"/>
  <c r="C1712" i="1"/>
  <c r="B1714" i="1" l="1"/>
  <c r="C1713" i="1"/>
  <c r="B1715" i="1" l="1"/>
  <c r="C1714" i="1"/>
  <c r="B1716" i="1" l="1"/>
  <c r="C1715" i="1"/>
  <c r="B1717" i="1" l="1"/>
  <c r="C1716" i="1"/>
  <c r="B1718" i="1" l="1"/>
  <c r="C1717" i="1"/>
  <c r="B1719" i="1" l="1"/>
  <c r="C1718" i="1"/>
  <c r="B1720" i="1" l="1"/>
  <c r="C1719" i="1"/>
  <c r="B1721" i="1" l="1"/>
  <c r="C1720" i="1"/>
  <c r="B1722" i="1" l="1"/>
  <c r="C1721" i="1"/>
  <c r="B1723" i="1" l="1"/>
  <c r="C1722" i="1"/>
  <c r="B1724" i="1" l="1"/>
  <c r="C1723" i="1"/>
  <c r="B1725" i="1" l="1"/>
  <c r="C1724" i="1"/>
  <c r="B1726" i="1" l="1"/>
  <c r="C1725" i="1"/>
  <c r="B1727" i="1" l="1"/>
  <c r="C1726" i="1"/>
  <c r="B1728" i="1" l="1"/>
  <c r="C1727" i="1"/>
  <c r="B1729" i="1" l="1"/>
  <c r="C1728" i="1"/>
  <c r="B1730" i="1" l="1"/>
  <c r="C1729" i="1"/>
  <c r="B1731" i="1" l="1"/>
  <c r="C1730" i="1"/>
  <c r="B1732" i="1" l="1"/>
  <c r="C1731" i="1"/>
  <c r="B1733" i="1" l="1"/>
  <c r="C1732" i="1"/>
  <c r="B1734" i="1" l="1"/>
  <c r="C1733" i="1"/>
  <c r="B1735" i="1" l="1"/>
  <c r="C1734" i="1"/>
  <c r="B1736" i="1" l="1"/>
  <c r="C1735" i="1"/>
  <c r="B1737" i="1" l="1"/>
  <c r="C1736" i="1"/>
  <c r="B1738" i="1" l="1"/>
  <c r="C1737" i="1"/>
  <c r="B1739" i="1" l="1"/>
  <c r="C1738" i="1"/>
  <c r="B1740" i="1" l="1"/>
  <c r="C1739" i="1"/>
  <c r="B1741" i="1" l="1"/>
  <c r="C1740" i="1"/>
  <c r="B1742" i="1" l="1"/>
  <c r="C1741" i="1"/>
  <c r="B1743" i="1" l="1"/>
  <c r="C1742" i="1"/>
  <c r="B1744" i="1" l="1"/>
  <c r="C1743" i="1"/>
  <c r="B1745" i="1" l="1"/>
  <c r="C1744" i="1"/>
  <c r="B1746" i="1" l="1"/>
  <c r="C1745" i="1"/>
  <c r="B1747" i="1" l="1"/>
  <c r="C1746" i="1"/>
  <c r="B1748" i="1" l="1"/>
  <c r="C1747" i="1"/>
  <c r="B1749" i="1" l="1"/>
  <c r="C1748" i="1"/>
  <c r="B1750" i="1" l="1"/>
  <c r="C1749" i="1"/>
  <c r="B1751" i="1" l="1"/>
  <c r="C1750" i="1"/>
  <c r="B1752" i="1" l="1"/>
  <c r="C1751" i="1"/>
  <c r="B1753" i="1" l="1"/>
  <c r="C1752" i="1"/>
  <c r="B1754" i="1" l="1"/>
  <c r="C1753" i="1"/>
  <c r="B1755" i="1" l="1"/>
  <c r="C1754" i="1"/>
  <c r="B1756" i="1" l="1"/>
  <c r="C1755" i="1"/>
  <c r="B1757" i="1" l="1"/>
  <c r="C1756" i="1"/>
  <c r="B1758" i="1" l="1"/>
  <c r="C1757" i="1"/>
  <c r="B1759" i="1" l="1"/>
  <c r="C1758" i="1"/>
  <c r="B1760" i="1" l="1"/>
  <c r="C1759" i="1"/>
  <c r="B1761" i="1" l="1"/>
  <c r="C1760" i="1"/>
  <c r="B1762" i="1" l="1"/>
  <c r="C1761" i="1"/>
  <c r="B1763" i="1" l="1"/>
  <c r="C1762" i="1"/>
  <c r="B1764" i="1" l="1"/>
  <c r="C1763" i="1"/>
  <c r="B1765" i="1" l="1"/>
  <c r="C1764" i="1"/>
  <c r="B1766" i="1" l="1"/>
  <c r="C1765" i="1"/>
  <c r="B1767" i="1" l="1"/>
  <c r="C1766" i="1"/>
  <c r="B1768" i="1" l="1"/>
  <c r="C1767" i="1"/>
  <c r="B1769" i="1" l="1"/>
  <c r="C1768" i="1"/>
  <c r="B1770" i="1" l="1"/>
  <c r="C1769" i="1"/>
  <c r="B1771" i="1" l="1"/>
  <c r="C1770" i="1"/>
  <c r="B1772" i="1" l="1"/>
  <c r="C1771" i="1"/>
  <c r="B1773" i="1" l="1"/>
  <c r="C1772" i="1"/>
  <c r="B1774" i="1" l="1"/>
  <c r="C1773" i="1"/>
  <c r="B1775" i="1" l="1"/>
  <c r="C1774" i="1"/>
  <c r="B1776" i="1" l="1"/>
  <c r="C1775" i="1"/>
  <c r="B1777" i="1" l="1"/>
  <c r="C1776" i="1"/>
  <c r="B1778" i="1" l="1"/>
  <c r="C1777" i="1"/>
  <c r="B1779" i="1" l="1"/>
  <c r="C1778" i="1"/>
  <c r="B1780" i="1" l="1"/>
  <c r="C1779" i="1"/>
  <c r="B1781" i="1" l="1"/>
  <c r="C1780" i="1"/>
  <c r="B1782" i="1" l="1"/>
  <c r="C1781" i="1"/>
  <c r="B1783" i="1" l="1"/>
  <c r="C1782" i="1"/>
  <c r="B1784" i="1" l="1"/>
  <c r="C1783" i="1"/>
  <c r="B1785" i="1" l="1"/>
  <c r="C1784" i="1"/>
  <c r="B1786" i="1" l="1"/>
  <c r="C1785" i="1"/>
  <c r="B1787" i="1" l="1"/>
  <c r="C1786" i="1"/>
  <c r="B1788" i="1" l="1"/>
  <c r="C1787" i="1"/>
  <c r="B1789" i="1" l="1"/>
  <c r="C1788" i="1"/>
  <c r="B1790" i="1" l="1"/>
  <c r="C1789" i="1"/>
  <c r="B1791" i="1" l="1"/>
  <c r="C1790" i="1"/>
  <c r="B1792" i="1" l="1"/>
  <c r="C1791" i="1"/>
  <c r="B1793" i="1" l="1"/>
  <c r="C1792" i="1"/>
  <c r="B1794" i="1" l="1"/>
  <c r="C1793" i="1"/>
  <c r="B1795" i="1" l="1"/>
  <c r="C1794" i="1"/>
  <c r="B1796" i="1" l="1"/>
  <c r="C1795" i="1"/>
  <c r="B1797" i="1" l="1"/>
  <c r="C1796" i="1"/>
  <c r="B1798" i="1" l="1"/>
  <c r="C1797" i="1"/>
  <c r="B1799" i="1" l="1"/>
  <c r="C1798" i="1"/>
  <c r="B1800" i="1" l="1"/>
  <c r="C1799" i="1"/>
  <c r="B1801" i="1" l="1"/>
  <c r="C1800" i="1"/>
  <c r="B1802" i="1" l="1"/>
  <c r="C1801" i="1"/>
  <c r="B1803" i="1" l="1"/>
  <c r="C1802" i="1"/>
  <c r="B1804" i="1" l="1"/>
  <c r="C1803" i="1"/>
  <c r="B1805" i="1" l="1"/>
  <c r="C1804" i="1"/>
  <c r="B1806" i="1" l="1"/>
  <c r="C1805" i="1"/>
  <c r="B1807" i="1" l="1"/>
  <c r="C1806" i="1"/>
  <c r="B1808" i="1" l="1"/>
  <c r="C1807" i="1"/>
  <c r="B1809" i="1" l="1"/>
  <c r="C1808" i="1"/>
  <c r="B1810" i="1" l="1"/>
  <c r="C1809" i="1"/>
  <c r="B1811" i="1" l="1"/>
  <c r="C1810" i="1"/>
  <c r="B1812" i="1" l="1"/>
  <c r="C1811" i="1"/>
  <c r="B1813" i="1" l="1"/>
  <c r="C1812" i="1"/>
  <c r="B1814" i="1" l="1"/>
  <c r="C1813" i="1"/>
  <c r="B1815" i="1" l="1"/>
  <c r="C1814" i="1"/>
  <c r="B1816" i="1" l="1"/>
  <c r="C1815" i="1"/>
  <c r="B1817" i="1" l="1"/>
  <c r="C1816" i="1"/>
  <c r="B1818" i="1" l="1"/>
  <c r="C1817" i="1"/>
  <c r="B1819" i="1" l="1"/>
  <c r="C1818" i="1"/>
  <c r="B1820" i="1" l="1"/>
  <c r="C1819" i="1"/>
  <c r="B1821" i="1" l="1"/>
  <c r="C1820" i="1"/>
  <c r="B1822" i="1" l="1"/>
  <c r="C1821" i="1"/>
  <c r="B1823" i="1" l="1"/>
  <c r="C1822" i="1"/>
  <c r="B1824" i="1" l="1"/>
  <c r="C1823" i="1"/>
  <c r="B1825" i="1" l="1"/>
  <c r="C1824" i="1"/>
  <c r="B1826" i="1" l="1"/>
  <c r="C1825" i="1"/>
  <c r="B1827" i="1" l="1"/>
  <c r="C1826" i="1"/>
  <c r="B1828" i="1" l="1"/>
  <c r="C1827" i="1"/>
  <c r="B1829" i="1" l="1"/>
  <c r="C1828" i="1"/>
  <c r="B1830" i="1" l="1"/>
  <c r="C1829" i="1"/>
  <c r="B1831" i="1" l="1"/>
  <c r="C1830" i="1"/>
  <c r="B1832" i="1" l="1"/>
  <c r="C1831" i="1"/>
  <c r="B1833" i="1" l="1"/>
  <c r="C1832" i="1"/>
  <c r="B1834" i="1" l="1"/>
  <c r="C1833" i="1"/>
  <c r="B1835" i="1" l="1"/>
  <c r="C1834" i="1"/>
  <c r="B1836" i="1" l="1"/>
  <c r="C1835" i="1"/>
  <c r="B1837" i="1" l="1"/>
  <c r="C1836" i="1"/>
  <c r="B1838" i="1" l="1"/>
  <c r="C1837" i="1"/>
  <c r="B1839" i="1" l="1"/>
  <c r="C1838" i="1"/>
  <c r="B1840" i="1" l="1"/>
  <c r="C1839" i="1"/>
  <c r="B1841" i="1" l="1"/>
  <c r="C1840" i="1"/>
  <c r="B1842" i="1" l="1"/>
  <c r="C1841" i="1"/>
  <c r="B1843" i="1" l="1"/>
  <c r="C1842" i="1"/>
  <c r="B1844" i="1" l="1"/>
  <c r="C1843" i="1"/>
  <c r="B1845" i="1" l="1"/>
  <c r="C1844" i="1"/>
  <c r="B1846" i="1" l="1"/>
  <c r="C1845" i="1"/>
  <c r="B1847" i="1" l="1"/>
  <c r="C1846" i="1"/>
  <c r="B1848" i="1" l="1"/>
  <c r="C1847" i="1"/>
  <c r="B1849" i="1" l="1"/>
  <c r="C1848" i="1"/>
  <c r="B1850" i="1" l="1"/>
  <c r="C1849" i="1"/>
  <c r="B1851" i="1" l="1"/>
  <c r="C1850" i="1"/>
  <c r="B1852" i="1" l="1"/>
  <c r="C1851" i="1"/>
  <c r="B1853" i="1" l="1"/>
  <c r="C1852" i="1"/>
  <c r="B1854" i="1" l="1"/>
  <c r="C1853" i="1"/>
  <c r="B1855" i="1" l="1"/>
  <c r="C1854" i="1"/>
  <c r="B1856" i="1" l="1"/>
  <c r="C1855" i="1"/>
  <c r="B1857" i="1" l="1"/>
  <c r="C1856" i="1"/>
  <c r="B1858" i="1" l="1"/>
  <c r="C1857" i="1"/>
  <c r="B1859" i="1" l="1"/>
  <c r="C1858" i="1"/>
  <c r="B1860" i="1" l="1"/>
  <c r="C1859" i="1"/>
  <c r="B1861" i="1" l="1"/>
  <c r="C1860" i="1"/>
  <c r="B1862" i="1" l="1"/>
  <c r="C1861" i="1"/>
  <c r="B1863" i="1" l="1"/>
  <c r="C1862" i="1"/>
  <c r="B1864" i="1" l="1"/>
  <c r="C1863" i="1"/>
  <c r="B1865" i="1" l="1"/>
  <c r="C1864" i="1"/>
  <c r="B1866" i="1" l="1"/>
  <c r="C1865" i="1"/>
  <c r="B1867" i="1" l="1"/>
  <c r="C1866" i="1"/>
  <c r="B1868" i="1" l="1"/>
  <c r="C1867" i="1"/>
  <c r="B1869" i="1" l="1"/>
  <c r="C1868" i="1"/>
  <c r="B1870" i="1" l="1"/>
  <c r="C1869" i="1"/>
  <c r="B1871" i="1" l="1"/>
  <c r="C1870" i="1"/>
  <c r="B1872" i="1" l="1"/>
  <c r="C1871" i="1"/>
  <c r="B1873" i="1" l="1"/>
  <c r="C1872" i="1"/>
  <c r="B1874" i="1" l="1"/>
  <c r="C1873" i="1"/>
  <c r="B1875" i="1" l="1"/>
  <c r="C1874" i="1"/>
  <c r="B1876" i="1" l="1"/>
  <c r="C1875" i="1"/>
  <c r="B1877" i="1" l="1"/>
  <c r="C1876" i="1"/>
  <c r="B1878" i="1" l="1"/>
  <c r="C1877" i="1"/>
  <c r="B1879" i="1" l="1"/>
  <c r="C1878" i="1"/>
  <c r="B1880" i="1" l="1"/>
  <c r="C1879" i="1"/>
  <c r="B1881" i="1" l="1"/>
  <c r="C1880" i="1"/>
  <c r="B1882" i="1" l="1"/>
  <c r="C1881" i="1"/>
  <c r="B1883" i="1" l="1"/>
  <c r="C1882" i="1"/>
  <c r="B1884" i="1" l="1"/>
  <c r="C1883" i="1"/>
  <c r="B1885" i="1" l="1"/>
  <c r="C1884" i="1"/>
  <c r="B1886" i="1" l="1"/>
  <c r="C1885" i="1"/>
  <c r="B1887" i="1" l="1"/>
  <c r="C1886" i="1"/>
  <c r="B1888" i="1" l="1"/>
  <c r="C1887" i="1"/>
  <c r="B1889" i="1" l="1"/>
  <c r="C1888" i="1"/>
  <c r="B1890" i="1" l="1"/>
  <c r="C1889" i="1"/>
  <c r="B1891" i="1" l="1"/>
  <c r="C1890" i="1"/>
  <c r="B1892" i="1" l="1"/>
  <c r="C1891" i="1"/>
  <c r="B1893" i="1" l="1"/>
  <c r="C1892" i="1"/>
  <c r="B1894" i="1" l="1"/>
  <c r="C1893" i="1"/>
  <c r="B1895" i="1" l="1"/>
  <c r="C1894" i="1"/>
  <c r="B1896" i="1" l="1"/>
  <c r="C1895" i="1"/>
  <c r="B1897" i="1" l="1"/>
  <c r="C1896" i="1"/>
  <c r="B1898" i="1" l="1"/>
  <c r="C1897" i="1"/>
  <c r="B1899" i="1" l="1"/>
  <c r="C1898" i="1"/>
  <c r="B1900" i="1" l="1"/>
  <c r="C1899" i="1"/>
  <c r="B1901" i="1" l="1"/>
  <c r="C1900" i="1"/>
  <c r="B1902" i="1" l="1"/>
  <c r="C1901" i="1"/>
  <c r="B1903" i="1" l="1"/>
  <c r="C1902" i="1"/>
  <c r="B1904" i="1" l="1"/>
  <c r="C1903" i="1"/>
  <c r="B1905" i="1" l="1"/>
  <c r="C1904" i="1"/>
  <c r="B1906" i="1" l="1"/>
  <c r="C1905" i="1"/>
  <c r="B1907" i="1" l="1"/>
  <c r="C1906" i="1"/>
  <c r="B1908" i="1" l="1"/>
  <c r="C1907" i="1"/>
  <c r="B1909" i="1" l="1"/>
  <c r="C1908" i="1"/>
  <c r="B1910" i="1" l="1"/>
  <c r="C1909" i="1"/>
  <c r="B1911" i="1" l="1"/>
  <c r="C1910" i="1"/>
  <c r="B1912" i="1" l="1"/>
  <c r="C1911" i="1"/>
  <c r="B1913" i="1" l="1"/>
  <c r="C1912" i="1"/>
  <c r="B1914" i="1" l="1"/>
  <c r="C1913" i="1"/>
  <c r="B1915" i="1" l="1"/>
  <c r="C1914" i="1"/>
  <c r="B1916" i="1" l="1"/>
  <c r="C1915" i="1"/>
  <c r="B1917" i="1" l="1"/>
  <c r="C1916" i="1"/>
  <c r="B1918" i="1" l="1"/>
  <c r="C1917" i="1"/>
  <c r="B1919" i="1" l="1"/>
  <c r="C1918" i="1"/>
  <c r="B1920" i="1" l="1"/>
  <c r="C1919" i="1"/>
  <c r="B1921" i="1" l="1"/>
  <c r="C1920" i="1"/>
  <c r="B1922" i="1" l="1"/>
  <c r="C1921" i="1"/>
  <c r="B1923" i="1" l="1"/>
  <c r="C1922" i="1"/>
  <c r="B1924" i="1" l="1"/>
  <c r="C1923" i="1"/>
  <c r="B1925" i="1" l="1"/>
  <c r="C1924" i="1"/>
  <c r="B1926" i="1" l="1"/>
  <c r="C1925" i="1"/>
  <c r="B1927" i="1" l="1"/>
  <c r="C1926" i="1"/>
  <c r="B1928" i="1" l="1"/>
  <c r="C1927" i="1"/>
  <c r="B1929" i="1" l="1"/>
  <c r="C1928" i="1"/>
  <c r="B1930" i="1" l="1"/>
  <c r="C1929" i="1"/>
  <c r="B1931" i="1" l="1"/>
  <c r="C1930" i="1"/>
  <c r="B1932" i="1" l="1"/>
  <c r="C1931" i="1"/>
  <c r="B1933" i="1" l="1"/>
  <c r="C1932" i="1"/>
  <c r="B1934" i="1" l="1"/>
  <c r="C1933" i="1"/>
  <c r="B1935" i="1" l="1"/>
  <c r="C1934" i="1"/>
  <c r="B1936" i="1" l="1"/>
  <c r="C1935" i="1"/>
  <c r="B1937" i="1" l="1"/>
  <c r="C1936" i="1"/>
  <c r="B1938" i="1" l="1"/>
  <c r="C1937" i="1"/>
  <c r="B1939" i="1" l="1"/>
  <c r="C1938" i="1"/>
  <c r="B1940" i="1" l="1"/>
  <c r="C1939" i="1"/>
  <c r="B1941" i="1" l="1"/>
  <c r="C1940" i="1"/>
  <c r="B1942" i="1" l="1"/>
  <c r="C1941" i="1"/>
  <c r="B1943" i="1" l="1"/>
  <c r="C1942" i="1"/>
  <c r="B1944" i="1" l="1"/>
  <c r="C1943" i="1"/>
  <c r="B1945" i="1" l="1"/>
  <c r="C1944" i="1"/>
  <c r="B1946" i="1" l="1"/>
  <c r="C1945" i="1"/>
  <c r="B1947" i="1" l="1"/>
  <c r="C1946" i="1"/>
  <c r="B1948" i="1" l="1"/>
  <c r="C1947" i="1"/>
  <c r="B1949" i="1" l="1"/>
  <c r="C1948" i="1"/>
  <c r="B1950" i="1" l="1"/>
  <c r="C1949" i="1"/>
  <c r="B1951" i="1" l="1"/>
  <c r="C1950" i="1"/>
  <c r="B1952" i="1" l="1"/>
  <c r="C1951" i="1"/>
  <c r="B1953" i="1" l="1"/>
  <c r="C1952" i="1"/>
  <c r="B1954" i="1" l="1"/>
  <c r="C1953" i="1"/>
  <c r="B1955" i="1" l="1"/>
  <c r="C1954" i="1"/>
  <c r="B1956" i="1" l="1"/>
  <c r="C1955" i="1"/>
  <c r="B1957" i="1" l="1"/>
  <c r="C1956" i="1"/>
  <c r="B1958" i="1" l="1"/>
  <c r="C1957" i="1"/>
  <c r="B1959" i="1" l="1"/>
  <c r="C1958" i="1"/>
  <c r="B1960" i="1" l="1"/>
  <c r="C1959" i="1"/>
  <c r="B1961" i="1" l="1"/>
  <c r="C1960" i="1"/>
  <c r="B1962" i="1" l="1"/>
  <c r="C1961" i="1"/>
  <c r="B1963" i="1" l="1"/>
  <c r="C1962" i="1"/>
  <c r="B1964" i="1" l="1"/>
  <c r="C1963" i="1"/>
  <c r="B1965" i="1" l="1"/>
  <c r="C1964" i="1"/>
  <c r="B1966" i="1" l="1"/>
  <c r="C1965" i="1"/>
  <c r="B1967" i="1" l="1"/>
  <c r="C1966" i="1"/>
  <c r="B1968" i="1" l="1"/>
  <c r="C1967" i="1"/>
  <c r="B1969" i="1" l="1"/>
  <c r="C1968" i="1"/>
  <c r="B1970" i="1" l="1"/>
  <c r="C1969" i="1"/>
  <c r="B1971" i="1" l="1"/>
  <c r="C1970" i="1"/>
  <c r="B1972" i="1" l="1"/>
  <c r="C1971" i="1"/>
  <c r="B1973" i="1" l="1"/>
  <c r="C1972" i="1"/>
  <c r="B1974" i="1" l="1"/>
  <c r="C1973" i="1"/>
  <c r="B1975" i="1" l="1"/>
  <c r="C1974" i="1"/>
  <c r="B1976" i="1" l="1"/>
  <c r="C1975" i="1"/>
  <c r="B1977" i="1" l="1"/>
  <c r="C1976" i="1"/>
  <c r="B1978" i="1" l="1"/>
  <c r="C1977" i="1"/>
  <c r="B1979" i="1" l="1"/>
  <c r="C1978" i="1"/>
  <c r="B1980" i="1" l="1"/>
  <c r="C1979" i="1"/>
  <c r="B1981" i="1" l="1"/>
  <c r="C1980" i="1"/>
  <c r="B1982" i="1" l="1"/>
  <c r="C1981" i="1"/>
  <c r="B1983" i="1" l="1"/>
  <c r="C1982" i="1"/>
  <c r="B1984" i="1" l="1"/>
  <c r="C1983" i="1"/>
  <c r="B1985" i="1" l="1"/>
  <c r="C1984" i="1"/>
  <c r="B1986" i="1" l="1"/>
  <c r="C1985" i="1"/>
  <c r="B1987" i="1" l="1"/>
  <c r="C1986" i="1"/>
  <c r="B1988" i="1" l="1"/>
  <c r="C1987" i="1"/>
  <c r="B1989" i="1" l="1"/>
  <c r="C1988" i="1"/>
  <c r="B1990" i="1" l="1"/>
  <c r="C1989" i="1"/>
  <c r="B1991" i="1" l="1"/>
  <c r="C1990" i="1"/>
  <c r="B1992" i="1" l="1"/>
  <c r="C1991" i="1"/>
  <c r="B1993" i="1" l="1"/>
  <c r="C1992" i="1"/>
  <c r="B1994" i="1" l="1"/>
  <c r="C1993" i="1"/>
  <c r="B1995" i="1" l="1"/>
  <c r="C1994" i="1"/>
  <c r="B1996" i="1" l="1"/>
  <c r="C1995" i="1"/>
  <c r="B1997" i="1" l="1"/>
  <c r="C1996" i="1"/>
  <c r="B1998" i="1" l="1"/>
  <c r="C1997" i="1"/>
  <c r="B1999" i="1" l="1"/>
  <c r="C1998" i="1"/>
  <c r="B2000" i="1" l="1"/>
  <c r="C1999" i="1"/>
  <c r="B2001" i="1" l="1"/>
  <c r="C2000" i="1"/>
  <c r="B2002" i="1" l="1"/>
  <c r="C2002" i="1" s="1"/>
  <c r="C2001" i="1"/>
  <c r="N3" i="1" l="1"/>
  <c r="C2" i="1" s="1"/>
  <c r="D2" i="1" s="1"/>
  <c r="C22" i="1" l="1"/>
  <c r="D22" i="1" s="1"/>
  <c r="C4" i="1"/>
  <c r="D4" i="1" s="1"/>
  <c r="C3" i="1"/>
  <c r="D3" i="1" s="1"/>
  <c r="C6" i="1"/>
  <c r="D6" i="1" s="1"/>
  <c r="C5" i="1"/>
  <c r="D5" i="1" s="1"/>
  <c r="C10" i="1"/>
  <c r="D10" i="1" s="1"/>
  <c r="C7" i="1" l="1"/>
  <c r="D7" i="1" s="1"/>
  <c r="C8" i="1"/>
  <c r="D8" i="1" s="1"/>
  <c r="C9" i="1"/>
  <c r="D9" i="1" s="1"/>
  <c r="C11" i="1"/>
  <c r="D11" i="1" s="1"/>
  <c r="C15" i="1"/>
  <c r="D15" i="1" s="1"/>
  <c r="C16" i="1"/>
  <c r="D16" i="1" s="1"/>
  <c r="C19" i="1"/>
  <c r="D19" i="1" s="1"/>
  <c r="C20" i="1"/>
  <c r="D20" i="1" s="1"/>
  <c r="C13" i="1"/>
  <c r="D13" i="1" s="1"/>
  <c r="C21" i="1"/>
  <c r="D21" i="1" s="1"/>
  <c r="C17" i="1"/>
  <c r="D17" i="1" s="1"/>
  <c r="C12" i="1"/>
  <c r="D12" i="1" s="1"/>
  <c r="C18" i="1"/>
  <c r="D18" i="1" s="1"/>
  <c r="C14" i="1"/>
  <c r="D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Dominik Chevalier</author>
  </authors>
  <commentList>
    <comment ref="B2" authorId="0" shapeId="0" xr:uid="{0CC28B77-D3E0-412A-9BF6-89AF2E0F128B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Année sélecte</t>
        </r>
      </text>
    </comment>
    <comment ref="M7" authorId="0" shapeId="0" xr:uid="{F257441A-61F7-4AAE-B643-1AF0F267A034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Prime brute</t>
        </r>
      </text>
    </comment>
    <comment ref="M8" authorId="0" shapeId="0" xr:uid="{F66F390C-95C1-4388-B639-C11C663BDCF6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Frais annuels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Dominik Chevalier</author>
  </authors>
  <commentList>
    <comment ref="C1" authorId="0" shapeId="0" xr:uid="{53B59650-39BD-41A5-8B98-2262EE0B0B63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(1 - l_(x+1) / l_x) * 120 % de la Std Select Survival Table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Dominik Chevalier</author>
  </authors>
  <commentList>
    <comment ref="D1" authorId="0" shapeId="0" xr:uid="{704EAEA4-26FD-4326-A81A-34EFC335E08A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(1 - l_(x+1) / l_x) * 120 % de la Std Select Survival Table</t>
        </r>
      </text>
    </comment>
  </commentList>
</comments>
</file>

<file path=xl/sharedStrings.xml><?xml version="1.0" encoding="utf-8"?>
<sst xmlns="http://schemas.openxmlformats.org/spreadsheetml/2006/main" count="141" uniqueCount="104">
  <si>
    <t>Force de mortalité</t>
  </si>
  <si>
    <t>x</t>
  </si>
  <si>
    <t>Force de mortalité sélecte</t>
  </si>
  <si>
    <t>A</t>
  </si>
  <si>
    <t>B</t>
  </si>
  <si>
    <t>c</t>
  </si>
  <si>
    <t>t</t>
  </si>
  <si>
    <t>h</t>
  </si>
  <si>
    <t>Hypothèses</t>
  </si>
  <si>
    <t>tV</t>
  </si>
  <si>
    <t>Prestation</t>
  </si>
  <si>
    <t>Gt</t>
  </si>
  <si>
    <t>et</t>
  </si>
  <si>
    <t>Et</t>
  </si>
  <si>
    <t>Échéance</t>
  </si>
  <si>
    <t>Force d'intérêt</t>
  </si>
  <si>
    <t>Prime brute</t>
  </si>
  <si>
    <t>Frais annuels</t>
  </si>
  <si>
    <t>Frais à la prestation</t>
  </si>
  <si>
    <t>Template pour une assurance mixte</t>
  </si>
  <si>
    <t>Point de départ de la récursion</t>
  </si>
  <si>
    <t>Assurance mixte: échéance = dotation pure</t>
  </si>
  <si>
    <t>Autre: calculer réserve à 0 selon infos ou assumer prime équivalence (0_V = 0)</t>
  </si>
  <si>
    <t>k</t>
  </si>
  <si>
    <t>i</t>
  </si>
  <si>
    <t>l50+k</t>
  </si>
  <si>
    <t>v^k</t>
  </si>
  <si>
    <t>kp50</t>
  </si>
  <si>
    <t>v^k * kp50</t>
  </si>
  <si>
    <t>(k-15)p65</t>
  </si>
  <si>
    <t>v^k * (k-15)p65</t>
  </si>
  <si>
    <t>(k-10)p60</t>
  </si>
  <si>
    <t>v^(k-10) * (k-10)p60</t>
  </si>
  <si>
    <t>(k-30)p80</t>
  </si>
  <si>
    <t>v^(k-30) * (k-30)p80</t>
  </si>
  <si>
    <t>Repères dans la solution</t>
  </si>
  <si>
    <t>Description</t>
  </si>
  <si>
    <t>Valeur</t>
  </si>
  <si>
    <t>Rente différée 15 ans émise à (50)</t>
  </si>
  <si>
    <t>Rente viagère émise à (65)</t>
  </si>
  <si>
    <t>C</t>
  </si>
  <si>
    <t>Rente temporaire 15 ans émise à (50)</t>
  </si>
  <si>
    <t>D</t>
  </si>
  <si>
    <t>Rente viagère émise à (50)</t>
  </si>
  <si>
    <t>E</t>
  </si>
  <si>
    <t>Rente différée 5 années émise à (60)</t>
  </si>
  <si>
    <t>F</t>
  </si>
  <si>
    <t>Rente temporaire 5 ans émise à (60)</t>
  </si>
  <si>
    <t>G</t>
  </si>
  <si>
    <t>Rente viagère émise à (80)</t>
  </si>
  <si>
    <t>Paramètres</t>
  </si>
  <si>
    <t>1+i</t>
  </si>
  <si>
    <t>v</t>
  </si>
  <si>
    <t>bk</t>
  </si>
  <si>
    <t>mu01</t>
  </si>
  <si>
    <t>mu10</t>
  </si>
  <si>
    <t>mu02</t>
  </si>
  <si>
    <t>mu12</t>
  </si>
  <si>
    <t>tp60^(00)</t>
  </si>
  <si>
    <t>tp60^(01)</t>
  </si>
  <si>
    <t>tp60^(02)</t>
  </si>
  <si>
    <t>Validation</t>
  </si>
  <si>
    <t>a1</t>
  </si>
  <si>
    <t>a2</t>
  </si>
  <si>
    <t>Résultats</t>
  </si>
  <si>
    <t>b1</t>
  </si>
  <si>
    <t>10p60^(00)</t>
  </si>
  <si>
    <t>10p60^(01)</t>
  </si>
  <si>
    <t>10p60^(02)</t>
  </si>
  <si>
    <t>b2</t>
  </si>
  <si>
    <t>c1</t>
  </si>
  <si>
    <t>c2</t>
  </si>
  <si>
    <t>Modèle actif-malade-décédé</t>
  </si>
  <si>
    <t>Âge de départ</t>
  </si>
  <si>
    <t>Prime initiale</t>
  </si>
  <si>
    <t>ADB</t>
  </si>
  <si>
    <t>CoI</t>
  </si>
  <si>
    <t>120 % de la Standard Select Survival (i_q = 5%)</t>
  </si>
  <si>
    <t>Expenses</t>
  </si>
  <si>
    <t>48$ plus 1 % de la prime</t>
  </si>
  <si>
    <t>Surrender</t>
  </si>
  <si>
    <t>3 à 4</t>
  </si>
  <si>
    <t>5 à 7</t>
  </si>
  <si>
    <t>8 à 10</t>
  </si>
  <si>
    <t>Plus de 10</t>
  </si>
  <si>
    <t>(Minimum entre valeur compte et ci-dessous)</t>
  </si>
  <si>
    <t>Policy inforce pour 20 ans</t>
  </si>
  <si>
    <t>Intérêt</t>
  </si>
  <si>
    <t>paiement pour les 6 premières années et 0 ensuite</t>
  </si>
  <si>
    <t>q_x</t>
  </si>
  <si>
    <t>i_c</t>
  </si>
  <si>
    <t>P_t</t>
  </si>
  <si>
    <t>EC</t>
  </si>
  <si>
    <t>AV</t>
  </si>
  <si>
    <t>CV</t>
  </si>
  <si>
    <t>lx</t>
  </si>
  <si>
    <t>l0</t>
  </si>
  <si>
    <t>Type B = ADB constant</t>
  </si>
  <si>
    <t>Type A = DB constant, mais faut que le ADB soit un certain pourcentage du DB selon le corridor</t>
  </si>
  <si>
    <t>Face amount</t>
  </si>
  <si>
    <t>Corridor</t>
  </si>
  <si>
    <t>20% première prime plus 200, 3% ensuite</t>
  </si>
  <si>
    <t>8 et plus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</si>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</sst>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 * #,##0.00_)\ &quot;$&quot;_ ;_ * \(#,##0.00\)\ &quot;$&quot;_ ;_ * &quot;-&quot;??_)\ &quot;$&quot;_ ;_ @_ "/>
    <numFmt numFmtId="165" formatCode="_ * #,##0.00000_)\ &quot;$&quot;_ ;_ * \(#,##0.00000\)\ &quot;$&quot;_ ;_ * &quot;-&quot;??_)\ &quot;$&quot;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1" fontId="0" fillId="0" borderId="0" xfId="0" applyNumberFormat="1"/>
    <xf numFmtId="44" fontId="0" fillId="0" borderId="0" xfId="1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0" fontId="2" fillId="4" borderId="0" xfId="0" applyFont="1" applyFill="1"/>
    <xf numFmtId="0" fontId="0" fillId="0" borderId="6" xfId="0" applyBorder="1"/>
    <xf numFmtId="0" fontId="0" fillId="0" borderId="3" xfId="0" applyBorder="1"/>
    <xf numFmtId="0" fontId="0" fillId="0" borderId="8" xfId="0" applyBorder="1"/>
    <xf numFmtId="0" fontId="0" fillId="0" borderId="7" xfId="0" applyBorder="1"/>
    <xf numFmtId="0" fontId="3" fillId="0" borderId="3" xfId="0" applyFont="1" applyBorder="1"/>
    <xf numFmtId="0" fontId="0" fillId="5" borderId="5" xfId="0" applyFill="1" applyBorder="1"/>
    <xf numFmtId="0" fontId="3" fillId="0" borderId="7" xfId="0" applyFont="1" applyBorder="1"/>
    <xf numFmtId="165" fontId="0" fillId="5" borderId="3" xfId="2" applyNumberFormat="1" applyFont="1" applyFill="1" applyBorder="1"/>
    <xf numFmtId="165" fontId="0" fillId="5" borderId="5" xfId="2" applyNumberFormat="1" applyFont="1" applyFill="1" applyBorder="1"/>
    <xf numFmtId="165" fontId="0" fillId="5" borderId="7" xfId="2" applyNumberFormat="1" applyFont="1" applyFill="1" applyBorder="1"/>
    <xf numFmtId="0" fontId="0" fillId="2" borderId="1" xfId="0" applyFill="1" applyBorder="1"/>
    <xf numFmtId="0" fontId="0" fillId="2" borderId="4" xfId="0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0" fillId="2" borderId="8" xfId="0" applyFill="1" applyBorder="1"/>
    <xf numFmtId="0" fontId="3" fillId="0" borderId="5" xfId="0" applyFont="1" applyBorder="1"/>
    <xf numFmtId="0" fontId="0" fillId="5" borderId="8" xfId="0" applyFill="1" applyBorder="1"/>
    <xf numFmtId="0" fontId="0" fillId="5" borderId="6" xfId="0" applyFill="1" applyBorder="1"/>
    <xf numFmtId="0" fontId="0" fillId="5" borderId="7" xfId="0" applyFill="1" applyBorder="1"/>
    <xf numFmtId="0" fontId="0" fillId="2" borderId="0" xfId="0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0" borderId="0" xfId="0" applyFont="1"/>
  </cellXfs>
  <cellStyles count="3">
    <cellStyle name="Monétaire" xfId="1" builtinId="4"/>
    <cellStyle name="Monétaire 2" xfId="2" xr:uid="{67EBB1B2-71E2-4DB1-8774-B558FAFBE0B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BB5A-01C3-40D2-954A-EBBDDAC00162}">
  <dimension ref="A1:N2002"/>
  <sheetViews>
    <sheetView workbookViewId="0">
      <selection activeCell="R17" sqref="R17"/>
    </sheetView>
  </sheetViews>
  <sheetFormatPr baseColWidth="10" defaultRowHeight="14.4" x14ac:dyDescent="0.3"/>
  <cols>
    <col min="1" max="1" width="14.5546875" bestFit="1" customWidth="1"/>
    <col min="3" max="3" width="15.5546875" bestFit="1" customWidth="1"/>
    <col min="5" max="5" width="12.44140625" bestFit="1" customWidth="1"/>
    <col min="12" max="12" width="23" customWidth="1"/>
    <col min="13" max="13" width="15.77734375" customWidth="1"/>
  </cols>
  <sheetData>
    <row r="1" spans="1:14" x14ac:dyDescent="0.3">
      <c r="A1" t="s">
        <v>6</v>
      </c>
      <c r="B1" t="s">
        <v>1</v>
      </c>
      <c r="C1" t="s">
        <v>0</v>
      </c>
      <c r="D1" t="s">
        <v>2</v>
      </c>
      <c r="E1" t="s">
        <v>9</v>
      </c>
      <c r="G1" s="30" t="s">
        <v>19</v>
      </c>
      <c r="H1" s="30"/>
      <c r="I1" s="30"/>
      <c r="J1" s="30"/>
      <c r="M1" s="1" t="s">
        <v>8</v>
      </c>
      <c r="N1" s="1"/>
    </row>
    <row r="2" spans="1:14" x14ac:dyDescent="0.3">
      <c r="A2">
        <v>0</v>
      </c>
      <c r="B2" s="1">
        <v>30</v>
      </c>
      <c r="C2">
        <f>$N$2 + $N$3*$N$4^(B2)</f>
        <v>3.1002292113252309E-4</v>
      </c>
      <c r="D2">
        <f t="shared" ref="D2:D22" si="0">IF(A2&lt;=2, (0.9)^(2-A2)*C2, C2)</f>
        <v>2.5111856611734369E-4</v>
      </c>
      <c r="E2" s="3">
        <f>IF(ROUND(A2, 2)=$N$10,$N$6,(E3-$N$5*($N$7-$N$8-($N$6+$N$9)*D2))/(1+$N$5*$N$11+$N$5*D2))</f>
        <v>10861.124214225127</v>
      </c>
      <c r="G2" t="s">
        <v>20</v>
      </c>
      <c r="M2" s="1" t="s">
        <v>3</v>
      </c>
      <c r="N2" s="1">
        <v>2.2000000000000001E-4</v>
      </c>
    </row>
    <row r="3" spans="1:14" x14ac:dyDescent="0.3">
      <c r="A3">
        <f>A2+$N$5</f>
        <v>0.01</v>
      </c>
      <c r="B3">
        <f>B2+$N$5</f>
        <v>30.01</v>
      </c>
      <c r="C3">
        <f t="shared" ref="C3:C66" si="1">$N$2 + $N$3*$N$4^(B3)</f>
        <v>3.1012821383052198E-4</v>
      </c>
      <c r="D3">
        <f t="shared" si="0"/>
        <v>2.5146866235545724E-4</v>
      </c>
      <c r="E3" s="3">
        <f t="shared" ref="E3:E66" si="2">IF(ROUND(A3, 2)=$N$10,$N$6,(E4-$N$5*($N$7-$N$8-($N$6+$N$9)*D3))/(1+$N$5*$N$11+$N$5*D3))</f>
        <v>10890.244819644091</v>
      </c>
      <c r="H3" t="s">
        <v>21</v>
      </c>
      <c r="M3" s="1" t="s">
        <v>4</v>
      </c>
      <c r="N3" s="1">
        <f>2.7 * 10^(-6)</f>
        <v>2.7E-6</v>
      </c>
    </row>
    <row r="4" spans="1:14" x14ac:dyDescent="0.3">
      <c r="A4">
        <f t="shared" ref="A4:A67" si="3">A3+$N$5</f>
        <v>0.02</v>
      </c>
      <c r="B4">
        <f t="shared" ref="B4:B67" si="4">B3+$N$5</f>
        <v>30.020000000000003</v>
      </c>
      <c r="C4">
        <f t="shared" si="1"/>
        <v>3.1023362968107045E-4</v>
      </c>
      <c r="D4">
        <f t="shared" si="0"/>
        <v>2.5181931761619053E-4</v>
      </c>
      <c r="E4" s="3">
        <f t="shared" si="2"/>
        <v>10919.376834462568</v>
      </c>
      <c r="H4" t="s">
        <v>22</v>
      </c>
      <c r="M4" s="1" t="s">
        <v>5</v>
      </c>
      <c r="N4" s="1">
        <v>1.1240000000000001</v>
      </c>
    </row>
    <row r="5" spans="1:14" x14ac:dyDescent="0.3">
      <c r="A5">
        <f t="shared" si="3"/>
        <v>0.03</v>
      </c>
      <c r="B5">
        <f t="shared" si="4"/>
        <v>30.030000000000005</v>
      </c>
      <c r="C5">
        <f t="shared" si="1"/>
        <v>3.1033916882821028E-4</v>
      </c>
      <c r="D5">
        <f t="shared" si="0"/>
        <v>2.5217053291151799E-4</v>
      </c>
      <c r="E5" s="3">
        <f t="shared" si="2"/>
        <v>10948.520262978969</v>
      </c>
      <c r="M5" s="1" t="s">
        <v>7</v>
      </c>
      <c r="N5" s="1">
        <v>0.01</v>
      </c>
    </row>
    <row r="6" spans="1:14" x14ac:dyDescent="0.3">
      <c r="A6">
        <f t="shared" si="3"/>
        <v>0.04</v>
      </c>
      <c r="B6">
        <f t="shared" si="4"/>
        <v>30.040000000000006</v>
      </c>
      <c r="C6">
        <f t="shared" si="1"/>
        <v>3.1044483141615163E-4</v>
      </c>
      <c r="D6">
        <f t="shared" si="0"/>
        <v>2.5252230925542122E-4</v>
      </c>
      <c r="E6" s="3">
        <f t="shared" si="2"/>
        <v>10977.675109493144</v>
      </c>
      <c r="M6" s="1" t="s">
        <v>10</v>
      </c>
      <c r="N6" s="1">
        <v>100000</v>
      </c>
    </row>
    <row r="7" spans="1:14" x14ac:dyDescent="0.3">
      <c r="A7">
        <f t="shared" si="3"/>
        <v>0.05</v>
      </c>
      <c r="B7">
        <f t="shared" si="4"/>
        <v>30.050000000000008</v>
      </c>
      <c r="C7">
        <f t="shared" si="1"/>
        <v>3.1055061758927354E-4</v>
      </c>
      <c r="D7">
        <f t="shared" si="0"/>
        <v>2.5287464766389332E-4</v>
      </c>
      <c r="E7" s="3">
        <f t="shared" si="2"/>
        <v>11006.841378306375</v>
      </c>
      <c r="L7" t="s">
        <v>16</v>
      </c>
      <c r="M7" s="1" t="s">
        <v>11</v>
      </c>
      <c r="N7" s="1">
        <v>2500</v>
      </c>
    </row>
    <row r="8" spans="1:14" x14ac:dyDescent="0.3">
      <c r="A8">
        <f t="shared" si="3"/>
        <v>6.0000000000000005E-2</v>
      </c>
      <c r="B8">
        <f t="shared" si="4"/>
        <v>30.060000000000009</v>
      </c>
      <c r="C8">
        <f t="shared" si="1"/>
        <v>3.1065652749212385E-4</v>
      </c>
      <c r="D8">
        <f t="shared" si="0"/>
        <v>2.5322754915494311E-4</v>
      </c>
      <c r="E8" s="3">
        <f t="shared" si="2"/>
        <v>11036.019073721389</v>
      </c>
      <c r="L8" t="s">
        <v>17</v>
      </c>
      <c r="M8" s="1" t="s">
        <v>12</v>
      </c>
      <c r="N8" s="1">
        <v>0</v>
      </c>
    </row>
    <row r="9" spans="1:14" x14ac:dyDescent="0.3">
      <c r="A9">
        <f t="shared" si="3"/>
        <v>7.0000000000000007E-2</v>
      </c>
      <c r="B9">
        <f t="shared" si="4"/>
        <v>30.070000000000011</v>
      </c>
      <c r="C9">
        <f t="shared" si="1"/>
        <v>3.1076256126941941E-4</v>
      </c>
      <c r="D9">
        <f t="shared" si="0"/>
        <v>2.5358101474859932E-4</v>
      </c>
      <c r="E9" s="3">
        <f t="shared" si="2"/>
        <v>11065.208200042345</v>
      </c>
      <c r="L9" t="s">
        <v>18</v>
      </c>
      <c r="M9" s="1" t="s">
        <v>13</v>
      </c>
      <c r="N9" s="1">
        <v>0</v>
      </c>
    </row>
    <row r="10" spans="1:14" x14ac:dyDescent="0.3">
      <c r="A10">
        <f t="shared" si="3"/>
        <v>0.08</v>
      </c>
      <c r="B10">
        <f t="shared" si="4"/>
        <v>30.080000000000013</v>
      </c>
      <c r="C10">
        <f t="shared" si="1"/>
        <v>3.1086871906604635E-4</v>
      </c>
      <c r="D10">
        <f t="shared" si="0"/>
        <v>2.5393504546691468E-4</v>
      </c>
      <c r="E10" s="3">
        <f t="shared" si="2"/>
        <v>11094.408761574849</v>
      </c>
      <c r="M10" s="1" t="s">
        <v>14</v>
      </c>
      <c r="N10" s="1">
        <v>20</v>
      </c>
    </row>
    <row r="11" spans="1:14" x14ac:dyDescent="0.3">
      <c r="A11">
        <f t="shared" si="3"/>
        <v>0.09</v>
      </c>
      <c r="B11">
        <f t="shared" si="4"/>
        <v>30.090000000000014</v>
      </c>
      <c r="C11">
        <f t="shared" si="1"/>
        <v>3.1097500102706039E-4</v>
      </c>
      <c r="D11">
        <f t="shared" si="0"/>
        <v>2.5428964233397045E-4</v>
      </c>
      <c r="E11" s="3">
        <f t="shared" si="2"/>
        <v>11123.620762625944</v>
      </c>
      <c r="M11" s="1" t="s">
        <v>15</v>
      </c>
      <c r="N11" s="1">
        <v>0.04</v>
      </c>
    </row>
    <row r="12" spans="1:14" x14ac:dyDescent="0.3">
      <c r="A12">
        <f t="shared" si="3"/>
        <v>9.9999999999999992E-2</v>
      </c>
      <c r="B12">
        <f t="shared" si="4"/>
        <v>30.100000000000016</v>
      </c>
      <c r="C12">
        <f t="shared" si="1"/>
        <v>3.1108140729768668E-4</v>
      </c>
      <c r="D12">
        <f t="shared" si="0"/>
        <v>2.5464480637588035E-4</v>
      </c>
      <c r="E12" s="3">
        <f t="shared" si="2"/>
        <v>11152.844207504111</v>
      </c>
    </row>
    <row r="13" spans="1:14" x14ac:dyDescent="0.3">
      <c r="A13">
        <f t="shared" si="3"/>
        <v>0.10999999999999999</v>
      </c>
      <c r="B13">
        <f t="shared" si="4"/>
        <v>30.110000000000017</v>
      </c>
      <c r="C13">
        <f t="shared" si="1"/>
        <v>3.1118793802332036E-4</v>
      </c>
      <c r="D13">
        <f t="shared" si="0"/>
        <v>2.5500053862079512E-4</v>
      </c>
      <c r="E13" s="3">
        <f t="shared" si="2"/>
        <v>11182.079100519273</v>
      </c>
    </row>
    <row r="14" spans="1:14" x14ac:dyDescent="0.3">
      <c r="A14">
        <f t="shared" si="3"/>
        <v>0.11999999999999998</v>
      </c>
      <c r="B14">
        <f t="shared" si="4"/>
        <v>30.120000000000019</v>
      </c>
      <c r="C14">
        <f t="shared" si="1"/>
        <v>3.1129459334952673E-4</v>
      </c>
      <c r="D14">
        <f t="shared" si="0"/>
        <v>2.5535684009890666E-4</v>
      </c>
      <c r="E14" s="3">
        <f t="shared" si="2"/>
        <v>11211.325445982795</v>
      </c>
    </row>
    <row r="15" spans="1:14" x14ac:dyDescent="0.3">
      <c r="A15">
        <f t="shared" si="3"/>
        <v>0.12999999999999998</v>
      </c>
      <c r="B15">
        <f t="shared" si="4"/>
        <v>30.13000000000002</v>
      </c>
      <c r="C15">
        <f t="shared" si="1"/>
        <v>3.1140137342204111E-4</v>
      </c>
      <c r="D15">
        <f t="shared" si="0"/>
        <v>2.5571371184245225E-4</v>
      </c>
      <c r="E15" s="3">
        <f t="shared" si="2"/>
        <v>11240.58324820748</v>
      </c>
    </row>
    <row r="16" spans="1:14" x14ac:dyDescent="0.3">
      <c r="A16">
        <f t="shared" si="3"/>
        <v>0.13999999999999999</v>
      </c>
      <c r="B16">
        <f t="shared" si="4"/>
        <v>30.140000000000022</v>
      </c>
      <c r="C16">
        <f t="shared" si="1"/>
        <v>3.1150827838676947E-4</v>
      </c>
      <c r="D16">
        <f t="shared" si="0"/>
        <v>2.5607115488571896E-4</v>
      </c>
      <c r="E16" s="3">
        <f t="shared" si="2"/>
        <v>11269.852511507579</v>
      </c>
    </row>
    <row r="17" spans="1:5" x14ac:dyDescent="0.3">
      <c r="A17">
        <f t="shared" si="3"/>
        <v>0.15</v>
      </c>
      <c r="B17">
        <f t="shared" si="4"/>
        <v>30.150000000000023</v>
      </c>
      <c r="C17">
        <f t="shared" si="1"/>
        <v>3.1161530838978837E-4</v>
      </c>
      <c r="D17">
        <f t="shared" si="0"/>
        <v>2.5642917026504785E-4</v>
      </c>
      <c r="E17" s="3">
        <f t="shared" si="2"/>
        <v>11299.133240198777</v>
      </c>
    </row>
    <row r="18" spans="1:5" x14ac:dyDescent="0.3">
      <c r="A18">
        <f t="shared" si="3"/>
        <v>0.16</v>
      </c>
      <c r="B18">
        <f t="shared" si="4"/>
        <v>30.160000000000025</v>
      </c>
      <c r="C18">
        <f t="shared" si="1"/>
        <v>3.1172246357734519E-4</v>
      </c>
      <c r="D18">
        <f t="shared" si="0"/>
        <v>2.5678775901883847E-4</v>
      </c>
      <c r="E18" s="3">
        <f t="shared" si="2"/>
        <v>11328.425438598206</v>
      </c>
    </row>
    <row r="19" spans="1:5" x14ac:dyDescent="0.3">
      <c r="A19">
        <f t="shared" si="3"/>
        <v>0.17</v>
      </c>
      <c r="B19">
        <f t="shared" si="4"/>
        <v>30.170000000000027</v>
      </c>
      <c r="C19">
        <f t="shared" si="1"/>
        <v>3.1182974409585835E-4</v>
      </c>
      <c r="D19">
        <f t="shared" si="0"/>
        <v>2.571469221875527E-4</v>
      </c>
      <c r="E19" s="3">
        <f t="shared" si="2"/>
        <v>11357.72911102444</v>
      </c>
    </row>
    <row r="20" spans="1:5" x14ac:dyDescent="0.3">
      <c r="A20">
        <f t="shared" si="3"/>
        <v>0.18000000000000002</v>
      </c>
      <c r="B20">
        <f t="shared" si="4"/>
        <v>30.180000000000028</v>
      </c>
      <c r="C20">
        <f t="shared" si="1"/>
        <v>3.1193715009191766E-4</v>
      </c>
      <c r="D20">
        <f t="shared" si="0"/>
        <v>2.5750666081371984E-4</v>
      </c>
      <c r="E20" s="3">
        <f t="shared" si="2"/>
        <v>11387.0442617975</v>
      </c>
    </row>
    <row r="21" spans="1:5" x14ac:dyDescent="0.3">
      <c r="A21">
        <f t="shared" si="3"/>
        <v>0.19000000000000003</v>
      </c>
      <c r="B21">
        <f t="shared" si="4"/>
        <v>30.19000000000003</v>
      </c>
      <c r="C21">
        <f t="shared" si="1"/>
        <v>3.1204468171228421E-4</v>
      </c>
      <c r="D21">
        <f t="shared" si="0"/>
        <v>2.5786697594194026E-4</v>
      </c>
      <c r="E21" s="3">
        <f t="shared" si="2"/>
        <v>11416.37089523885</v>
      </c>
    </row>
    <row r="22" spans="1:5" x14ac:dyDescent="0.3">
      <c r="A22">
        <f t="shared" si="3"/>
        <v>0.20000000000000004</v>
      </c>
      <c r="B22">
        <f t="shared" si="4"/>
        <v>30.200000000000031</v>
      </c>
      <c r="C22">
        <f t="shared" si="1"/>
        <v>3.1215233910389091E-4</v>
      </c>
      <c r="D22">
        <f t="shared" si="0"/>
        <v>2.5822786861889001E-4</v>
      </c>
      <c r="E22" s="3">
        <f t="shared" si="2"/>
        <v>11445.709015671393</v>
      </c>
    </row>
    <row r="23" spans="1:5" x14ac:dyDescent="0.3">
      <c r="A23">
        <f t="shared" si="3"/>
        <v>0.21000000000000005</v>
      </c>
      <c r="B23">
        <f t="shared" si="4"/>
        <v>30.210000000000033</v>
      </c>
      <c r="C23">
        <f t="shared" si="1"/>
        <v>3.1226012241384238E-4</v>
      </c>
      <c r="D23">
        <f t="shared" ref="D23:D86" si="5">IF(A23&lt;=2, (0.9)^(2-A23)*C23, C23)</f>
        <v>2.5858933989332533E-4</v>
      </c>
      <c r="E23" s="3">
        <f t="shared" si="2"/>
        <v>11475.058627419483</v>
      </c>
    </row>
    <row r="24" spans="1:5" x14ac:dyDescent="0.3">
      <c r="A24">
        <f t="shared" si="3"/>
        <v>0.22000000000000006</v>
      </c>
      <c r="B24">
        <f t="shared" si="4"/>
        <v>30.220000000000034</v>
      </c>
      <c r="C24">
        <f t="shared" si="1"/>
        <v>3.1236803178941533E-4</v>
      </c>
      <c r="D24">
        <f t="shared" si="5"/>
        <v>2.5895139081608668E-4</v>
      </c>
      <c r="E24" s="3">
        <f t="shared" si="2"/>
        <v>11504.419734808915</v>
      </c>
    </row>
    <row r="25" spans="1:5" x14ac:dyDescent="0.3">
      <c r="A25">
        <f t="shared" si="3"/>
        <v>0.23000000000000007</v>
      </c>
      <c r="B25">
        <f t="shared" si="4"/>
        <v>30.230000000000036</v>
      </c>
      <c r="C25">
        <f t="shared" si="1"/>
        <v>3.1247606737805887E-4</v>
      </c>
      <c r="D25">
        <f t="shared" si="5"/>
        <v>2.593140224401035E-4</v>
      </c>
      <c r="E25" s="3">
        <f t="shared" si="2"/>
        <v>11533.792342166929</v>
      </c>
    </row>
    <row r="26" spans="1:5" x14ac:dyDescent="0.3">
      <c r="A26">
        <f t="shared" si="3"/>
        <v>0.24000000000000007</v>
      </c>
      <c r="B26">
        <f t="shared" si="4"/>
        <v>30.240000000000038</v>
      </c>
      <c r="C26">
        <f t="shared" si="1"/>
        <v>3.125842293273944E-4</v>
      </c>
      <c r="D26">
        <f t="shared" si="5"/>
        <v>2.5967723582039819E-4</v>
      </c>
      <c r="E26" s="3">
        <f t="shared" si="2"/>
        <v>11563.176453822218</v>
      </c>
    </row>
    <row r="27" spans="1:5" x14ac:dyDescent="0.3">
      <c r="A27">
        <f t="shared" si="3"/>
        <v>0.25000000000000006</v>
      </c>
      <c r="B27">
        <f t="shared" si="4"/>
        <v>30.250000000000039</v>
      </c>
      <c r="C27">
        <f t="shared" si="1"/>
        <v>3.1269251778521596E-4</v>
      </c>
      <c r="D27">
        <f t="shared" si="5"/>
        <v>2.6004103201409073E-4</v>
      </c>
      <c r="E27" s="3">
        <f t="shared" si="2"/>
        <v>11592.572074104914</v>
      </c>
    </row>
    <row r="28" spans="1:5" x14ac:dyDescent="0.3">
      <c r="A28">
        <f t="shared" si="3"/>
        <v>0.26000000000000006</v>
      </c>
      <c r="B28">
        <f t="shared" si="4"/>
        <v>30.260000000000041</v>
      </c>
      <c r="C28">
        <f t="shared" si="1"/>
        <v>3.1280093289949058E-4</v>
      </c>
      <c r="D28">
        <f t="shared" si="5"/>
        <v>2.6040541208040323E-4</v>
      </c>
      <c r="E28" s="3">
        <f t="shared" si="2"/>
        <v>11621.9792073466</v>
      </c>
    </row>
    <row r="29" spans="1:5" x14ac:dyDescent="0.3">
      <c r="A29">
        <f t="shared" si="3"/>
        <v>0.27000000000000007</v>
      </c>
      <c r="B29">
        <f t="shared" si="4"/>
        <v>30.270000000000042</v>
      </c>
      <c r="C29">
        <f t="shared" si="1"/>
        <v>3.129094748183584E-4</v>
      </c>
      <c r="D29">
        <f t="shared" si="5"/>
        <v>2.6077037708066407E-4</v>
      </c>
      <c r="E29" s="3">
        <f t="shared" si="2"/>
        <v>11651.397857880303</v>
      </c>
    </row>
    <row r="30" spans="1:5" x14ac:dyDescent="0.3">
      <c r="A30">
        <f t="shared" si="3"/>
        <v>0.28000000000000008</v>
      </c>
      <c r="B30">
        <f t="shared" si="4"/>
        <v>30.280000000000044</v>
      </c>
      <c r="C30">
        <f t="shared" si="1"/>
        <v>3.1301814369013258E-4</v>
      </c>
      <c r="D30">
        <f t="shared" si="5"/>
        <v>2.6113592807831229E-4</v>
      </c>
      <c r="E30" s="3">
        <f t="shared" si="2"/>
        <v>11680.828030040502</v>
      </c>
    </row>
    <row r="31" spans="1:5" x14ac:dyDescent="0.3">
      <c r="A31">
        <f t="shared" si="3"/>
        <v>0.29000000000000009</v>
      </c>
      <c r="B31">
        <f t="shared" si="4"/>
        <v>30.290000000000045</v>
      </c>
      <c r="C31">
        <f t="shared" si="1"/>
        <v>3.1312693966330002E-4</v>
      </c>
      <c r="D31">
        <f t="shared" si="5"/>
        <v>2.615020661389024E-4</v>
      </c>
      <c r="E31" s="3">
        <f t="shared" si="2"/>
        <v>11710.269728163124</v>
      </c>
    </row>
    <row r="32" spans="1:5" x14ac:dyDescent="0.3">
      <c r="A32">
        <f t="shared" si="3"/>
        <v>0.3000000000000001</v>
      </c>
      <c r="B32">
        <f t="shared" si="4"/>
        <v>30.300000000000047</v>
      </c>
      <c r="C32">
        <f t="shared" si="1"/>
        <v>3.1323586288652117E-4</v>
      </c>
      <c r="D32">
        <f t="shared" si="5"/>
        <v>2.6186879233010849E-4</v>
      </c>
      <c r="E32" s="3">
        <f t="shared" si="2"/>
        <v>11739.722956585538</v>
      </c>
    </row>
    <row r="33" spans="1:5" x14ac:dyDescent="0.3">
      <c r="A33">
        <f t="shared" si="3"/>
        <v>0.31000000000000011</v>
      </c>
      <c r="B33">
        <f t="shared" si="4"/>
        <v>30.310000000000048</v>
      </c>
      <c r="C33">
        <f t="shared" si="1"/>
        <v>3.1334491350863025E-4</v>
      </c>
      <c r="D33">
        <f t="shared" si="5"/>
        <v>2.6223610772172857E-4</v>
      </c>
      <c r="E33" s="3">
        <f t="shared" si="2"/>
        <v>11769.187719646572</v>
      </c>
    </row>
    <row r="34" spans="1:5" x14ac:dyDescent="0.3">
      <c r="A34">
        <f t="shared" si="3"/>
        <v>0.32000000000000012</v>
      </c>
      <c r="B34">
        <f t="shared" si="4"/>
        <v>30.32000000000005</v>
      </c>
      <c r="C34">
        <f t="shared" si="1"/>
        <v>3.1345409167863583E-4</v>
      </c>
      <c r="D34">
        <f t="shared" si="5"/>
        <v>2.6260401338568958E-4</v>
      </c>
      <c r="E34" s="3">
        <f t="shared" si="2"/>
        <v>11798.664021686494</v>
      </c>
    </row>
    <row r="35" spans="1:5" x14ac:dyDescent="0.3">
      <c r="A35">
        <f t="shared" si="3"/>
        <v>0.33000000000000013</v>
      </c>
      <c r="B35">
        <f t="shared" si="4"/>
        <v>30.330000000000052</v>
      </c>
      <c r="C35">
        <f t="shared" si="1"/>
        <v>3.1356339754572051E-4</v>
      </c>
      <c r="D35">
        <f t="shared" si="5"/>
        <v>2.6297251039605131E-4</v>
      </c>
      <c r="E35" s="3">
        <f t="shared" si="2"/>
        <v>11828.151867047029</v>
      </c>
    </row>
    <row r="36" spans="1:5" x14ac:dyDescent="0.3">
      <c r="A36">
        <f t="shared" si="3"/>
        <v>0.34000000000000014</v>
      </c>
      <c r="B36">
        <f t="shared" si="4"/>
        <v>30.340000000000053</v>
      </c>
      <c r="C36">
        <f t="shared" si="1"/>
        <v>3.1367283125924143E-4</v>
      </c>
      <c r="D36">
        <f t="shared" si="5"/>
        <v>2.63341599829011E-4</v>
      </c>
      <c r="E36" s="3">
        <f t="shared" si="2"/>
        <v>11857.651260071349</v>
      </c>
    </row>
    <row r="37" spans="1:5" x14ac:dyDescent="0.3">
      <c r="A37">
        <f t="shared" si="3"/>
        <v>0.35000000000000014</v>
      </c>
      <c r="B37">
        <f t="shared" si="4"/>
        <v>30.350000000000055</v>
      </c>
      <c r="C37">
        <f t="shared" si="1"/>
        <v>3.1378239296873061E-4</v>
      </c>
      <c r="D37">
        <f t="shared" si="5"/>
        <v>2.6371128276290816E-4</v>
      </c>
      <c r="E37" s="3">
        <f t="shared" si="2"/>
        <v>11887.162205104078</v>
      </c>
    </row>
    <row r="38" spans="1:5" x14ac:dyDescent="0.3">
      <c r="A38">
        <f t="shared" si="3"/>
        <v>0.36000000000000015</v>
      </c>
      <c r="B38">
        <f t="shared" si="4"/>
        <v>30.360000000000056</v>
      </c>
      <c r="C38">
        <f t="shared" si="1"/>
        <v>3.1389208282389474E-4</v>
      </c>
      <c r="D38">
        <f t="shared" si="5"/>
        <v>2.6408156027822865E-4</v>
      </c>
      <c r="E38" s="3">
        <f t="shared" si="2"/>
        <v>11916.684706491291</v>
      </c>
    </row>
    <row r="39" spans="1:5" x14ac:dyDescent="0.3">
      <c r="A39">
        <f t="shared" si="3"/>
        <v>0.37000000000000016</v>
      </c>
      <c r="B39">
        <f t="shared" si="4"/>
        <v>30.370000000000058</v>
      </c>
      <c r="C39">
        <f t="shared" si="1"/>
        <v>3.1400190097461561E-4</v>
      </c>
      <c r="D39">
        <f t="shared" si="5"/>
        <v>2.6445243345760931E-4</v>
      </c>
      <c r="E39" s="3">
        <f t="shared" si="2"/>
        <v>11946.218768580515</v>
      </c>
    </row>
    <row r="40" spans="1:5" x14ac:dyDescent="0.3">
      <c r="A40">
        <f t="shared" si="3"/>
        <v>0.38000000000000017</v>
      </c>
      <c r="B40">
        <f t="shared" si="4"/>
        <v>30.380000000000059</v>
      </c>
      <c r="C40">
        <f t="shared" si="1"/>
        <v>3.1411184757095055E-4</v>
      </c>
      <c r="D40">
        <f t="shared" si="5"/>
        <v>2.6482390338584277E-4</v>
      </c>
      <c r="E40" s="3">
        <f t="shared" si="2"/>
        <v>11975.764395720729</v>
      </c>
    </row>
    <row r="41" spans="1:5" x14ac:dyDescent="0.3">
      <c r="A41">
        <f t="shared" si="3"/>
        <v>0.39000000000000018</v>
      </c>
      <c r="B41">
        <f t="shared" si="4"/>
        <v>30.390000000000061</v>
      </c>
      <c r="C41">
        <f t="shared" si="1"/>
        <v>3.1422192276313213E-4</v>
      </c>
      <c r="D41">
        <f t="shared" si="5"/>
        <v>2.6519597114988146E-4</v>
      </c>
      <c r="E41" s="3">
        <f t="shared" si="2"/>
        <v>12005.321592262364</v>
      </c>
    </row>
    <row r="42" spans="1:5" x14ac:dyDescent="0.3">
      <c r="A42">
        <f t="shared" si="3"/>
        <v>0.40000000000000019</v>
      </c>
      <c r="B42">
        <f t="shared" si="4"/>
        <v>30.400000000000063</v>
      </c>
      <c r="C42">
        <f t="shared" si="1"/>
        <v>3.1433212670156879E-4</v>
      </c>
      <c r="D42">
        <f t="shared" si="5"/>
        <v>2.6556863783884266E-4</v>
      </c>
      <c r="E42" s="3">
        <f t="shared" si="2"/>
        <v>12034.890362557308</v>
      </c>
    </row>
    <row r="43" spans="1:5" x14ac:dyDescent="0.3">
      <c r="A43">
        <f t="shared" si="3"/>
        <v>0.4100000000000002</v>
      </c>
      <c r="B43">
        <f t="shared" si="4"/>
        <v>30.410000000000064</v>
      </c>
      <c r="C43">
        <f t="shared" si="1"/>
        <v>3.1444245953684489E-4</v>
      </c>
      <c r="D43">
        <f t="shared" si="5"/>
        <v>2.6594190454401267E-4</v>
      </c>
      <c r="E43" s="3">
        <f t="shared" si="2"/>
        <v>12064.470710958893</v>
      </c>
    </row>
    <row r="44" spans="1:5" x14ac:dyDescent="0.3">
      <c r="A44">
        <f t="shared" si="3"/>
        <v>0.42000000000000021</v>
      </c>
      <c r="B44">
        <f t="shared" si="4"/>
        <v>30.420000000000066</v>
      </c>
      <c r="C44">
        <f t="shared" si="1"/>
        <v>3.1455292141972086E-4</v>
      </c>
      <c r="D44">
        <f t="shared" si="5"/>
        <v>2.6631577235885161E-4</v>
      </c>
      <c r="E44" s="3">
        <f t="shared" si="2"/>
        <v>12094.062641821913</v>
      </c>
    </row>
    <row r="45" spans="1:5" x14ac:dyDescent="0.3">
      <c r="A45">
        <f t="shared" si="3"/>
        <v>0.43000000000000022</v>
      </c>
      <c r="B45">
        <f t="shared" si="4"/>
        <v>30.430000000000067</v>
      </c>
      <c r="C45">
        <f t="shared" si="1"/>
        <v>3.146635125011334E-4</v>
      </c>
      <c r="D45">
        <f t="shared" si="5"/>
        <v>2.6669024237899782E-4</v>
      </c>
      <c r="E45" s="3">
        <f t="shared" si="2"/>
        <v>12123.666159502618</v>
      </c>
    </row>
    <row r="46" spans="1:5" x14ac:dyDescent="0.3">
      <c r="A46">
        <f t="shared" si="3"/>
        <v>0.44000000000000022</v>
      </c>
      <c r="B46">
        <f t="shared" si="4"/>
        <v>30.440000000000069</v>
      </c>
      <c r="C46">
        <f t="shared" si="1"/>
        <v>3.1477423293219597E-4</v>
      </c>
      <c r="D46">
        <f t="shared" si="5"/>
        <v>2.6706531570227257E-4</v>
      </c>
      <c r="E46" s="3">
        <f t="shared" si="2"/>
        <v>12153.281268358705</v>
      </c>
    </row>
    <row r="47" spans="1:5" x14ac:dyDescent="0.3">
      <c r="A47">
        <f t="shared" si="3"/>
        <v>0.45000000000000023</v>
      </c>
      <c r="B47">
        <f t="shared" si="4"/>
        <v>30.45000000000007</v>
      </c>
      <c r="C47">
        <f t="shared" si="1"/>
        <v>3.1488508286419857E-4</v>
      </c>
      <c r="D47">
        <f t="shared" si="5"/>
        <v>2.6744099342868456E-4</v>
      </c>
      <c r="E47" s="3">
        <f t="shared" si="2"/>
        <v>12182.907972749334</v>
      </c>
    </row>
    <row r="48" spans="1:5" x14ac:dyDescent="0.3">
      <c r="A48">
        <f t="shared" si="3"/>
        <v>0.46000000000000024</v>
      </c>
      <c r="B48">
        <f t="shared" si="4"/>
        <v>30.460000000000072</v>
      </c>
      <c r="C48">
        <f t="shared" si="1"/>
        <v>3.1499606244860814E-4</v>
      </c>
      <c r="D48">
        <f t="shared" si="5"/>
        <v>2.6781727666043453E-4</v>
      </c>
      <c r="E48" s="3">
        <f t="shared" si="2"/>
        <v>12212.546277035115</v>
      </c>
    </row>
    <row r="49" spans="1:5" x14ac:dyDescent="0.3">
      <c r="A49">
        <f t="shared" si="3"/>
        <v>0.47000000000000025</v>
      </c>
      <c r="B49">
        <f t="shared" si="4"/>
        <v>30.470000000000073</v>
      </c>
      <c r="C49">
        <f t="shared" si="1"/>
        <v>3.1510717183706895E-4</v>
      </c>
      <c r="D49">
        <f t="shared" si="5"/>
        <v>2.6819416650191997E-4</v>
      </c>
      <c r="E49" s="3">
        <f t="shared" si="2"/>
        <v>12242.196185578119</v>
      </c>
    </row>
    <row r="50" spans="1:5" x14ac:dyDescent="0.3">
      <c r="A50">
        <f t="shared" si="3"/>
        <v>0.48000000000000026</v>
      </c>
      <c r="B50">
        <f t="shared" si="4"/>
        <v>30.480000000000075</v>
      </c>
      <c r="C50">
        <f t="shared" si="1"/>
        <v>3.1521841118140254E-4</v>
      </c>
      <c r="D50">
        <f t="shared" si="5"/>
        <v>2.6857166405973954E-4</v>
      </c>
      <c r="E50" s="3">
        <f t="shared" si="2"/>
        <v>12271.857702741869</v>
      </c>
    </row>
    <row r="51" spans="1:5" x14ac:dyDescent="0.3">
      <c r="A51">
        <f t="shared" si="3"/>
        <v>0.49000000000000027</v>
      </c>
      <c r="B51">
        <f t="shared" si="4"/>
        <v>30.490000000000077</v>
      </c>
      <c r="C51">
        <f t="shared" si="1"/>
        <v>3.1532978063360793E-4</v>
      </c>
      <c r="D51">
        <f t="shared" si="5"/>
        <v>2.6894977044269791E-4</v>
      </c>
      <c r="E51" s="3">
        <f t="shared" si="2"/>
        <v>12301.530832891349</v>
      </c>
    </row>
    <row r="52" spans="1:5" x14ac:dyDescent="0.3">
      <c r="A52">
        <f t="shared" si="3"/>
        <v>0.50000000000000022</v>
      </c>
      <c r="B52">
        <f t="shared" si="4"/>
        <v>30.500000000000078</v>
      </c>
      <c r="C52">
        <f t="shared" si="1"/>
        <v>3.1544128034586216E-4</v>
      </c>
      <c r="D52">
        <f t="shared" si="5"/>
        <v>2.6932848676181032E-4</v>
      </c>
      <c r="E52" s="3">
        <f t="shared" si="2"/>
        <v>12331.215580392996</v>
      </c>
    </row>
    <row r="53" spans="1:5" x14ac:dyDescent="0.3">
      <c r="A53">
        <f t="shared" si="3"/>
        <v>0.51000000000000023</v>
      </c>
      <c r="B53">
        <f t="shared" si="4"/>
        <v>30.51000000000008</v>
      </c>
      <c r="C53">
        <f t="shared" si="1"/>
        <v>3.1555291047052008E-4</v>
      </c>
      <c r="D53">
        <f t="shared" si="5"/>
        <v>2.6970781413030717E-4</v>
      </c>
      <c r="E53" s="3">
        <f t="shared" si="2"/>
        <v>12360.911949614712</v>
      </c>
    </row>
    <row r="54" spans="1:5" x14ac:dyDescent="0.3">
      <c r="A54">
        <f t="shared" si="3"/>
        <v>0.52000000000000024</v>
      </c>
      <c r="B54">
        <f t="shared" si="4"/>
        <v>30.520000000000081</v>
      </c>
      <c r="C54">
        <f t="shared" si="1"/>
        <v>3.1566467116011469E-4</v>
      </c>
      <c r="D54">
        <f t="shared" si="5"/>
        <v>2.7008775366363857E-4</v>
      </c>
      <c r="E54" s="3">
        <f t="shared" si="2"/>
        <v>12390.619944925853</v>
      </c>
    </row>
    <row r="55" spans="1:5" x14ac:dyDescent="0.3">
      <c r="A55">
        <f t="shared" si="3"/>
        <v>0.53000000000000025</v>
      </c>
      <c r="B55">
        <f t="shared" si="4"/>
        <v>30.530000000000083</v>
      </c>
      <c r="C55">
        <f t="shared" si="1"/>
        <v>3.1577656256735753E-4</v>
      </c>
      <c r="D55">
        <f t="shared" si="5"/>
        <v>2.7046830647947944E-4</v>
      </c>
      <c r="E55" s="3">
        <f t="shared" si="2"/>
        <v>12420.339570697233</v>
      </c>
    </row>
    <row r="56" spans="1:5" x14ac:dyDescent="0.3">
      <c r="A56">
        <f t="shared" si="3"/>
        <v>0.54000000000000026</v>
      </c>
      <c r="B56">
        <f t="shared" si="4"/>
        <v>30.540000000000084</v>
      </c>
      <c r="C56">
        <f t="shared" si="1"/>
        <v>3.1588858484513874E-4</v>
      </c>
      <c r="D56">
        <f t="shared" si="5"/>
        <v>2.7084947369773369E-4</v>
      </c>
      <c r="E56" s="3">
        <f t="shared" si="2"/>
        <v>12450.070831301127</v>
      </c>
    </row>
    <row r="57" spans="1:5" x14ac:dyDescent="0.3">
      <c r="A57">
        <f t="shared" si="3"/>
        <v>0.55000000000000027</v>
      </c>
      <c r="B57">
        <f t="shared" si="4"/>
        <v>30.550000000000086</v>
      </c>
      <c r="C57">
        <f t="shared" si="1"/>
        <v>3.1600073814652723E-4</v>
      </c>
      <c r="D57">
        <f t="shared" si="5"/>
        <v>2.7123125644053919E-4</v>
      </c>
      <c r="E57" s="3">
        <f t="shared" si="2"/>
        <v>12479.81373111127</v>
      </c>
    </row>
    <row r="58" spans="1:5" x14ac:dyDescent="0.3">
      <c r="A58">
        <f t="shared" si="3"/>
        <v>0.56000000000000028</v>
      </c>
      <c r="B58">
        <f t="shared" si="4"/>
        <v>30.560000000000088</v>
      </c>
      <c r="C58">
        <f t="shared" si="1"/>
        <v>3.161130226247709E-4</v>
      </c>
      <c r="D58">
        <f t="shared" si="5"/>
        <v>2.7161365583227247E-4</v>
      </c>
      <c r="E58" s="3">
        <f t="shared" si="2"/>
        <v>12509.568274502857</v>
      </c>
    </row>
    <row r="59" spans="1:5" x14ac:dyDescent="0.3">
      <c r="A59">
        <f t="shared" si="3"/>
        <v>0.57000000000000028</v>
      </c>
      <c r="B59">
        <f t="shared" si="4"/>
        <v>30.570000000000089</v>
      </c>
      <c r="C59">
        <f t="shared" si="1"/>
        <v>3.1622543843329705E-4</v>
      </c>
      <c r="D59">
        <f t="shared" si="5"/>
        <v>2.7199667299955321E-4</v>
      </c>
      <c r="E59" s="3">
        <f t="shared" si="2"/>
        <v>12539.334465852546</v>
      </c>
    </row>
    <row r="60" spans="1:5" x14ac:dyDescent="0.3">
      <c r="A60">
        <f t="shared" si="3"/>
        <v>0.58000000000000029</v>
      </c>
      <c r="B60">
        <f t="shared" si="4"/>
        <v>30.580000000000091</v>
      </c>
      <c r="C60">
        <f t="shared" si="1"/>
        <v>3.1633798572571224E-4</v>
      </c>
      <c r="D60">
        <f t="shared" si="5"/>
        <v>2.7238030907124924E-4</v>
      </c>
      <c r="E60" s="3">
        <f t="shared" si="2"/>
        <v>12569.11230953845</v>
      </c>
    </row>
    <row r="61" spans="1:5" x14ac:dyDescent="0.3">
      <c r="A61">
        <f t="shared" si="3"/>
        <v>0.5900000000000003</v>
      </c>
      <c r="B61">
        <f t="shared" si="4"/>
        <v>30.590000000000092</v>
      </c>
      <c r="C61">
        <f t="shared" si="1"/>
        <v>3.1645066465580286E-4</v>
      </c>
      <c r="D61">
        <f t="shared" si="5"/>
        <v>2.727645651784811E-4</v>
      </c>
      <c r="E61" s="3">
        <f t="shared" si="2"/>
        <v>12598.901809940147</v>
      </c>
    </row>
    <row r="62" spans="1:5" x14ac:dyDescent="0.3">
      <c r="A62">
        <f t="shared" si="3"/>
        <v>0.60000000000000031</v>
      </c>
      <c r="B62">
        <f t="shared" si="4"/>
        <v>30.600000000000094</v>
      </c>
      <c r="C62">
        <f t="shared" si="1"/>
        <v>3.1656347537753509E-4</v>
      </c>
      <c r="D62">
        <f t="shared" si="5"/>
        <v>2.7314944245462679E-4</v>
      </c>
      <c r="E62" s="3">
        <f t="shared" si="2"/>
        <v>12628.702971438683</v>
      </c>
    </row>
    <row r="63" spans="1:5" x14ac:dyDescent="0.3">
      <c r="A63">
        <f t="shared" si="3"/>
        <v>0.61000000000000032</v>
      </c>
      <c r="B63">
        <f t="shared" si="4"/>
        <v>30.610000000000095</v>
      </c>
      <c r="C63">
        <f t="shared" si="1"/>
        <v>3.1667641804505517E-4</v>
      </c>
      <c r="D63">
        <f t="shared" si="5"/>
        <v>2.7353494203532662E-4</v>
      </c>
      <c r="E63" s="3">
        <f t="shared" si="2"/>
        <v>12658.51579841656</v>
      </c>
    </row>
    <row r="64" spans="1:5" x14ac:dyDescent="0.3">
      <c r="A64">
        <f t="shared" si="3"/>
        <v>0.62000000000000033</v>
      </c>
      <c r="B64">
        <f t="shared" si="4"/>
        <v>30.620000000000097</v>
      </c>
      <c r="C64">
        <f t="shared" si="1"/>
        <v>3.1678949281268963E-4</v>
      </c>
      <c r="D64">
        <f t="shared" si="5"/>
        <v>2.7392106505848778E-4</v>
      </c>
      <c r="E64" s="3">
        <f t="shared" si="2"/>
        <v>12688.340295257742</v>
      </c>
    </row>
    <row r="65" spans="1:5" x14ac:dyDescent="0.3">
      <c r="A65">
        <f t="shared" si="3"/>
        <v>0.63000000000000034</v>
      </c>
      <c r="B65">
        <f t="shared" si="4"/>
        <v>30.630000000000098</v>
      </c>
      <c r="C65">
        <f t="shared" si="1"/>
        <v>3.1690269983494562E-4</v>
      </c>
      <c r="D65">
        <f t="shared" si="5"/>
        <v>2.7430781266428927E-4</v>
      </c>
      <c r="E65" s="3">
        <f t="shared" si="2"/>
        <v>12718.176466347661</v>
      </c>
    </row>
    <row r="66" spans="1:5" x14ac:dyDescent="0.3">
      <c r="A66">
        <f t="shared" si="3"/>
        <v>0.64000000000000035</v>
      </c>
      <c r="B66">
        <f t="shared" si="4"/>
        <v>30.6400000000001</v>
      </c>
      <c r="C66">
        <f t="shared" si="1"/>
        <v>3.1701603926651088E-4</v>
      </c>
      <c r="D66">
        <f t="shared" si="5"/>
        <v>2.7469518599518679E-4</v>
      </c>
      <c r="E66" s="3">
        <f t="shared" si="2"/>
        <v>12748.02431607321</v>
      </c>
    </row>
    <row r="67" spans="1:5" x14ac:dyDescent="0.3">
      <c r="A67">
        <f t="shared" si="3"/>
        <v>0.65000000000000036</v>
      </c>
      <c r="B67">
        <f t="shared" si="4"/>
        <v>30.650000000000102</v>
      </c>
      <c r="C67">
        <f t="shared" ref="C67:C130" si="6">$N$2 + $N$3*$N$4^(B67)</f>
        <v>3.1712951126225408E-4</v>
      </c>
      <c r="D67">
        <f t="shared" si="5"/>
        <v>2.7508318619591716E-4</v>
      </c>
      <c r="E67" s="3">
        <f t="shared" ref="E67:E130" si="7">IF(ROUND(A67, 2)=$N$10,$N$6,(E68-$N$5*($N$7-$N$8-($N$6+$N$9)*D67))/(1+$N$5*$N$11+$N$5*D67))</f>
        <v>12777.883848822748</v>
      </c>
    </row>
    <row r="68" spans="1:5" x14ac:dyDescent="0.3">
      <c r="A68">
        <f t="shared" ref="A68:B131" si="8">A67+$N$5</f>
        <v>0.66000000000000036</v>
      </c>
      <c r="B68">
        <f t="shared" si="8"/>
        <v>30.660000000000103</v>
      </c>
      <c r="C68">
        <f t="shared" si="6"/>
        <v>3.172431159772252E-4</v>
      </c>
      <c r="D68">
        <f t="shared" si="5"/>
        <v>2.7547181441350349E-4</v>
      </c>
      <c r="E68" s="3">
        <f t="shared" si="7"/>
        <v>12807.7550689861</v>
      </c>
    </row>
    <row r="69" spans="1:5" x14ac:dyDescent="0.3">
      <c r="A69">
        <f t="shared" si="8"/>
        <v>0.67000000000000037</v>
      </c>
      <c r="B69">
        <f t="shared" si="8"/>
        <v>30.670000000000105</v>
      </c>
      <c r="C69">
        <f t="shared" si="6"/>
        <v>3.1735685356665521E-4</v>
      </c>
      <c r="D69">
        <f t="shared" si="5"/>
        <v>2.7586107179725962E-4</v>
      </c>
      <c r="E69" s="3">
        <f t="shared" si="7"/>
        <v>12837.637980954554</v>
      </c>
    </row>
    <row r="70" spans="1:5" x14ac:dyDescent="0.3">
      <c r="A70">
        <f t="shared" si="8"/>
        <v>0.68000000000000038</v>
      </c>
      <c r="B70">
        <f t="shared" si="8"/>
        <v>30.680000000000106</v>
      </c>
      <c r="C70">
        <f t="shared" si="6"/>
        <v>3.1747072418595711E-4</v>
      </c>
      <c r="D70">
        <f t="shared" si="5"/>
        <v>2.7625095949879559E-4</v>
      </c>
      <c r="E70" s="3">
        <f t="shared" si="7"/>
        <v>12867.532589120867</v>
      </c>
    </row>
    <row r="71" spans="1:5" x14ac:dyDescent="0.3">
      <c r="A71">
        <f t="shared" si="8"/>
        <v>0.69000000000000039</v>
      </c>
      <c r="B71">
        <f t="shared" si="8"/>
        <v>30.690000000000108</v>
      </c>
      <c r="C71">
        <f t="shared" si="6"/>
        <v>3.1758472799072525E-4</v>
      </c>
      <c r="D71">
        <f t="shared" si="5"/>
        <v>2.7664147867202161E-4</v>
      </c>
      <c r="E71" s="3">
        <f t="shared" si="7"/>
        <v>12897.438897879258</v>
      </c>
    </row>
    <row r="72" spans="1:5" x14ac:dyDescent="0.3">
      <c r="A72">
        <f t="shared" si="8"/>
        <v>0.7000000000000004</v>
      </c>
      <c r="B72">
        <f t="shared" si="8"/>
        <v>30.700000000000109</v>
      </c>
      <c r="C72">
        <f t="shared" si="6"/>
        <v>3.1769886513673622E-4</v>
      </c>
      <c r="D72">
        <f t="shared" si="5"/>
        <v>2.7703263047315353E-4</v>
      </c>
      <c r="E72" s="3">
        <f t="shared" si="7"/>
        <v>12927.356911625415</v>
      </c>
    </row>
    <row r="73" spans="1:5" x14ac:dyDescent="0.3">
      <c r="A73">
        <f t="shared" si="8"/>
        <v>0.71000000000000041</v>
      </c>
      <c r="B73">
        <f t="shared" si="8"/>
        <v>30.710000000000111</v>
      </c>
      <c r="C73">
        <f t="shared" si="6"/>
        <v>3.1781313577994871E-4</v>
      </c>
      <c r="D73">
        <f t="shared" si="5"/>
        <v>2.7742441606071747E-4</v>
      </c>
      <c r="E73" s="3">
        <f t="shared" si="7"/>
        <v>12957.286634756496</v>
      </c>
    </row>
    <row r="74" spans="1:5" x14ac:dyDescent="0.3">
      <c r="A74">
        <f t="shared" si="8"/>
        <v>0.72000000000000042</v>
      </c>
      <c r="B74">
        <f t="shared" si="8"/>
        <v>30.720000000000113</v>
      </c>
      <c r="C74">
        <f t="shared" si="6"/>
        <v>3.1792754007650388E-4</v>
      </c>
      <c r="D74">
        <f t="shared" si="5"/>
        <v>2.7781683659555483E-4</v>
      </c>
      <c r="E74" s="3">
        <f t="shared" si="7"/>
        <v>12987.228071671121</v>
      </c>
    </row>
    <row r="75" spans="1:5" x14ac:dyDescent="0.3">
      <c r="A75">
        <f t="shared" si="8"/>
        <v>0.73000000000000043</v>
      </c>
      <c r="B75">
        <f t="shared" si="8"/>
        <v>30.730000000000114</v>
      </c>
      <c r="C75">
        <f t="shared" si="6"/>
        <v>3.1804207818272553E-4</v>
      </c>
      <c r="D75">
        <f t="shared" si="5"/>
        <v>2.7820989324082697E-4</v>
      </c>
      <c r="E75" s="3">
        <f t="shared" si="7"/>
        <v>13017.181226769386</v>
      </c>
    </row>
    <row r="76" spans="1:5" x14ac:dyDescent="0.3">
      <c r="A76">
        <f t="shared" si="8"/>
        <v>0.74000000000000044</v>
      </c>
      <c r="B76">
        <f t="shared" si="8"/>
        <v>30.740000000000116</v>
      </c>
      <c r="C76">
        <f t="shared" si="6"/>
        <v>3.1815675025512012E-4</v>
      </c>
      <c r="D76">
        <f t="shared" si="5"/>
        <v>2.7860358716202E-4</v>
      </c>
      <c r="E76" s="3">
        <f t="shared" si="7"/>
        <v>13047.146104452846</v>
      </c>
    </row>
    <row r="77" spans="1:5" x14ac:dyDescent="0.3">
      <c r="A77">
        <f t="shared" si="8"/>
        <v>0.75000000000000044</v>
      </c>
      <c r="B77">
        <f t="shared" si="8"/>
        <v>30.750000000000117</v>
      </c>
      <c r="C77">
        <f t="shared" si="6"/>
        <v>3.1827155645037738E-4</v>
      </c>
      <c r="D77">
        <f t="shared" si="5"/>
        <v>2.7899791952695015E-4</v>
      </c>
      <c r="E77" s="3">
        <f t="shared" si="7"/>
        <v>13077.122709124535</v>
      </c>
    </row>
    <row r="78" spans="1:5" x14ac:dyDescent="0.3">
      <c r="A78">
        <f t="shared" si="8"/>
        <v>0.76000000000000045</v>
      </c>
      <c r="B78">
        <f t="shared" si="8"/>
        <v>30.760000000000119</v>
      </c>
      <c r="C78">
        <f t="shared" si="6"/>
        <v>3.1838649692537025E-4</v>
      </c>
      <c r="D78">
        <f t="shared" si="5"/>
        <v>2.7939289150576819E-4</v>
      </c>
      <c r="E78" s="3">
        <f t="shared" si="7"/>
        <v>13107.111045188947</v>
      </c>
    </row>
    <row r="79" spans="1:5" x14ac:dyDescent="0.3">
      <c r="A79">
        <f t="shared" si="8"/>
        <v>0.77000000000000046</v>
      </c>
      <c r="B79">
        <f t="shared" si="8"/>
        <v>30.77000000000012</v>
      </c>
      <c r="C79">
        <f t="shared" si="6"/>
        <v>3.1850157183715505E-4</v>
      </c>
      <c r="D79">
        <f t="shared" si="5"/>
        <v>2.7978850427096456E-4</v>
      </c>
      <c r="E79" s="3">
        <f t="shared" si="7"/>
        <v>13137.11111705206</v>
      </c>
    </row>
    <row r="80" spans="1:5" x14ac:dyDescent="0.3">
      <c r="A80">
        <f t="shared" si="8"/>
        <v>0.78000000000000047</v>
      </c>
      <c r="B80">
        <f t="shared" si="8"/>
        <v>30.780000000000122</v>
      </c>
      <c r="C80">
        <f t="shared" si="6"/>
        <v>3.1861678134297196E-4</v>
      </c>
      <c r="D80">
        <f t="shared" si="5"/>
        <v>2.8018475899737439E-4</v>
      </c>
      <c r="E80" s="3">
        <f t="shared" si="7"/>
        <v>13167.122929121309</v>
      </c>
    </row>
    <row r="81" spans="1:5" x14ac:dyDescent="0.3">
      <c r="A81">
        <f t="shared" si="8"/>
        <v>0.79000000000000048</v>
      </c>
      <c r="B81">
        <f t="shared" si="8"/>
        <v>30.790000000000123</v>
      </c>
      <c r="C81">
        <f t="shared" si="6"/>
        <v>3.1873212560024495E-4</v>
      </c>
      <c r="D81">
        <f t="shared" si="5"/>
        <v>2.8058165686218223E-4</v>
      </c>
      <c r="E81" s="3">
        <f t="shared" si="7"/>
        <v>13197.146485805604</v>
      </c>
    </row>
    <row r="82" spans="1:5" x14ac:dyDescent="0.3">
      <c r="A82">
        <f t="shared" si="8"/>
        <v>0.80000000000000049</v>
      </c>
      <c r="B82">
        <f t="shared" si="8"/>
        <v>30.800000000000125</v>
      </c>
      <c r="C82">
        <f t="shared" si="6"/>
        <v>3.1884760476658211E-4</v>
      </c>
      <c r="D82">
        <f t="shared" si="5"/>
        <v>2.8097919904492697E-4</v>
      </c>
      <c r="E82" s="3">
        <f t="shared" si="7"/>
        <v>13227.181791515333</v>
      </c>
    </row>
    <row r="83" spans="1:5" x14ac:dyDescent="0.3">
      <c r="A83">
        <f t="shared" si="8"/>
        <v>0.8100000000000005</v>
      </c>
      <c r="B83">
        <f t="shared" si="8"/>
        <v>30.810000000000127</v>
      </c>
      <c r="C83">
        <f t="shared" si="6"/>
        <v>3.1896321899977601E-4</v>
      </c>
      <c r="D83">
        <f t="shared" si="5"/>
        <v>2.813773867275072E-4</v>
      </c>
      <c r="E83" s="3">
        <f t="shared" si="7"/>
        <v>13257.228850662346</v>
      </c>
    </row>
    <row r="84" spans="1:5" x14ac:dyDescent="0.3">
      <c r="A84">
        <f t="shared" si="8"/>
        <v>0.82000000000000051</v>
      </c>
      <c r="B84">
        <f t="shared" si="8"/>
        <v>30.820000000000128</v>
      </c>
      <c r="C84">
        <f t="shared" si="6"/>
        <v>3.1907896845780352E-4</v>
      </c>
      <c r="D84">
        <f t="shared" si="5"/>
        <v>2.8177622109418557E-4</v>
      </c>
      <c r="E84" s="3">
        <f t="shared" si="7"/>
        <v>13287.287667659975</v>
      </c>
    </row>
    <row r="85" spans="1:5" x14ac:dyDescent="0.3">
      <c r="A85">
        <f t="shared" si="8"/>
        <v>0.83000000000000052</v>
      </c>
      <c r="B85">
        <f t="shared" si="8"/>
        <v>30.83000000000013</v>
      </c>
      <c r="C85">
        <f t="shared" si="6"/>
        <v>3.1919485329882658E-4</v>
      </c>
      <c r="D85">
        <f t="shared" si="5"/>
        <v>2.8217570333159442E-4</v>
      </c>
      <c r="E85" s="3">
        <f t="shared" si="7"/>
        <v>13317.35824692302</v>
      </c>
    </row>
    <row r="86" spans="1:5" x14ac:dyDescent="0.3">
      <c r="A86">
        <f t="shared" si="8"/>
        <v>0.84000000000000052</v>
      </c>
      <c r="B86">
        <f t="shared" si="8"/>
        <v>30.840000000000131</v>
      </c>
      <c r="C86">
        <f t="shared" si="6"/>
        <v>3.1931087368119201E-4</v>
      </c>
      <c r="D86">
        <f t="shared" si="5"/>
        <v>2.8257583462874028E-4</v>
      </c>
      <c r="E86" s="3">
        <f t="shared" si="7"/>
        <v>13347.440592867757</v>
      </c>
    </row>
    <row r="87" spans="1:5" x14ac:dyDescent="0.3">
      <c r="A87">
        <f t="shared" si="8"/>
        <v>0.85000000000000053</v>
      </c>
      <c r="B87">
        <f t="shared" si="8"/>
        <v>30.850000000000133</v>
      </c>
      <c r="C87">
        <f t="shared" si="6"/>
        <v>3.1942702976343169E-4</v>
      </c>
      <c r="D87">
        <f t="shared" ref="D87:D150" si="9">IF(A87&lt;=2, (0.9)^(2-A87)*C87, C87)</f>
        <v>2.8297661617700893E-4</v>
      </c>
      <c r="E87" s="3">
        <f t="shared" si="7"/>
        <v>13377.534709911932</v>
      </c>
    </row>
    <row r="88" spans="1:5" x14ac:dyDescent="0.3">
      <c r="A88">
        <f t="shared" si="8"/>
        <v>0.86000000000000054</v>
      </c>
      <c r="B88">
        <f t="shared" si="8"/>
        <v>30.860000000000134</v>
      </c>
      <c r="C88">
        <f t="shared" si="6"/>
        <v>3.195433217042631E-4</v>
      </c>
      <c r="D88">
        <f t="shared" si="9"/>
        <v>2.8337804917017085E-4</v>
      </c>
      <c r="E88" s="3">
        <f t="shared" si="7"/>
        <v>13407.640602474768</v>
      </c>
    </row>
    <row r="89" spans="1:5" x14ac:dyDescent="0.3">
      <c r="A89">
        <f t="shared" si="8"/>
        <v>0.87000000000000055</v>
      </c>
      <c r="B89">
        <f t="shared" si="8"/>
        <v>30.870000000000136</v>
      </c>
      <c r="C89">
        <f t="shared" si="6"/>
        <v>3.196597496625893E-4</v>
      </c>
      <c r="D89">
        <f t="shared" si="9"/>
        <v>2.8378013480438561E-4</v>
      </c>
      <c r="E89" s="3">
        <f t="shared" si="7"/>
        <v>13437.758274976964</v>
      </c>
    </row>
    <row r="90" spans="1:5" x14ac:dyDescent="0.3">
      <c r="A90">
        <f t="shared" si="8"/>
        <v>0.88000000000000056</v>
      </c>
      <c r="B90">
        <f t="shared" si="8"/>
        <v>30.880000000000138</v>
      </c>
      <c r="C90">
        <f t="shared" si="6"/>
        <v>3.1977631379749918E-4</v>
      </c>
      <c r="D90">
        <f t="shared" si="9"/>
        <v>2.8418287427820746E-4</v>
      </c>
      <c r="E90" s="3">
        <f t="shared" si="7"/>
        <v>13467.887731840698</v>
      </c>
    </row>
    <row r="91" spans="1:5" x14ac:dyDescent="0.3">
      <c r="A91">
        <f t="shared" si="8"/>
        <v>0.89000000000000057</v>
      </c>
      <c r="B91">
        <f t="shared" si="8"/>
        <v>30.890000000000139</v>
      </c>
      <c r="C91">
        <f t="shared" si="6"/>
        <v>3.1989301426826774E-4</v>
      </c>
      <c r="D91">
        <f t="shared" si="9"/>
        <v>2.8458626879258989E-4</v>
      </c>
      <c r="E91" s="3">
        <f t="shared" si="7"/>
        <v>13498.028977489615</v>
      </c>
    </row>
    <row r="92" spans="1:5" x14ac:dyDescent="0.3">
      <c r="A92">
        <f t="shared" si="8"/>
        <v>0.90000000000000058</v>
      </c>
      <c r="B92">
        <f t="shared" si="8"/>
        <v>30.900000000000141</v>
      </c>
      <c r="C92">
        <f t="shared" si="6"/>
        <v>3.2000985123435634E-4</v>
      </c>
      <c r="D92">
        <f t="shared" si="9"/>
        <v>2.8499031955089122E-4</v>
      </c>
      <c r="E92" s="3">
        <f t="shared" si="7"/>
        <v>13528.182016348846</v>
      </c>
    </row>
    <row r="93" spans="1:5" x14ac:dyDescent="0.3">
      <c r="A93">
        <f t="shared" si="8"/>
        <v>0.91000000000000059</v>
      </c>
      <c r="B93">
        <f t="shared" si="8"/>
        <v>30.910000000000142</v>
      </c>
      <c r="C93">
        <f t="shared" si="6"/>
        <v>3.201268248554126E-4</v>
      </c>
      <c r="D93">
        <f t="shared" si="9"/>
        <v>2.8539502775887905E-4</v>
      </c>
      <c r="E93" s="3">
        <f t="shared" si="7"/>
        <v>13558.34685284499</v>
      </c>
    </row>
    <row r="94" spans="1:5" x14ac:dyDescent="0.3">
      <c r="A94">
        <f t="shared" si="8"/>
        <v>0.9200000000000006</v>
      </c>
      <c r="B94">
        <f t="shared" si="8"/>
        <v>30.920000000000144</v>
      </c>
      <c r="C94">
        <f t="shared" si="6"/>
        <v>3.2024393529127125E-4</v>
      </c>
      <c r="D94">
        <f t="shared" si="9"/>
        <v>2.85800394624736E-4</v>
      </c>
      <c r="E94" s="3">
        <f t="shared" si="7"/>
        <v>13588.523491406135</v>
      </c>
    </row>
    <row r="95" spans="1:5" x14ac:dyDescent="0.3">
      <c r="A95">
        <f t="shared" si="8"/>
        <v>0.9300000000000006</v>
      </c>
      <c r="B95">
        <f t="shared" si="8"/>
        <v>30.930000000000145</v>
      </c>
      <c r="C95">
        <f t="shared" si="6"/>
        <v>3.2036118270195363E-4</v>
      </c>
      <c r="D95">
        <f t="shared" si="9"/>
        <v>2.8620642135906429E-4</v>
      </c>
      <c r="E95" s="3">
        <f t="shared" si="7"/>
        <v>13618.711936461834</v>
      </c>
    </row>
    <row r="96" spans="1:5" x14ac:dyDescent="0.3">
      <c r="A96">
        <f t="shared" si="8"/>
        <v>0.94000000000000061</v>
      </c>
      <c r="B96">
        <f t="shared" si="8"/>
        <v>30.940000000000147</v>
      </c>
      <c r="C96">
        <f t="shared" si="6"/>
        <v>3.2047856724766834E-4</v>
      </c>
      <c r="D96">
        <f t="shared" si="9"/>
        <v>2.8661310917489093E-4</v>
      </c>
      <c r="E96" s="3">
        <f t="shared" si="7"/>
        <v>13648.912192443129</v>
      </c>
    </row>
    <row r="97" spans="1:5" x14ac:dyDescent="0.3">
      <c r="A97">
        <f t="shared" si="8"/>
        <v>0.95000000000000062</v>
      </c>
      <c r="B97">
        <f t="shared" si="8"/>
        <v>30.950000000000149</v>
      </c>
      <c r="C97">
        <f t="shared" si="6"/>
        <v>3.2059608908881145E-4</v>
      </c>
      <c r="D97">
        <f t="shared" si="9"/>
        <v>2.8702045928767308E-4</v>
      </c>
      <c r="E97" s="3">
        <f t="shared" si="7"/>
        <v>13679.124263782536</v>
      </c>
    </row>
    <row r="98" spans="1:5" x14ac:dyDescent="0.3">
      <c r="A98">
        <f t="shared" si="8"/>
        <v>0.96000000000000063</v>
      </c>
      <c r="B98">
        <f t="shared" si="8"/>
        <v>30.96000000000015</v>
      </c>
      <c r="C98">
        <f t="shared" si="6"/>
        <v>3.2071374838596656E-4</v>
      </c>
      <c r="D98">
        <f t="shared" si="9"/>
        <v>2.8742847291530306E-4</v>
      </c>
      <c r="E98" s="3">
        <f t="shared" si="7"/>
        <v>13709.348154914051</v>
      </c>
    </row>
    <row r="99" spans="1:5" x14ac:dyDescent="0.3">
      <c r="A99">
        <f t="shared" si="8"/>
        <v>0.97000000000000064</v>
      </c>
      <c r="B99">
        <f t="shared" si="8"/>
        <v>30.970000000000152</v>
      </c>
      <c r="C99">
        <f t="shared" si="6"/>
        <v>3.208315452999051E-4</v>
      </c>
      <c r="D99">
        <f t="shared" si="9"/>
        <v>2.8783715127811323E-4</v>
      </c>
      <c r="E99" s="3">
        <f t="shared" si="7"/>
        <v>13739.583870273149</v>
      </c>
    </row>
    <row r="100" spans="1:5" x14ac:dyDescent="0.3">
      <c r="A100">
        <f t="shared" si="8"/>
        <v>0.98000000000000065</v>
      </c>
      <c r="B100">
        <f t="shared" si="8"/>
        <v>30.980000000000153</v>
      </c>
      <c r="C100">
        <f t="shared" si="6"/>
        <v>3.2094947999158658E-4</v>
      </c>
      <c r="D100">
        <f t="shared" si="9"/>
        <v>2.8824649559888157E-4</v>
      </c>
      <c r="E100" s="3">
        <f t="shared" si="7"/>
        <v>13769.831414296788</v>
      </c>
    </row>
    <row r="101" spans="1:5" x14ac:dyDescent="0.3">
      <c r="A101">
        <f t="shared" si="8"/>
        <v>0.99000000000000066</v>
      </c>
      <c r="B101">
        <f t="shared" si="8"/>
        <v>30.990000000000155</v>
      </c>
      <c r="C101">
        <f t="shared" si="6"/>
        <v>3.2106755262215878E-4</v>
      </c>
      <c r="D101">
        <f t="shared" si="9"/>
        <v>2.8865650710283648E-4</v>
      </c>
      <c r="E101" s="3">
        <f t="shared" si="7"/>
        <v>13800.09079142341</v>
      </c>
    </row>
    <row r="102" spans="1:5" x14ac:dyDescent="0.3">
      <c r="A102">
        <f t="shared" si="8"/>
        <v>1.0000000000000007</v>
      </c>
      <c r="B102">
        <f t="shared" si="8"/>
        <v>31.000000000000156</v>
      </c>
      <c r="C102">
        <f t="shared" si="6"/>
        <v>3.2118576335295776E-4</v>
      </c>
      <c r="D102">
        <f t="shared" si="9"/>
        <v>2.8906718701766205E-4</v>
      </c>
      <c r="E102" s="3">
        <f t="shared" si="7"/>
        <v>13830.362006092932</v>
      </c>
    </row>
    <row r="103" spans="1:5" x14ac:dyDescent="0.3">
      <c r="A103">
        <f t="shared" si="8"/>
        <v>1.0100000000000007</v>
      </c>
      <c r="B103">
        <f t="shared" si="8"/>
        <v>31.010000000000158</v>
      </c>
      <c r="C103">
        <f t="shared" si="6"/>
        <v>3.2130411234550856E-4</v>
      </c>
      <c r="D103">
        <f t="shared" si="9"/>
        <v>2.8947853657350326E-4</v>
      </c>
      <c r="E103" s="3">
        <f t="shared" si="7"/>
        <v>13860.645062746755</v>
      </c>
    </row>
    <row r="104" spans="1:5" x14ac:dyDescent="0.3">
      <c r="A104">
        <f t="shared" si="8"/>
        <v>1.0200000000000007</v>
      </c>
      <c r="B104">
        <f t="shared" si="8"/>
        <v>31.020000000000159</v>
      </c>
      <c r="C104">
        <f t="shared" si="6"/>
        <v>3.2142259976152508E-4</v>
      </c>
      <c r="D104">
        <f t="shared" si="9"/>
        <v>2.8989055700297147E-4</v>
      </c>
      <c r="E104" s="3">
        <f t="shared" si="7"/>
        <v>13890.939965827765</v>
      </c>
    </row>
    <row r="105" spans="1:5" x14ac:dyDescent="0.3">
      <c r="A105">
        <f t="shared" si="8"/>
        <v>1.0300000000000007</v>
      </c>
      <c r="B105">
        <f t="shared" si="8"/>
        <v>31.030000000000161</v>
      </c>
      <c r="C105">
        <f t="shared" si="6"/>
        <v>3.2154122576291021E-4</v>
      </c>
      <c r="D105">
        <f t="shared" si="9"/>
        <v>2.9030324954114887E-4</v>
      </c>
      <c r="E105" s="3">
        <f t="shared" si="7"/>
        <v>13921.246719780333</v>
      </c>
    </row>
    <row r="106" spans="1:5" x14ac:dyDescent="0.3">
      <c r="A106">
        <f t="shared" si="8"/>
        <v>1.0400000000000007</v>
      </c>
      <c r="B106">
        <f t="shared" si="8"/>
        <v>31.040000000000163</v>
      </c>
      <c r="C106">
        <f t="shared" si="6"/>
        <v>3.2165999051175629E-4</v>
      </c>
      <c r="D106">
        <f t="shared" si="9"/>
        <v>2.9071661542559444E-4</v>
      </c>
      <c r="E106" s="3">
        <f t="shared" si="7"/>
        <v>13951.565329050309</v>
      </c>
    </row>
    <row r="107" spans="1:5" x14ac:dyDescent="0.3">
      <c r="A107">
        <f t="shared" si="8"/>
        <v>1.0500000000000007</v>
      </c>
      <c r="B107">
        <f t="shared" si="8"/>
        <v>31.050000000000164</v>
      </c>
      <c r="C107">
        <f t="shared" si="6"/>
        <v>3.2177889417034535E-4</v>
      </c>
      <c r="D107">
        <f t="shared" si="9"/>
        <v>2.9113065589634891E-4</v>
      </c>
      <c r="E107" s="3">
        <f t="shared" si="7"/>
        <v>13981.895798085026</v>
      </c>
    </row>
    <row r="108" spans="1:5" x14ac:dyDescent="0.3">
      <c r="A108">
        <f t="shared" si="8"/>
        <v>1.0600000000000007</v>
      </c>
      <c r="B108">
        <f t="shared" si="8"/>
        <v>31.060000000000166</v>
      </c>
      <c r="C108">
        <f t="shared" si="6"/>
        <v>3.2189793690114908E-4</v>
      </c>
      <c r="D108">
        <f t="shared" si="9"/>
        <v>2.915453721959398E-4</v>
      </c>
      <c r="E108" s="3">
        <f t="shared" si="7"/>
        <v>14012.238131333306</v>
      </c>
    </row>
    <row r="109" spans="1:5" x14ac:dyDescent="0.3">
      <c r="A109">
        <f t="shared" si="8"/>
        <v>1.0700000000000007</v>
      </c>
      <c r="B109">
        <f t="shared" si="8"/>
        <v>31.070000000000167</v>
      </c>
      <c r="C109">
        <f t="shared" si="6"/>
        <v>3.2201711886682927E-4</v>
      </c>
      <c r="D109">
        <f t="shared" si="9"/>
        <v>2.9196076556938698E-4</v>
      </c>
      <c r="E109" s="3">
        <f t="shared" si="7"/>
        <v>14042.592333245457</v>
      </c>
    </row>
    <row r="110" spans="1:5" x14ac:dyDescent="0.3">
      <c r="A110">
        <f t="shared" si="8"/>
        <v>1.0800000000000007</v>
      </c>
      <c r="B110">
        <f t="shared" si="8"/>
        <v>31.080000000000169</v>
      </c>
      <c r="C110">
        <f t="shared" si="6"/>
        <v>3.2213644023023805E-4</v>
      </c>
      <c r="D110">
        <f t="shared" si="9"/>
        <v>2.9237683726420779E-4</v>
      </c>
      <c r="E110" s="3">
        <f t="shared" si="7"/>
        <v>14072.958408273265</v>
      </c>
    </row>
    <row r="111" spans="1:5" x14ac:dyDescent="0.3">
      <c r="A111">
        <f t="shared" si="8"/>
        <v>1.0900000000000007</v>
      </c>
      <c r="B111">
        <f t="shared" si="8"/>
        <v>31.09000000000017</v>
      </c>
      <c r="C111">
        <f t="shared" si="6"/>
        <v>3.2225590115441777E-4</v>
      </c>
      <c r="D111">
        <f t="shared" si="9"/>
        <v>2.9279358853042211E-4</v>
      </c>
      <c r="E111" s="3">
        <f t="shared" si="7"/>
        <v>14103.336360870015</v>
      </c>
    </row>
    <row r="112" spans="1:5" x14ac:dyDescent="0.3">
      <c r="A112">
        <f t="shared" si="8"/>
        <v>1.1000000000000008</v>
      </c>
      <c r="B112">
        <f t="shared" si="8"/>
        <v>31.100000000000172</v>
      </c>
      <c r="C112">
        <f t="shared" si="6"/>
        <v>3.2237550180260171E-4</v>
      </c>
      <c r="D112">
        <f t="shared" si="9"/>
        <v>2.9321102062055798E-4</v>
      </c>
      <c r="E112" s="3">
        <f t="shared" si="7"/>
        <v>14133.726195490464</v>
      </c>
    </row>
    <row r="113" spans="1:5" x14ac:dyDescent="0.3">
      <c r="A113">
        <f t="shared" si="8"/>
        <v>1.1100000000000008</v>
      </c>
      <c r="B113">
        <f t="shared" si="8"/>
        <v>31.110000000000174</v>
      </c>
      <c r="C113">
        <f t="shared" si="6"/>
        <v>3.2249524233821401E-4</v>
      </c>
      <c r="D113">
        <f t="shared" si="9"/>
        <v>2.9362913478965682E-4</v>
      </c>
      <c r="E113" s="3">
        <f t="shared" si="7"/>
        <v>14164.127916590869</v>
      </c>
    </row>
    <row r="114" spans="1:5" x14ac:dyDescent="0.3">
      <c r="A114">
        <f t="shared" si="8"/>
        <v>1.1200000000000008</v>
      </c>
      <c r="B114">
        <f t="shared" si="8"/>
        <v>31.120000000000175</v>
      </c>
      <c r="C114">
        <f t="shared" si="6"/>
        <v>3.2261512292486994E-4</v>
      </c>
      <c r="D114">
        <f t="shared" si="9"/>
        <v>2.940479322952786E-4</v>
      </c>
      <c r="E114" s="3">
        <f t="shared" si="7"/>
        <v>14194.541528628966</v>
      </c>
    </row>
    <row r="115" spans="1:5" x14ac:dyDescent="0.3">
      <c r="A115">
        <f t="shared" si="8"/>
        <v>1.1300000000000008</v>
      </c>
      <c r="B115">
        <f t="shared" si="8"/>
        <v>31.130000000000177</v>
      </c>
      <c r="C115">
        <f t="shared" si="6"/>
        <v>3.2273514372637612E-4</v>
      </c>
      <c r="D115">
        <f t="shared" si="9"/>
        <v>2.9446741439750722E-4</v>
      </c>
      <c r="E115" s="3">
        <f t="shared" si="7"/>
        <v>14224.967036063985</v>
      </c>
    </row>
    <row r="116" spans="1:5" x14ac:dyDescent="0.3">
      <c r="A116">
        <f t="shared" si="8"/>
        <v>1.1400000000000008</v>
      </c>
      <c r="B116">
        <f t="shared" si="8"/>
        <v>31.140000000000178</v>
      </c>
      <c r="C116">
        <f t="shared" si="6"/>
        <v>3.2285530490673082E-4</v>
      </c>
      <c r="D116">
        <f t="shared" si="9"/>
        <v>2.9488758235895573E-4</v>
      </c>
      <c r="E116" s="3">
        <f t="shared" si="7"/>
        <v>14255.404443356643</v>
      </c>
    </row>
    <row r="117" spans="1:5" x14ac:dyDescent="0.3">
      <c r="A117">
        <f t="shared" si="8"/>
        <v>1.1500000000000008</v>
      </c>
      <c r="B117">
        <f t="shared" si="8"/>
        <v>31.15000000000018</v>
      </c>
      <c r="C117">
        <f t="shared" si="6"/>
        <v>3.2297560663012404E-4</v>
      </c>
      <c r="D117">
        <f t="shared" si="9"/>
        <v>2.9530843744477191E-4</v>
      </c>
      <c r="E117" s="3">
        <f t="shared" si="7"/>
        <v>14285.853754969145</v>
      </c>
    </row>
    <row r="118" spans="1:5" x14ac:dyDescent="0.3">
      <c r="A118">
        <f t="shared" si="8"/>
        <v>1.1600000000000008</v>
      </c>
      <c r="B118">
        <f t="shared" si="8"/>
        <v>31.160000000000181</v>
      </c>
      <c r="C118">
        <f t="shared" si="6"/>
        <v>3.2309604906093786E-4</v>
      </c>
      <c r="D118">
        <f t="shared" si="9"/>
        <v>2.9572998092264341E-4</v>
      </c>
      <c r="E118" s="3">
        <f t="shared" si="7"/>
        <v>14316.314975365185</v>
      </c>
    </row>
    <row r="119" spans="1:5" x14ac:dyDescent="0.3">
      <c r="A119">
        <f t="shared" si="8"/>
        <v>1.1700000000000008</v>
      </c>
      <c r="B119">
        <f t="shared" si="8"/>
        <v>31.170000000000183</v>
      </c>
      <c r="C119">
        <f t="shared" si="6"/>
        <v>3.2321663236374674E-4</v>
      </c>
      <c r="D119">
        <f t="shared" si="9"/>
        <v>2.9615221406280323E-4</v>
      </c>
      <c r="E119" s="3">
        <f t="shared" si="7"/>
        <v>14346.788109009954</v>
      </c>
    </row>
    <row r="120" spans="1:5" x14ac:dyDescent="0.3">
      <c r="A120">
        <f t="shared" si="8"/>
        <v>1.1800000000000008</v>
      </c>
      <c r="B120">
        <f t="shared" si="8"/>
        <v>31.180000000000184</v>
      </c>
      <c r="C120">
        <f t="shared" si="6"/>
        <v>3.2333735670331737E-4</v>
      </c>
      <c r="D120">
        <f t="shared" si="9"/>
        <v>2.9657513813803501E-4</v>
      </c>
      <c r="E120" s="3">
        <f t="shared" si="7"/>
        <v>14377.273160370127</v>
      </c>
    </row>
    <row r="121" spans="1:5" x14ac:dyDescent="0.3">
      <c r="A121">
        <f t="shared" si="8"/>
        <v>1.1900000000000008</v>
      </c>
      <c r="B121">
        <f t="shared" si="8"/>
        <v>31.190000000000186</v>
      </c>
      <c r="C121">
        <f t="shared" si="6"/>
        <v>3.2345822224460937E-4</v>
      </c>
      <c r="D121">
        <f t="shared" si="9"/>
        <v>2.9699875442367845E-4</v>
      </c>
      <c r="E121" s="3">
        <f t="shared" si="7"/>
        <v>14407.770133913871</v>
      </c>
    </row>
    <row r="122" spans="1:5" x14ac:dyDescent="0.3">
      <c r="A122">
        <f t="shared" si="8"/>
        <v>1.2000000000000008</v>
      </c>
      <c r="B122">
        <f t="shared" si="8"/>
        <v>31.200000000000188</v>
      </c>
      <c r="C122">
        <f t="shared" si="6"/>
        <v>3.2357922915277531E-4</v>
      </c>
      <c r="D122">
        <f t="shared" si="9"/>
        <v>2.9742306419763484E-4</v>
      </c>
      <c r="E122" s="3">
        <f t="shared" si="7"/>
        <v>14438.279034110852</v>
      </c>
    </row>
    <row r="123" spans="1:5" x14ac:dyDescent="0.3">
      <c r="A123">
        <f t="shared" si="8"/>
        <v>1.2100000000000009</v>
      </c>
      <c r="B123">
        <f t="shared" si="8"/>
        <v>31.210000000000189</v>
      </c>
      <c r="C123">
        <f t="shared" si="6"/>
        <v>3.2370037759316074E-4</v>
      </c>
      <c r="D123">
        <f t="shared" si="9"/>
        <v>2.9784806874037204E-4</v>
      </c>
      <c r="E123" s="3">
        <f t="shared" si="7"/>
        <v>14468.79986543222</v>
      </c>
    </row>
    <row r="124" spans="1:5" x14ac:dyDescent="0.3">
      <c r="A124">
        <f t="shared" si="8"/>
        <v>1.2200000000000009</v>
      </c>
      <c r="B124">
        <f t="shared" si="8"/>
        <v>31.220000000000191</v>
      </c>
      <c r="C124">
        <f t="shared" si="6"/>
        <v>3.2382166773130478E-4</v>
      </c>
      <c r="D124">
        <f t="shared" si="9"/>
        <v>2.982737693349305E-4</v>
      </c>
      <c r="E124" s="3">
        <f t="shared" si="7"/>
        <v>14499.332632350623</v>
      </c>
    </row>
    <row r="125" spans="1:5" x14ac:dyDescent="0.3">
      <c r="A125">
        <f t="shared" si="8"/>
        <v>1.2300000000000009</v>
      </c>
      <c r="B125">
        <f t="shared" si="8"/>
        <v>31.230000000000192</v>
      </c>
      <c r="C125">
        <f t="shared" si="6"/>
        <v>3.239430997329401E-4</v>
      </c>
      <c r="D125">
        <f t="shared" si="9"/>
        <v>2.9870016726692828E-4</v>
      </c>
      <c r="E125" s="3">
        <f t="shared" si="7"/>
        <v>14529.877339340197</v>
      </c>
    </row>
    <row r="126" spans="1:5" x14ac:dyDescent="0.3">
      <c r="A126">
        <f t="shared" si="8"/>
        <v>1.2400000000000009</v>
      </c>
      <c r="B126">
        <f t="shared" si="8"/>
        <v>31.240000000000194</v>
      </c>
      <c r="C126">
        <f t="shared" si="6"/>
        <v>3.2406467376399316E-4</v>
      </c>
      <c r="D126">
        <f t="shared" si="9"/>
        <v>2.9912726382456647E-4</v>
      </c>
      <c r="E126" s="3">
        <f t="shared" si="7"/>
        <v>14560.433990876583</v>
      </c>
    </row>
    <row r="127" spans="1:5" x14ac:dyDescent="0.3">
      <c r="A127">
        <f t="shared" si="8"/>
        <v>1.2500000000000009</v>
      </c>
      <c r="B127">
        <f t="shared" si="8"/>
        <v>31.250000000000195</v>
      </c>
      <c r="C127">
        <f t="shared" si="6"/>
        <v>3.241863899905846E-4</v>
      </c>
      <c r="D127">
        <f t="shared" si="9"/>
        <v>2.9955506029863502E-4</v>
      </c>
      <c r="E127" s="3">
        <f t="shared" si="7"/>
        <v>14591.002591436907</v>
      </c>
    </row>
    <row r="128" spans="1:5" x14ac:dyDescent="0.3">
      <c r="A128">
        <f t="shared" si="8"/>
        <v>1.2600000000000009</v>
      </c>
      <c r="B128">
        <f t="shared" si="8"/>
        <v>31.260000000000197</v>
      </c>
      <c r="C128">
        <f t="shared" si="6"/>
        <v>3.2430824857902936E-4</v>
      </c>
      <c r="D128">
        <f t="shared" si="9"/>
        <v>2.9998355798251781E-4</v>
      </c>
      <c r="E128" s="3">
        <f t="shared" si="7"/>
        <v>14621.583145499791</v>
      </c>
    </row>
    <row r="129" spans="1:5" x14ac:dyDescent="0.3">
      <c r="A129">
        <f t="shared" si="8"/>
        <v>1.2700000000000009</v>
      </c>
      <c r="B129">
        <f t="shared" si="8"/>
        <v>31.270000000000199</v>
      </c>
      <c r="C129">
        <f t="shared" si="6"/>
        <v>3.2443024969583672E-4</v>
      </c>
      <c r="D129">
        <f t="shared" si="9"/>
        <v>3.0041275817219821E-4</v>
      </c>
      <c r="E129" s="3">
        <f t="shared" si="7"/>
        <v>14652.17565754536</v>
      </c>
    </row>
    <row r="130" spans="1:5" x14ac:dyDescent="0.3">
      <c r="A130">
        <f t="shared" si="8"/>
        <v>1.2800000000000009</v>
      </c>
      <c r="B130">
        <f t="shared" si="8"/>
        <v>31.2800000000002</v>
      </c>
      <c r="C130">
        <f t="shared" si="6"/>
        <v>3.2455239350771093E-4</v>
      </c>
      <c r="D130">
        <f t="shared" si="9"/>
        <v>3.0084266216626486E-4</v>
      </c>
      <c r="E130" s="3">
        <f t="shared" si="7"/>
        <v>14682.780132055232</v>
      </c>
    </row>
    <row r="131" spans="1:5" x14ac:dyDescent="0.3">
      <c r="A131">
        <f t="shared" si="8"/>
        <v>1.2900000000000009</v>
      </c>
      <c r="B131">
        <f t="shared" si="8"/>
        <v>31.290000000000202</v>
      </c>
      <c r="C131">
        <f t="shared" ref="C131:C194" si="10">$N$2 + $N$3*$N$4^(B131)</f>
        <v>3.2467468018155117E-4</v>
      </c>
      <c r="D131">
        <f t="shared" si="9"/>
        <v>3.0127327126591681E-4</v>
      </c>
      <c r="E131" s="3">
        <f t="shared" ref="E131:E194" si="11">IF(ROUND(A131, 2)=$N$10,$N$6,(E132-$N$5*($N$7-$N$8-($N$6+$N$9)*D131))/(1+$N$5*$N$11+$N$5*D131))</f>
        <v>14713.396573512517</v>
      </c>
    </row>
    <row r="132" spans="1:5" x14ac:dyDescent="0.3">
      <c r="A132">
        <f t="shared" ref="A132:B195" si="12">A131+$N$5</f>
        <v>1.3000000000000009</v>
      </c>
      <c r="B132">
        <f t="shared" si="12"/>
        <v>31.300000000000203</v>
      </c>
      <c r="C132">
        <f t="shared" si="10"/>
        <v>3.2479710988445173E-4</v>
      </c>
      <c r="D132">
        <f t="shared" si="9"/>
        <v>3.0170458677496924E-4</v>
      </c>
      <c r="E132" s="3">
        <f t="shared" si="11"/>
        <v>14744.024986401828</v>
      </c>
    </row>
    <row r="133" spans="1:5" x14ac:dyDescent="0.3">
      <c r="A133">
        <f t="shared" si="12"/>
        <v>1.3100000000000009</v>
      </c>
      <c r="B133">
        <f t="shared" si="12"/>
        <v>31.310000000000205</v>
      </c>
      <c r="C133">
        <f t="shared" si="10"/>
        <v>3.2491968278370231E-4</v>
      </c>
      <c r="D133">
        <f t="shared" si="9"/>
        <v>3.0213660999985873E-4</v>
      </c>
      <c r="E133" s="3">
        <f t="shared" si="11"/>
        <v>14774.665375209273</v>
      </c>
    </row>
    <row r="134" spans="1:5" x14ac:dyDescent="0.3">
      <c r="A134">
        <f t="shared" si="12"/>
        <v>1.320000000000001</v>
      </c>
      <c r="B134">
        <f t="shared" si="12"/>
        <v>31.320000000000206</v>
      </c>
      <c r="C134">
        <f t="shared" si="10"/>
        <v>3.2504239904678861E-4</v>
      </c>
      <c r="D134">
        <f t="shared" si="9"/>
        <v>3.0256934224964945E-4</v>
      </c>
      <c r="E134" s="3">
        <f t="shared" si="11"/>
        <v>14805.31774442246</v>
      </c>
    </row>
    <row r="135" spans="1:5" x14ac:dyDescent="0.3">
      <c r="A135">
        <f t="shared" si="12"/>
        <v>1.330000000000001</v>
      </c>
      <c r="B135">
        <f t="shared" si="12"/>
        <v>31.330000000000208</v>
      </c>
      <c r="C135">
        <f t="shared" si="10"/>
        <v>3.2516525884139177E-4</v>
      </c>
      <c r="D135">
        <f t="shared" si="9"/>
        <v>3.0300278483603771E-4</v>
      </c>
      <c r="E135" s="3">
        <f t="shared" si="11"/>
        <v>14835.982098530496</v>
      </c>
    </row>
    <row r="136" spans="1:5" x14ac:dyDescent="0.3">
      <c r="A136">
        <f t="shared" si="12"/>
        <v>1.340000000000001</v>
      </c>
      <c r="B136">
        <f t="shared" si="12"/>
        <v>31.340000000000209</v>
      </c>
      <c r="C136">
        <f t="shared" si="10"/>
        <v>3.2528826233538933E-4</v>
      </c>
      <c r="D136">
        <f t="shared" si="9"/>
        <v>3.0343693907335844E-4</v>
      </c>
      <c r="E136" s="3">
        <f t="shared" si="11"/>
        <v>14866.658442023989</v>
      </c>
    </row>
    <row r="137" spans="1:5" x14ac:dyDescent="0.3">
      <c r="A137">
        <f t="shared" si="12"/>
        <v>1.350000000000001</v>
      </c>
      <c r="B137">
        <f t="shared" si="12"/>
        <v>31.350000000000211</v>
      </c>
      <c r="C137">
        <f t="shared" si="10"/>
        <v>3.2541140969685517E-4</v>
      </c>
      <c r="D137">
        <f t="shared" si="9"/>
        <v>3.0387180627859027E-4</v>
      </c>
      <c r="E137" s="3">
        <f t="shared" si="11"/>
        <v>14897.346779395042</v>
      </c>
    </row>
    <row r="138" spans="1:5" x14ac:dyDescent="0.3">
      <c r="A138">
        <f t="shared" si="12"/>
        <v>1.360000000000001</v>
      </c>
      <c r="B138">
        <f t="shared" si="12"/>
        <v>31.360000000000213</v>
      </c>
      <c r="C138">
        <f t="shared" si="10"/>
        <v>3.2553470109405959E-4</v>
      </c>
      <c r="D138">
        <f t="shared" si="9"/>
        <v>3.0430738777136122E-4</v>
      </c>
      <c r="E138" s="3">
        <f t="shared" si="11"/>
        <v>14928.047115137268</v>
      </c>
    </row>
    <row r="139" spans="1:5" x14ac:dyDescent="0.3">
      <c r="A139">
        <f t="shared" si="12"/>
        <v>1.370000000000001</v>
      </c>
      <c r="B139">
        <f t="shared" si="12"/>
        <v>31.370000000000214</v>
      </c>
      <c r="C139">
        <f t="shared" si="10"/>
        <v>3.2565813669546988E-4</v>
      </c>
      <c r="D139">
        <f t="shared" si="9"/>
        <v>3.0474368487395438E-4</v>
      </c>
      <c r="E139" s="3">
        <f t="shared" si="11"/>
        <v>14958.759453745773</v>
      </c>
    </row>
    <row r="140" spans="1:5" x14ac:dyDescent="0.3">
      <c r="A140">
        <f t="shared" si="12"/>
        <v>1.380000000000001</v>
      </c>
      <c r="B140">
        <f t="shared" si="12"/>
        <v>31.380000000000216</v>
      </c>
      <c r="C140">
        <f t="shared" si="10"/>
        <v>3.2578171666975038E-4</v>
      </c>
      <c r="D140">
        <f t="shared" si="9"/>
        <v>3.0518069891131348E-4</v>
      </c>
      <c r="E140" s="3">
        <f t="shared" si="11"/>
        <v>14989.483799717167</v>
      </c>
    </row>
    <row r="141" spans="1:5" x14ac:dyDescent="0.3">
      <c r="A141">
        <f t="shared" si="12"/>
        <v>1.390000000000001</v>
      </c>
      <c r="B141">
        <f t="shared" si="12"/>
        <v>31.390000000000217</v>
      </c>
      <c r="C141">
        <f t="shared" si="10"/>
        <v>3.2590544118576243E-4</v>
      </c>
      <c r="D141">
        <f t="shared" si="9"/>
        <v>3.0561843121104827E-4</v>
      </c>
      <c r="E141" s="3">
        <f t="shared" si="11"/>
        <v>15020.220157549566</v>
      </c>
    </row>
    <row r="142" spans="1:5" x14ac:dyDescent="0.3">
      <c r="A142">
        <f t="shared" si="12"/>
        <v>1.400000000000001</v>
      </c>
      <c r="B142">
        <f t="shared" si="12"/>
        <v>31.400000000000219</v>
      </c>
      <c r="C142">
        <f t="shared" si="10"/>
        <v>3.2602931041256526E-4</v>
      </c>
      <c r="D142">
        <f t="shared" si="9"/>
        <v>3.0605688310344071E-4</v>
      </c>
      <c r="E142" s="3">
        <f t="shared" si="11"/>
        <v>15050.968531742583</v>
      </c>
    </row>
    <row r="143" spans="1:5" x14ac:dyDescent="0.3">
      <c r="A143">
        <f t="shared" si="12"/>
        <v>1.410000000000001</v>
      </c>
      <c r="B143">
        <f t="shared" si="12"/>
        <v>31.41000000000022</v>
      </c>
      <c r="C143">
        <f t="shared" si="10"/>
        <v>3.2615332451941566E-4</v>
      </c>
      <c r="D143">
        <f t="shared" si="9"/>
        <v>3.0649605592145016E-4</v>
      </c>
      <c r="E143" s="3">
        <f t="shared" si="11"/>
        <v>15081.728926797341</v>
      </c>
    </row>
    <row r="144" spans="1:5" x14ac:dyDescent="0.3">
      <c r="A144">
        <f t="shared" si="12"/>
        <v>1.420000000000001</v>
      </c>
      <c r="B144">
        <f t="shared" si="12"/>
        <v>31.420000000000222</v>
      </c>
      <c r="C144">
        <f t="shared" si="10"/>
        <v>3.262774836757682E-4</v>
      </c>
      <c r="D144">
        <f t="shared" si="9"/>
        <v>3.0693595100071903E-4</v>
      </c>
      <c r="E144" s="3">
        <f t="shared" si="11"/>
        <v>15112.501347216461</v>
      </c>
    </row>
    <row r="145" spans="1:5" x14ac:dyDescent="0.3">
      <c r="A145">
        <f t="shared" si="12"/>
        <v>1.430000000000001</v>
      </c>
      <c r="B145">
        <f t="shared" si="12"/>
        <v>31.430000000000224</v>
      </c>
      <c r="C145">
        <f t="shared" si="10"/>
        <v>3.2640178805127591E-4</v>
      </c>
      <c r="D145">
        <f t="shared" si="9"/>
        <v>3.0737656967957868E-4</v>
      </c>
      <c r="E145" s="3">
        <f t="shared" si="11"/>
        <v>15143.285797504077</v>
      </c>
    </row>
    <row r="146" spans="1:5" x14ac:dyDescent="0.3">
      <c r="A146">
        <f t="shared" si="12"/>
        <v>1.4400000000000011</v>
      </c>
      <c r="B146">
        <f t="shared" si="12"/>
        <v>31.440000000000225</v>
      </c>
      <c r="C146">
        <f t="shared" si="10"/>
        <v>3.2652623781579022E-4</v>
      </c>
      <c r="D146">
        <f t="shared" si="9"/>
        <v>3.0781791329905509E-4</v>
      </c>
      <c r="E146" s="3">
        <f t="shared" si="11"/>
        <v>15174.08228216582</v>
      </c>
    </row>
    <row r="147" spans="1:5" x14ac:dyDescent="0.3">
      <c r="A147">
        <f t="shared" si="12"/>
        <v>1.4500000000000011</v>
      </c>
      <c r="B147">
        <f t="shared" si="12"/>
        <v>31.450000000000227</v>
      </c>
      <c r="C147">
        <f t="shared" si="10"/>
        <v>3.266508331393611E-4</v>
      </c>
      <c r="D147">
        <f t="shared" si="9"/>
        <v>3.0825998320287444E-4</v>
      </c>
      <c r="E147" s="3">
        <f t="shared" si="11"/>
        <v>15204.890805708828</v>
      </c>
    </row>
    <row r="148" spans="1:5" x14ac:dyDescent="0.3">
      <c r="A148">
        <f t="shared" si="12"/>
        <v>1.4600000000000011</v>
      </c>
      <c r="B148">
        <f t="shared" si="12"/>
        <v>31.460000000000228</v>
      </c>
      <c r="C148">
        <f t="shared" si="10"/>
        <v>3.267755741922375E-4</v>
      </c>
      <c r="D148">
        <f t="shared" si="9"/>
        <v>3.0870278073746876E-4</v>
      </c>
      <c r="E148" s="3">
        <f t="shared" si="11"/>
        <v>15235.711372641752</v>
      </c>
    </row>
    <row r="149" spans="1:5" x14ac:dyDescent="0.3">
      <c r="A149">
        <f t="shared" si="12"/>
        <v>1.4700000000000011</v>
      </c>
      <c r="B149">
        <f t="shared" si="12"/>
        <v>31.47000000000023</v>
      </c>
      <c r="C149">
        <f t="shared" si="10"/>
        <v>3.2690046114486749E-4</v>
      </c>
      <c r="D149">
        <f t="shared" si="9"/>
        <v>3.0914630725198188E-4</v>
      </c>
      <c r="E149" s="3">
        <f t="shared" si="11"/>
        <v>15266.543987474743</v>
      </c>
    </row>
    <row r="150" spans="1:5" x14ac:dyDescent="0.3">
      <c r="A150">
        <f t="shared" si="12"/>
        <v>1.4800000000000011</v>
      </c>
      <c r="B150">
        <f t="shared" si="12"/>
        <v>31.480000000000231</v>
      </c>
      <c r="C150">
        <f t="shared" si="10"/>
        <v>3.2702549416789844E-4</v>
      </c>
      <c r="D150">
        <f t="shared" si="9"/>
        <v>3.0959056409827492E-4</v>
      </c>
      <c r="E150" s="3">
        <f t="shared" si="11"/>
        <v>15297.38865471946</v>
      </c>
    </row>
    <row r="151" spans="1:5" x14ac:dyDescent="0.3">
      <c r="A151">
        <f t="shared" si="12"/>
        <v>1.4900000000000011</v>
      </c>
      <c r="B151">
        <f t="shared" si="12"/>
        <v>31.490000000000233</v>
      </c>
      <c r="C151">
        <f t="shared" si="10"/>
        <v>3.2715067343217733E-4</v>
      </c>
      <c r="D151">
        <f t="shared" ref="D151:D214" si="13">IF(A151&lt;=2, (0.9)^(2-A151)*C151, C151)</f>
        <v>3.1003555263093218E-4</v>
      </c>
      <c r="E151" s="3">
        <f t="shared" si="11"/>
        <v>15328.245378889076</v>
      </c>
    </row>
    <row r="152" spans="1:5" x14ac:dyDescent="0.3">
      <c r="A152">
        <f t="shared" si="12"/>
        <v>1.5000000000000011</v>
      </c>
      <c r="B152">
        <f t="shared" si="12"/>
        <v>31.500000000000234</v>
      </c>
      <c r="C152">
        <f t="shared" si="10"/>
        <v>3.2727599910875105E-4</v>
      </c>
      <c r="D152">
        <f t="shared" si="13"/>
        <v>3.1048127420726701E-4</v>
      </c>
      <c r="E152" s="3">
        <f t="shared" si="11"/>
        <v>15359.114164498269</v>
      </c>
    </row>
    <row r="153" spans="1:5" x14ac:dyDescent="0.3">
      <c r="A153">
        <f t="shared" si="12"/>
        <v>1.5100000000000011</v>
      </c>
      <c r="B153">
        <f t="shared" si="12"/>
        <v>31.510000000000236</v>
      </c>
      <c r="C153">
        <f t="shared" si="10"/>
        <v>3.2740147136886652E-4</v>
      </c>
      <c r="D153">
        <f t="shared" si="13"/>
        <v>3.1092773018732728E-4</v>
      </c>
      <c r="E153" s="3">
        <f t="shared" si="11"/>
        <v>15389.995016063223</v>
      </c>
    </row>
    <row r="154" spans="1:5" x14ac:dyDescent="0.3">
      <c r="A154">
        <f t="shared" si="12"/>
        <v>1.5200000000000011</v>
      </c>
      <c r="B154">
        <f t="shared" si="12"/>
        <v>31.520000000000238</v>
      </c>
      <c r="C154">
        <f t="shared" si="10"/>
        <v>3.2752709038397091E-4</v>
      </c>
      <c r="D154">
        <f t="shared" si="13"/>
        <v>3.113749219339014E-4</v>
      </c>
      <c r="E154" s="3">
        <f t="shared" si="11"/>
        <v>15420.887938101641</v>
      </c>
    </row>
    <row r="155" spans="1:5" x14ac:dyDescent="0.3">
      <c r="A155">
        <f t="shared" si="12"/>
        <v>1.5300000000000011</v>
      </c>
      <c r="B155">
        <f t="shared" si="12"/>
        <v>31.530000000000239</v>
      </c>
      <c r="C155">
        <f t="shared" si="10"/>
        <v>3.2765285632571189E-4</v>
      </c>
      <c r="D155">
        <f t="shared" si="13"/>
        <v>3.1182285081252396E-4</v>
      </c>
      <c r="E155" s="3">
        <f t="shared" si="11"/>
        <v>15451.792935132726</v>
      </c>
    </row>
    <row r="156" spans="1:5" x14ac:dyDescent="0.3">
      <c r="A156">
        <f t="shared" si="12"/>
        <v>1.5400000000000011</v>
      </c>
      <c r="B156">
        <f t="shared" si="12"/>
        <v>31.540000000000241</v>
      </c>
      <c r="C156">
        <f t="shared" si="10"/>
        <v>3.2777876936593796E-4</v>
      </c>
      <c r="D156">
        <f t="shared" si="13"/>
        <v>3.1227151819148167E-4</v>
      </c>
      <c r="E156" s="3">
        <f t="shared" si="11"/>
        <v>15482.710011677198</v>
      </c>
    </row>
    <row r="157" spans="1:5" x14ac:dyDescent="0.3">
      <c r="A157">
        <f t="shared" si="12"/>
        <v>1.5500000000000012</v>
      </c>
      <c r="B157">
        <f t="shared" si="12"/>
        <v>31.550000000000242</v>
      </c>
      <c r="C157">
        <f t="shared" si="10"/>
        <v>3.2790482967669856E-4</v>
      </c>
      <c r="D157">
        <f t="shared" si="13"/>
        <v>3.1272092544181915E-4</v>
      </c>
      <c r="E157" s="3">
        <f t="shared" si="11"/>
        <v>15513.63917225729</v>
      </c>
    </row>
    <row r="158" spans="1:5" x14ac:dyDescent="0.3">
      <c r="A158">
        <f t="shared" si="12"/>
        <v>1.5600000000000012</v>
      </c>
      <c r="B158">
        <f t="shared" si="12"/>
        <v>31.560000000000244</v>
      </c>
      <c r="C158">
        <f t="shared" si="10"/>
        <v>3.2803103743024451E-4</v>
      </c>
      <c r="D158">
        <f t="shared" si="13"/>
        <v>3.131710739373448E-4</v>
      </c>
      <c r="E158" s="3">
        <f t="shared" si="11"/>
        <v>15544.58042139674</v>
      </c>
    </row>
    <row r="159" spans="1:5" x14ac:dyDescent="0.3">
      <c r="A159">
        <f t="shared" si="12"/>
        <v>1.5700000000000012</v>
      </c>
      <c r="B159">
        <f t="shared" si="12"/>
        <v>31.570000000000245</v>
      </c>
      <c r="C159">
        <f t="shared" si="10"/>
        <v>3.2815739279902788E-4</v>
      </c>
      <c r="D159">
        <f t="shared" si="13"/>
        <v>3.136219650546365E-4</v>
      </c>
      <c r="E159" s="3">
        <f t="shared" si="11"/>
        <v>15575.533763620806</v>
      </c>
    </row>
    <row r="160" spans="1:5" x14ac:dyDescent="0.3">
      <c r="A160">
        <f t="shared" si="12"/>
        <v>1.5800000000000012</v>
      </c>
      <c r="B160">
        <f t="shared" si="12"/>
        <v>31.580000000000247</v>
      </c>
      <c r="C160">
        <f t="shared" si="10"/>
        <v>3.2828389595570255E-4</v>
      </c>
      <c r="D160">
        <f t="shared" si="13"/>
        <v>3.1407360017304744E-4</v>
      </c>
      <c r="E160" s="3">
        <f t="shared" si="11"/>
        <v>15606.499203456257</v>
      </c>
    </row>
    <row r="161" spans="1:5" x14ac:dyDescent="0.3">
      <c r="A161">
        <f t="shared" si="12"/>
        <v>1.5900000000000012</v>
      </c>
      <c r="B161">
        <f t="shared" si="12"/>
        <v>31.590000000000249</v>
      </c>
      <c r="C161">
        <f t="shared" si="10"/>
        <v>3.2841054707312444E-4</v>
      </c>
      <c r="D161">
        <f t="shared" si="13"/>
        <v>3.1452598067471251E-4</v>
      </c>
      <c r="E161" s="3">
        <f t="shared" si="11"/>
        <v>15637.476745431373</v>
      </c>
    </row>
    <row r="162" spans="1:5" x14ac:dyDescent="0.3">
      <c r="A162">
        <f t="shared" si="12"/>
        <v>1.6000000000000012</v>
      </c>
      <c r="B162">
        <f t="shared" si="12"/>
        <v>31.60000000000025</v>
      </c>
      <c r="C162">
        <f t="shared" si="10"/>
        <v>3.2853734632435141E-4</v>
      </c>
      <c r="D162">
        <f t="shared" si="13"/>
        <v>3.1497910794455337E-4</v>
      </c>
      <c r="E162" s="3">
        <f t="shared" si="11"/>
        <v>15668.466394075958</v>
      </c>
    </row>
    <row r="163" spans="1:5" x14ac:dyDescent="0.3">
      <c r="A163">
        <f t="shared" si="12"/>
        <v>1.6100000000000012</v>
      </c>
      <c r="B163">
        <f t="shared" si="12"/>
        <v>31.610000000000252</v>
      </c>
      <c r="C163">
        <f t="shared" si="10"/>
        <v>3.2866429388264397E-4</v>
      </c>
      <c r="D163">
        <f t="shared" si="13"/>
        <v>3.1543298337028498E-4</v>
      </c>
      <c r="E163" s="3">
        <f t="shared" si="11"/>
        <v>15699.468153921322</v>
      </c>
    </row>
    <row r="164" spans="1:5" x14ac:dyDescent="0.3">
      <c r="A164">
        <f t="shared" si="12"/>
        <v>1.6200000000000012</v>
      </c>
      <c r="B164">
        <f t="shared" si="12"/>
        <v>31.620000000000253</v>
      </c>
      <c r="C164">
        <f t="shared" si="10"/>
        <v>3.2879138992146517E-4</v>
      </c>
      <c r="D164">
        <f t="shared" si="13"/>
        <v>3.1588760834242135E-4</v>
      </c>
      <c r="E164" s="3">
        <f t="shared" si="11"/>
        <v>15730.482029500292</v>
      </c>
    </row>
    <row r="165" spans="1:5" x14ac:dyDescent="0.3">
      <c r="A165">
        <f t="shared" si="12"/>
        <v>1.6300000000000012</v>
      </c>
      <c r="B165">
        <f t="shared" si="12"/>
        <v>31.630000000000255</v>
      </c>
      <c r="C165">
        <f t="shared" si="10"/>
        <v>3.2891863461448085E-4</v>
      </c>
      <c r="D165">
        <f t="shared" si="13"/>
        <v>3.1634298425428111E-4</v>
      </c>
      <c r="E165" s="3">
        <f t="shared" si="11"/>
        <v>15761.508025347213</v>
      </c>
    </row>
    <row r="166" spans="1:5" x14ac:dyDescent="0.3">
      <c r="A166">
        <f t="shared" si="12"/>
        <v>1.6400000000000012</v>
      </c>
      <c r="B166">
        <f t="shared" si="12"/>
        <v>31.640000000000256</v>
      </c>
      <c r="C166">
        <f t="shared" si="10"/>
        <v>3.2904602813556023E-4</v>
      </c>
      <c r="D166">
        <f t="shared" si="13"/>
        <v>3.167991125019942E-4</v>
      </c>
      <c r="E166" s="3">
        <f t="shared" si="11"/>
        <v>15792.546145997949</v>
      </c>
    </row>
    <row r="167" spans="1:5" x14ac:dyDescent="0.3">
      <c r="A167">
        <f t="shared" si="12"/>
        <v>1.6500000000000012</v>
      </c>
      <c r="B167">
        <f t="shared" si="12"/>
        <v>31.650000000000258</v>
      </c>
      <c r="C167">
        <f t="shared" si="10"/>
        <v>3.2917357065877565E-4</v>
      </c>
      <c r="D167">
        <f t="shared" si="13"/>
        <v>3.1725599448450702E-4</v>
      </c>
      <c r="E167" s="3">
        <f t="shared" si="11"/>
        <v>15823.596395989876</v>
      </c>
    </row>
    <row r="168" spans="1:5" x14ac:dyDescent="0.3">
      <c r="A168">
        <f t="shared" si="12"/>
        <v>1.6600000000000013</v>
      </c>
      <c r="B168">
        <f t="shared" si="12"/>
        <v>31.660000000000259</v>
      </c>
      <c r="C168">
        <f t="shared" si="10"/>
        <v>3.2930126235840312E-4</v>
      </c>
      <c r="D168">
        <f t="shared" si="13"/>
        <v>3.1771363160358878E-4</v>
      </c>
      <c r="E168" s="3">
        <f t="shared" si="11"/>
        <v>15854.658779861895</v>
      </c>
    </row>
    <row r="169" spans="1:5" x14ac:dyDescent="0.3">
      <c r="A169">
        <f t="shared" si="12"/>
        <v>1.6700000000000013</v>
      </c>
      <c r="B169">
        <f t="shared" si="12"/>
        <v>31.670000000000261</v>
      </c>
      <c r="C169">
        <f t="shared" si="10"/>
        <v>3.2942910340892249E-4</v>
      </c>
      <c r="D169">
        <f t="shared" si="13"/>
        <v>3.181720252638376E-4</v>
      </c>
      <c r="E169" s="3">
        <f t="shared" si="11"/>
        <v>15885.733302154422</v>
      </c>
    </row>
    <row r="170" spans="1:5" x14ac:dyDescent="0.3">
      <c r="A170">
        <f t="shared" si="12"/>
        <v>1.6800000000000013</v>
      </c>
      <c r="B170">
        <f t="shared" si="12"/>
        <v>31.680000000000263</v>
      </c>
      <c r="C170">
        <f t="shared" si="10"/>
        <v>3.2955709398501781E-4</v>
      </c>
      <c r="D170">
        <f t="shared" si="13"/>
        <v>3.1863117687268619E-4</v>
      </c>
      <c r="E170" s="3">
        <f t="shared" si="11"/>
        <v>15916.819967409394</v>
      </c>
    </row>
    <row r="171" spans="1:5" x14ac:dyDescent="0.3">
      <c r="A171">
        <f t="shared" si="12"/>
        <v>1.6900000000000013</v>
      </c>
      <c r="B171">
        <f t="shared" si="12"/>
        <v>31.690000000000264</v>
      </c>
      <c r="C171">
        <f t="shared" si="10"/>
        <v>3.2968523426157718E-4</v>
      </c>
      <c r="D171">
        <f t="shared" si="13"/>
        <v>3.1909108784040804E-4</v>
      </c>
      <c r="E171" s="3">
        <f t="shared" si="11"/>
        <v>15947.918780170265</v>
      </c>
    </row>
    <row r="172" spans="1:5" x14ac:dyDescent="0.3">
      <c r="A172">
        <f t="shared" si="12"/>
        <v>1.7000000000000013</v>
      </c>
      <c r="B172">
        <f t="shared" si="12"/>
        <v>31.700000000000266</v>
      </c>
      <c r="C172">
        <f t="shared" si="10"/>
        <v>3.2981352441369355E-4</v>
      </c>
      <c r="D172">
        <f t="shared" si="13"/>
        <v>3.1955175958012347E-4</v>
      </c>
      <c r="E172" s="3">
        <f t="shared" si="11"/>
        <v>15979.029744982015</v>
      </c>
    </row>
    <row r="173" spans="1:5" x14ac:dyDescent="0.3">
      <c r="A173">
        <f t="shared" si="12"/>
        <v>1.7100000000000013</v>
      </c>
      <c r="B173">
        <f t="shared" si="12"/>
        <v>31.710000000000267</v>
      </c>
      <c r="C173">
        <f t="shared" si="10"/>
        <v>3.2994196461666437E-4</v>
      </c>
      <c r="D173">
        <f t="shared" si="13"/>
        <v>3.2001319350780539E-4</v>
      </c>
      <c r="E173" s="3">
        <f t="shared" si="11"/>
        <v>16010.152866391143</v>
      </c>
    </row>
    <row r="174" spans="1:5" x14ac:dyDescent="0.3">
      <c r="A174">
        <f t="shared" si="12"/>
        <v>1.7200000000000013</v>
      </c>
      <c r="B174">
        <f t="shared" si="12"/>
        <v>31.720000000000269</v>
      </c>
      <c r="C174">
        <f t="shared" si="10"/>
        <v>3.3007055504599242E-4</v>
      </c>
      <c r="D174">
        <f t="shared" si="13"/>
        <v>3.2047539104228565E-4</v>
      </c>
      <c r="E174" s="3">
        <f t="shared" si="11"/>
        <v>16041.288148945663</v>
      </c>
    </row>
    <row r="175" spans="1:5" x14ac:dyDescent="0.3">
      <c r="A175">
        <f t="shared" si="12"/>
        <v>1.7300000000000013</v>
      </c>
      <c r="B175">
        <f t="shared" si="12"/>
        <v>31.73000000000027</v>
      </c>
      <c r="C175">
        <f t="shared" si="10"/>
        <v>3.3019929587738546E-4</v>
      </c>
      <c r="D175">
        <f t="shared" si="13"/>
        <v>3.209383536052609E-4</v>
      </c>
      <c r="E175" s="3">
        <f t="shared" si="11"/>
        <v>16072.435597195123</v>
      </c>
    </row>
    <row r="176" spans="1:5" x14ac:dyDescent="0.3">
      <c r="A176">
        <f t="shared" si="12"/>
        <v>1.7400000000000013</v>
      </c>
      <c r="B176">
        <f t="shared" si="12"/>
        <v>31.740000000000272</v>
      </c>
      <c r="C176">
        <f t="shared" si="10"/>
        <v>3.3032818728675708E-4</v>
      </c>
      <c r="D176">
        <f t="shared" si="13"/>
        <v>3.21402082621299E-4</v>
      </c>
      <c r="E176" s="3">
        <f t="shared" si="11"/>
        <v>16103.595215690584</v>
      </c>
    </row>
    <row r="177" spans="1:5" x14ac:dyDescent="0.3">
      <c r="A177">
        <f t="shared" si="12"/>
        <v>1.7500000000000013</v>
      </c>
      <c r="B177">
        <f t="shared" si="12"/>
        <v>31.750000000000274</v>
      </c>
      <c r="C177">
        <f t="shared" si="10"/>
        <v>3.3045722945022622E-4</v>
      </c>
      <c r="D177">
        <f t="shared" si="13"/>
        <v>3.2186657951784427E-4</v>
      </c>
      <c r="E177" s="3">
        <f t="shared" si="11"/>
        <v>16134.767008984638</v>
      </c>
    </row>
    <row r="178" spans="1:5" x14ac:dyDescent="0.3">
      <c r="A178">
        <f t="shared" si="12"/>
        <v>1.7600000000000013</v>
      </c>
      <c r="B178">
        <f t="shared" si="12"/>
        <v>31.760000000000275</v>
      </c>
      <c r="C178">
        <f t="shared" si="10"/>
        <v>3.3058642254411819E-4</v>
      </c>
      <c r="D178">
        <f t="shared" si="13"/>
        <v>3.2233184572522474E-4</v>
      </c>
      <c r="E178" s="3">
        <f t="shared" si="11"/>
        <v>16165.950981631398</v>
      </c>
    </row>
    <row r="179" spans="1:5" x14ac:dyDescent="0.3">
      <c r="A179">
        <f t="shared" si="12"/>
        <v>1.7700000000000014</v>
      </c>
      <c r="B179">
        <f t="shared" si="12"/>
        <v>31.770000000000277</v>
      </c>
      <c r="C179">
        <f t="shared" si="10"/>
        <v>3.3071576674496438E-4</v>
      </c>
      <c r="D179">
        <f t="shared" si="13"/>
        <v>3.2279788267665718E-4</v>
      </c>
      <c r="E179" s="3">
        <f t="shared" si="11"/>
        <v>16197.147138186503</v>
      </c>
    </row>
    <row r="180" spans="1:5" x14ac:dyDescent="0.3">
      <c r="A180">
        <f t="shared" si="12"/>
        <v>1.7800000000000014</v>
      </c>
      <c r="B180">
        <f t="shared" si="12"/>
        <v>31.780000000000278</v>
      </c>
      <c r="C180">
        <f t="shared" si="10"/>
        <v>3.3084526222950257E-4</v>
      </c>
      <c r="D180">
        <f t="shared" si="13"/>
        <v>3.2326469180825405E-4</v>
      </c>
      <c r="E180" s="3">
        <f t="shared" si="11"/>
        <v>16228.355483207115</v>
      </c>
    </row>
    <row r="181" spans="1:5" x14ac:dyDescent="0.3">
      <c r="A181">
        <f t="shared" si="12"/>
        <v>1.7900000000000014</v>
      </c>
      <c r="B181">
        <f t="shared" si="12"/>
        <v>31.79000000000028</v>
      </c>
      <c r="C181">
        <f t="shared" si="10"/>
        <v>3.3097490917467732E-4</v>
      </c>
      <c r="D181">
        <f t="shared" si="13"/>
        <v>3.2373227455902891E-4</v>
      </c>
      <c r="E181" s="3">
        <f t="shared" si="11"/>
        <v>16259.576021251929</v>
      </c>
    </row>
    <row r="182" spans="1:5" x14ac:dyDescent="0.3">
      <c r="A182">
        <f t="shared" si="12"/>
        <v>1.8000000000000014</v>
      </c>
      <c r="B182">
        <f t="shared" si="12"/>
        <v>31.800000000000281</v>
      </c>
      <c r="C182">
        <f t="shared" si="10"/>
        <v>3.3110470775764034E-4</v>
      </c>
      <c r="D182">
        <f t="shared" si="13"/>
        <v>3.2420063237090338E-4</v>
      </c>
      <c r="E182" s="3">
        <f t="shared" si="11"/>
        <v>16290.808756881159</v>
      </c>
    </row>
    <row r="183" spans="1:5" x14ac:dyDescent="0.3">
      <c r="A183">
        <f t="shared" si="12"/>
        <v>1.8100000000000014</v>
      </c>
      <c r="B183">
        <f t="shared" si="12"/>
        <v>31.810000000000283</v>
      </c>
      <c r="C183">
        <f t="shared" si="10"/>
        <v>3.3123465815575024E-4</v>
      </c>
      <c r="D183">
        <f t="shared" si="13"/>
        <v>3.2466976668871255E-4</v>
      </c>
      <c r="E183" s="3">
        <f t="shared" si="11"/>
        <v>16322.053694656546</v>
      </c>
    </row>
    <row r="184" spans="1:5" x14ac:dyDescent="0.3">
      <c r="A184">
        <f t="shared" si="12"/>
        <v>1.8200000000000014</v>
      </c>
      <c r="B184">
        <f t="shared" si="12"/>
        <v>31.820000000000285</v>
      </c>
      <c r="C184">
        <f t="shared" si="10"/>
        <v>3.3136476054657321E-4</v>
      </c>
      <c r="D184">
        <f t="shared" si="13"/>
        <v>3.2513967896021135E-4</v>
      </c>
      <c r="E184" s="3">
        <f t="shared" si="11"/>
        <v>16353.31083914137</v>
      </c>
    </row>
    <row r="185" spans="1:5" x14ac:dyDescent="0.3">
      <c r="A185">
        <f t="shared" si="12"/>
        <v>1.8300000000000014</v>
      </c>
      <c r="B185">
        <f t="shared" si="12"/>
        <v>31.830000000000286</v>
      </c>
      <c r="C185">
        <f t="shared" si="10"/>
        <v>3.3149501510788316E-4</v>
      </c>
      <c r="D185">
        <f t="shared" si="13"/>
        <v>3.2561037063608123E-4</v>
      </c>
      <c r="E185" s="3">
        <f t="shared" si="11"/>
        <v>16384.580194900427</v>
      </c>
    </row>
    <row r="186" spans="1:5" x14ac:dyDescent="0.3">
      <c r="A186">
        <f t="shared" si="12"/>
        <v>1.8400000000000014</v>
      </c>
      <c r="B186">
        <f t="shared" si="12"/>
        <v>31.840000000000288</v>
      </c>
      <c r="C186">
        <f t="shared" si="10"/>
        <v>3.3162542201766186E-4</v>
      </c>
      <c r="D186">
        <f t="shared" si="13"/>
        <v>3.260818431699356E-4</v>
      </c>
      <c r="E186" s="3">
        <f t="shared" si="11"/>
        <v>16415.861766500049</v>
      </c>
    </row>
    <row r="187" spans="1:5" x14ac:dyDescent="0.3">
      <c r="A187">
        <f t="shared" si="12"/>
        <v>1.8500000000000014</v>
      </c>
      <c r="B187">
        <f t="shared" si="12"/>
        <v>31.850000000000289</v>
      </c>
      <c r="C187">
        <f t="shared" si="10"/>
        <v>3.3175598145409924E-4</v>
      </c>
      <c r="D187">
        <f t="shared" si="13"/>
        <v>3.2655409801832659E-4</v>
      </c>
      <c r="E187" s="3">
        <f t="shared" si="11"/>
        <v>16447.155558508101</v>
      </c>
    </row>
    <row r="188" spans="1:5" x14ac:dyDescent="0.3">
      <c r="A188">
        <f t="shared" si="12"/>
        <v>1.8600000000000014</v>
      </c>
      <c r="B188">
        <f t="shared" si="12"/>
        <v>31.860000000000291</v>
      </c>
      <c r="C188">
        <f t="shared" si="10"/>
        <v>3.3188669359559376E-4</v>
      </c>
      <c r="D188">
        <f t="shared" si="13"/>
        <v>3.2702713664075115E-4</v>
      </c>
      <c r="E188" s="3">
        <f t="shared" si="11"/>
        <v>16478.46157549397</v>
      </c>
    </row>
    <row r="189" spans="1:5" x14ac:dyDescent="0.3">
      <c r="A189">
        <f t="shared" si="12"/>
        <v>1.8700000000000014</v>
      </c>
      <c r="B189">
        <f t="shared" si="12"/>
        <v>31.870000000000292</v>
      </c>
      <c r="C189">
        <f t="shared" si="10"/>
        <v>3.320175586207524E-4</v>
      </c>
      <c r="D189">
        <f t="shared" si="13"/>
        <v>3.2750096049965707E-4</v>
      </c>
      <c r="E189" s="3">
        <f t="shared" si="11"/>
        <v>16509.779822028577</v>
      </c>
    </row>
    <row r="190" spans="1:5" x14ac:dyDescent="0.3">
      <c r="A190">
        <f t="shared" si="12"/>
        <v>1.8800000000000014</v>
      </c>
      <c r="B190">
        <f t="shared" si="12"/>
        <v>31.880000000000294</v>
      </c>
      <c r="C190">
        <f t="shared" si="10"/>
        <v>3.321485767083911E-4</v>
      </c>
      <c r="D190">
        <f t="shared" si="13"/>
        <v>3.2797557106044946E-4</v>
      </c>
      <c r="E190" s="3">
        <f t="shared" si="11"/>
        <v>16541.110302684385</v>
      </c>
    </row>
    <row r="191" spans="1:5" x14ac:dyDescent="0.3">
      <c r="A191">
        <f t="shared" si="12"/>
        <v>1.8900000000000015</v>
      </c>
      <c r="B191">
        <f t="shared" si="12"/>
        <v>31.890000000000295</v>
      </c>
      <c r="C191">
        <f t="shared" si="10"/>
        <v>3.3227974803753501E-4</v>
      </c>
      <c r="D191">
        <f t="shared" si="13"/>
        <v>3.284509697914971E-4</v>
      </c>
      <c r="E191" s="3">
        <f t="shared" si="11"/>
        <v>16572.45302203537</v>
      </c>
    </row>
    <row r="192" spans="1:5" x14ac:dyDescent="0.3">
      <c r="A192">
        <f t="shared" si="12"/>
        <v>1.9000000000000015</v>
      </c>
      <c r="B192">
        <f t="shared" si="12"/>
        <v>31.900000000000297</v>
      </c>
      <c r="C192">
        <f t="shared" si="10"/>
        <v>3.3241107278741857E-4</v>
      </c>
      <c r="D192">
        <f t="shared" si="13"/>
        <v>3.2892715816413843E-4</v>
      </c>
      <c r="E192" s="3">
        <f t="shared" si="11"/>
        <v>16603.807984657062</v>
      </c>
    </row>
    <row r="193" spans="1:5" x14ac:dyDescent="0.3">
      <c r="A193">
        <f t="shared" si="12"/>
        <v>1.9100000000000015</v>
      </c>
      <c r="B193">
        <f t="shared" si="12"/>
        <v>31.910000000000299</v>
      </c>
      <c r="C193">
        <f t="shared" si="10"/>
        <v>3.3254255113748587E-4</v>
      </c>
      <c r="D193">
        <f t="shared" si="13"/>
        <v>3.2940413765268796E-4</v>
      </c>
      <c r="E193" s="3">
        <f t="shared" si="11"/>
        <v>16635.175195126511</v>
      </c>
    </row>
    <row r="194" spans="1:5" x14ac:dyDescent="0.3">
      <c r="A194">
        <f t="shared" si="12"/>
        <v>1.9200000000000015</v>
      </c>
      <c r="B194">
        <f t="shared" si="12"/>
        <v>31.9200000000003</v>
      </c>
      <c r="C194">
        <f t="shared" si="10"/>
        <v>3.3267418326739099E-4</v>
      </c>
      <c r="D194">
        <f t="shared" si="13"/>
        <v>3.298819097344428E-4</v>
      </c>
      <c r="E194" s="3">
        <f t="shared" si="11"/>
        <v>16666.554658022305</v>
      </c>
    </row>
    <row r="195" spans="1:5" x14ac:dyDescent="0.3">
      <c r="A195">
        <f t="shared" si="12"/>
        <v>1.9300000000000015</v>
      </c>
      <c r="B195">
        <f t="shared" si="12"/>
        <v>31.930000000000302</v>
      </c>
      <c r="C195">
        <f t="shared" ref="C195:C258" si="14">$N$2 + $N$3*$N$4^(B195)</f>
        <v>3.3280596935699792E-4</v>
      </c>
      <c r="D195">
        <f t="shared" si="13"/>
        <v>3.3036047588968858E-4</v>
      </c>
      <c r="E195" s="3">
        <f t="shared" ref="E195:E258" si="15">IF(ROUND(A195, 2)=$N$10,$N$6,(E196-$N$5*($N$7-$N$8-($N$6+$N$9)*D195))/(1+$N$5*$N$11+$N$5*D195))</f>
        <v>16697.946377924574</v>
      </c>
    </row>
    <row r="196" spans="1:5" x14ac:dyDescent="0.3">
      <c r="A196">
        <f t="shared" ref="A196:B259" si="16">A195+$N$5</f>
        <v>1.9400000000000015</v>
      </c>
      <c r="B196">
        <f t="shared" si="16"/>
        <v>31.940000000000303</v>
      </c>
      <c r="C196">
        <f t="shared" si="14"/>
        <v>3.3293790958638126E-4</v>
      </c>
      <c r="D196">
        <f t="shared" si="13"/>
        <v>3.3083983760170613E-4</v>
      </c>
      <c r="E196" s="3">
        <f t="shared" si="15"/>
        <v>16729.35035941497</v>
      </c>
    </row>
    <row r="197" spans="1:5" x14ac:dyDescent="0.3">
      <c r="A197">
        <f t="shared" si="16"/>
        <v>1.9500000000000015</v>
      </c>
      <c r="B197">
        <f t="shared" si="16"/>
        <v>31.950000000000305</v>
      </c>
      <c r="C197">
        <f t="shared" si="14"/>
        <v>3.3307000413582616E-4</v>
      </c>
      <c r="D197">
        <f t="shared" si="13"/>
        <v>3.3131999635677785E-4</v>
      </c>
      <c r="E197" s="3">
        <f t="shared" si="15"/>
        <v>16760.76660707669</v>
      </c>
    </row>
    <row r="198" spans="1:5" x14ac:dyDescent="0.3">
      <c r="A198">
        <f t="shared" si="16"/>
        <v>1.9600000000000015</v>
      </c>
      <c r="B198">
        <f t="shared" si="16"/>
        <v>31.960000000000306</v>
      </c>
      <c r="C198">
        <f t="shared" si="14"/>
        <v>3.3320225318582853E-4</v>
      </c>
      <c r="D198">
        <f t="shared" si="13"/>
        <v>3.3180095364419349E-4</v>
      </c>
      <c r="E198" s="3">
        <f t="shared" si="15"/>
        <v>16792.195125494476</v>
      </c>
    </row>
    <row r="199" spans="1:5" x14ac:dyDescent="0.3">
      <c r="A199">
        <f t="shared" si="16"/>
        <v>1.9700000000000015</v>
      </c>
      <c r="B199">
        <f t="shared" si="16"/>
        <v>31.970000000000308</v>
      </c>
      <c r="C199">
        <f t="shared" si="14"/>
        <v>3.3333465691709545E-4</v>
      </c>
      <c r="D199">
        <f t="shared" si="13"/>
        <v>3.322827109562574E-4</v>
      </c>
      <c r="E199" s="3">
        <f t="shared" si="15"/>
        <v>16823.635919254593</v>
      </c>
    </row>
    <row r="200" spans="1:5" x14ac:dyDescent="0.3">
      <c r="A200">
        <f t="shared" si="16"/>
        <v>1.9800000000000015</v>
      </c>
      <c r="B200">
        <f t="shared" si="16"/>
        <v>31.98000000000031</v>
      </c>
      <c r="C200">
        <f t="shared" si="14"/>
        <v>3.3346721551054544E-4</v>
      </c>
      <c r="D200">
        <f t="shared" si="13"/>
        <v>3.3276526978829419E-4</v>
      </c>
      <c r="E200" s="3">
        <f t="shared" si="15"/>
        <v>16855.088992944853</v>
      </c>
    </row>
    <row r="201" spans="1:5" x14ac:dyDescent="0.3">
      <c r="A201">
        <f t="shared" si="16"/>
        <v>1.9900000000000015</v>
      </c>
      <c r="B201">
        <f t="shared" si="16"/>
        <v>31.990000000000311</v>
      </c>
      <c r="C201">
        <f t="shared" si="14"/>
        <v>3.3359992914730853E-4</v>
      </c>
      <c r="D201">
        <f t="shared" si="13"/>
        <v>3.3324863163865562E-4</v>
      </c>
      <c r="E201" s="3">
        <f t="shared" si="15"/>
        <v>16886.554351154602</v>
      </c>
    </row>
    <row r="202" spans="1:5" x14ac:dyDescent="0.3">
      <c r="A202">
        <f t="shared" si="16"/>
        <v>2.0000000000000013</v>
      </c>
      <c r="B202">
        <f t="shared" si="16"/>
        <v>32.000000000000313</v>
      </c>
      <c r="C202">
        <f t="shared" si="14"/>
        <v>3.3373279800872659E-4</v>
      </c>
      <c r="D202">
        <f t="shared" si="13"/>
        <v>3.3373279800872659E-4</v>
      </c>
      <c r="E202" s="3">
        <f t="shared" si="15"/>
        <v>16918.031998474729</v>
      </c>
    </row>
    <row r="203" spans="1:5" x14ac:dyDescent="0.3">
      <c r="A203">
        <f t="shared" si="16"/>
        <v>2.0100000000000011</v>
      </c>
      <c r="B203">
        <f t="shared" si="16"/>
        <v>32.010000000000311</v>
      </c>
      <c r="C203">
        <f t="shared" si="14"/>
        <v>3.338658222763537E-4</v>
      </c>
      <c r="D203">
        <f t="shared" si="13"/>
        <v>3.338658222763537E-4</v>
      </c>
      <c r="E203" s="3">
        <f t="shared" si="15"/>
        <v>16949.52193949767</v>
      </c>
    </row>
    <row r="204" spans="1:5" x14ac:dyDescent="0.3">
      <c r="A204">
        <f t="shared" si="16"/>
        <v>2.0200000000000009</v>
      </c>
      <c r="B204">
        <f t="shared" si="16"/>
        <v>32.020000000000309</v>
      </c>
      <c r="C204">
        <f t="shared" si="14"/>
        <v>3.3399900213195615E-4</v>
      </c>
      <c r="D204">
        <f t="shared" si="13"/>
        <v>3.3399900213195615E-4</v>
      </c>
      <c r="E204" s="3">
        <f t="shared" si="15"/>
        <v>16981.024471111989</v>
      </c>
    </row>
    <row r="205" spans="1:5" x14ac:dyDescent="0.3">
      <c r="A205">
        <f t="shared" si="16"/>
        <v>2.0300000000000007</v>
      </c>
      <c r="B205">
        <f t="shared" si="16"/>
        <v>32.030000000000307</v>
      </c>
      <c r="C205">
        <f t="shared" si="14"/>
        <v>3.3413233775751299E-4</v>
      </c>
      <c r="D205">
        <f t="shared" si="13"/>
        <v>3.3413233775751299E-4</v>
      </c>
      <c r="E205" s="3">
        <f t="shared" si="15"/>
        <v>17012.539598350584</v>
      </c>
    </row>
    <row r="206" spans="1:5" x14ac:dyDescent="0.3">
      <c r="A206">
        <f t="shared" si="16"/>
        <v>2.0400000000000005</v>
      </c>
      <c r="B206">
        <f t="shared" si="16"/>
        <v>32.040000000000305</v>
      </c>
      <c r="C206">
        <f t="shared" si="14"/>
        <v>3.3426582933521599E-4</v>
      </c>
      <c r="D206">
        <f t="shared" si="13"/>
        <v>3.3426582933521599E-4</v>
      </c>
      <c r="E206" s="3">
        <f t="shared" si="15"/>
        <v>17044.067326248438</v>
      </c>
    </row>
    <row r="207" spans="1:5" x14ac:dyDescent="0.3">
      <c r="A207">
        <f t="shared" si="16"/>
        <v>2.0500000000000003</v>
      </c>
      <c r="B207">
        <f t="shared" si="16"/>
        <v>32.050000000000303</v>
      </c>
      <c r="C207">
        <f t="shared" si="14"/>
        <v>3.3439947704747003E-4</v>
      </c>
      <c r="D207">
        <f t="shared" si="13"/>
        <v>3.3439947704747003E-4</v>
      </c>
      <c r="E207" s="3">
        <f t="shared" si="15"/>
        <v>17075.607659842597</v>
      </c>
    </row>
    <row r="208" spans="1:5" x14ac:dyDescent="0.3">
      <c r="A208">
        <f t="shared" si="16"/>
        <v>2.06</v>
      </c>
      <c r="B208">
        <f t="shared" si="16"/>
        <v>32.060000000000301</v>
      </c>
      <c r="C208">
        <f t="shared" si="14"/>
        <v>3.345332810768934E-4</v>
      </c>
      <c r="D208">
        <f t="shared" si="13"/>
        <v>3.345332810768934E-4</v>
      </c>
      <c r="E208" s="3">
        <f t="shared" si="15"/>
        <v>17107.160604172201</v>
      </c>
    </row>
    <row r="209" spans="1:5" x14ac:dyDescent="0.3">
      <c r="A209">
        <f t="shared" si="16"/>
        <v>2.0699999999999998</v>
      </c>
      <c r="B209">
        <f t="shared" si="16"/>
        <v>32.070000000000299</v>
      </c>
      <c r="C209">
        <f t="shared" si="14"/>
        <v>3.3466724160631793E-4</v>
      </c>
      <c r="D209">
        <f t="shared" si="13"/>
        <v>3.3466724160631793E-4</v>
      </c>
      <c r="E209" s="3">
        <f t="shared" si="15"/>
        <v>17138.726164278458</v>
      </c>
    </row>
    <row r="210" spans="1:5" x14ac:dyDescent="0.3">
      <c r="A210">
        <f t="shared" si="16"/>
        <v>2.0799999999999996</v>
      </c>
      <c r="B210">
        <f t="shared" si="16"/>
        <v>32.080000000000297</v>
      </c>
      <c r="C210">
        <f t="shared" si="14"/>
        <v>3.3480135881878926E-4</v>
      </c>
      <c r="D210">
        <f t="shared" si="13"/>
        <v>3.3480135881878926E-4</v>
      </c>
      <c r="E210" s="3">
        <f t="shared" si="15"/>
        <v>17170.304345204666</v>
      </c>
    </row>
    <row r="211" spans="1:5" x14ac:dyDescent="0.3">
      <c r="A211">
        <f t="shared" si="16"/>
        <v>2.0899999999999994</v>
      </c>
      <c r="B211">
        <f t="shared" si="16"/>
        <v>32.090000000000295</v>
      </c>
      <c r="C211">
        <f t="shared" si="14"/>
        <v>3.3493563289756722E-4</v>
      </c>
      <c r="D211">
        <f t="shared" si="13"/>
        <v>3.3493563289756722E-4</v>
      </c>
      <c r="E211" s="3">
        <f t="shared" si="15"/>
        <v>17201.895151996188</v>
      </c>
    </row>
    <row r="212" spans="1:5" x14ac:dyDescent="0.3">
      <c r="A212">
        <f t="shared" si="16"/>
        <v>2.0999999999999992</v>
      </c>
      <c r="B212">
        <f t="shared" si="16"/>
        <v>32.100000000000293</v>
      </c>
      <c r="C212">
        <f t="shared" si="14"/>
        <v>3.3507006402612596E-4</v>
      </c>
      <c r="D212">
        <f t="shared" si="13"/>
        <v>3.3507006402612596E-4</v>
      </c>
      <c r="E212" s="3">
        <f t="shared" si="15"/>
        <v>17233.498589700484</v>
      </c>
    </row>
    <row r="213" spans="1:5" x14ac:dyDescent="0.3">
      <c r="A213">
        <f t="shared" si="16"/>
        <v>2.109999999999999</v>
      </c>
      <c r="B213">
        <f t="shared" si="16"/>
        <v>32.110000000000291</v>
      </c>
      <c r="C213">
        <f t="shared" si="14"/>
        <v>3.3520465238815416E-4</v>
      </c>
      <c r="D213">
        <f t="shared" si="13"/>
        <v>3.3520465238815416E-4</v>
      </c>
      <c r="E213" s="3">
        <f t="shared" si="15"/>
        <v>17265.114663367098</v>
      </c>
    </row>
    <row r="214" spans="1:5" x14ac:dyDescent="0.3">
      <c r="A214">
        <f t="shared" si="16"/>
        <v>2.1199999999999988</v>
      </c>
      <c r="B214">
        <f t="shared" si="16"/>
        <v>32.120000000000289</v>
      </c>
      <c r="C214">
        <f t="shared" si="14"/>
        <v>3.3533939816755533E-4</v>
      </c>
      <c r="D214">
        <f t="shared" si="13"/>
        <v>3.3533939816755533E-4</v>
      </c>
      <c r="E214" s="3">
        <f t="shared" si="15"/>
        <v>17296.743378047649</v>
      </c>
    </row>
    <row r="215" spans="1:5" x14ac:dyDescent="0.3">
      <c r="A215">
        <f t="shared" si="16"/>
        <v>2.1299999999999986</v>
      </c>
      <c r="B215">
        <f t="shared" si="16"/>
        <v>32.130000000000287</v>
      </c>
      <c r="C215">
        <f t="shared" si="14"/>
        <v>3.3547430154844821E-4</v>
      </c>
      <c r="D215">
        <f t="shared" ref="D215:D278" si="17">IF(A215&lt;=2, (0.9)^(2-A215)*C215, C215)</f>
        <v>3.3547430154844821E-4</v>
      </c>
      <c r="E215" s="3">
        <f t="shared" si="15"/>
        <v>17328.384738795845</v>
      </c>
    </row>
    <row r="216" spans="1:5" x14ac:dyDescent="0.3">
      <c r="A216">
        <f t="shared" si="16"/>
        <v>2.1399999999999983</v>
      </c>
      <c r="B216">
        <f t="shared" si="16"/>
        <v>32.140000000000285</v>
      </c>
      <c r="C216">
        <f t="shared" si="14"/>
        <v>3.3560936271516688E-4</v>
      </c>
      <c r="D216">
        <f t="shared" si="17"/>
        <v>3.3560936271516688E-4</v>
      </c>
      <c r="E216" s="3">
        <f t="shared" si="15"/>
        <v>17360.038750667485</v>
      </c>
    </row>
    <row r="217" spans="1:5" x14ac:dyDescent="0.3">
      <c r="A217">
        <f t="shared" si="16"/>
        <v>2.1499999999999981</v>
      </c>
      <c r="B217">
        <f t="shared" si="16"/>
        <v>32.150000000000283</v>
      </c>
      <c r="C217">
        <f t="shared" si="14"/>
        <v>3.3574458185226078E-4</v>
      </c>
      <c r="D217">
        <f t="shared" si="17"/>
        <v>3.3574458185226078E-4</v>
      </c>
      <c r="E217" s="3">
        <f t="shared" si="15"/>
        <v>17391.705418720456</v>
      </c>
    </row>
    <row r="218" spans="1:5" x14ac:dyDescent="0.3">
      <c r="A218">
        <f t="shared" si="16"/>
        <v>2.1599999999999979</v>
      </c>
      <c r="B218">
        <f t="shared" si="16"/>
        <v>32.160000000000281</v>
      </c>
      <c r="C218">
        <f t="shared" si="14"/>
        <v>3.3587995914449557E-4</v>
      </c>
      <c r="D218">
        <f t="shared" si="17"/>
        <v>3.3587995914449557E-4</v>
      </c>
      <c r="E218" s="3">
        <f t="shared" si="15"/>
        <v>17423.384748014727</v>
      </c>
    </row>
    <row r="219" spans="1:5" x14ac:dyDescent="0.3">
      <c r="A219">
        <f t="shared" si="16"/>
        <v>2.1699999999999977</v>
      </c>
      <c r="B219">
        <f t="shared" si="16"/>
        <v>32.170000000000279</v>
      </c>
      <c r="C219">
        <f t="shared" si="14"/>
        <v>3.3601549477685257E-4</v>
      </c>
      <c r="D219">
        <f t="shared" si="17"/>
        <v>3.3601549477685257E-4</v>
      </c>
      <c r="E219" s="3">
        <f t="shared" si="15"/>
        <v>17455.076743612361</v>
      </c>
    </row>
    <row r="220" spans="1:5" x14ac:dyDescent="0.3">
      <c r="A220">
        <f t="shared" si="16"/>
        <v>2.1799999999999975</v>
      </c>
      <c r="B220">
        <f t="shared" si="16"/>
        <v>32.180000000000277</v>
      </c>
      <c r="C220">
        <f t="shared" si="14"/>
        <v>3.3615118893452994E-4</v>
      </c>
      <c r="D220">
        <f t="shared" si="17"/>
        <v>3.3615118893452994E-4</v>
      </c>
      <c r="E220" s="3">
        <f t="shared" si="15"/>
        <v>17486.781410577514</v>
      </c>
    </row>
    <row r="221" spans="1:5" x14ac:dyDescent="0.3">
      <c r="A221">
        <f t="shared" si="16"/>
        <v>2.1899999999999973</v>
      </c>
      <c r="B221">
        <f t="shared" si="16"/>
        <v>32.190000000000275</v>
      </c>
      <c r="C221">
        <f t="shared" si="14"/>
        <v>3.3628704180294219E-4</v>
      </c>
      <c r="D221">
        <f t="shared" si="17"/>
        <v>3.3628704180294219E-4</v>
      </c>
      <c r="E221" s="3">
        <f t="shared" si="15"/>
        <v>17518.498753976426</v>
      </c>
    </row>
    <row r="222" spans="1:5" x14ac:dyDescent="0.3">
      <c r="A222">
        <f t="shared" si="16"/>
        <v>2.1999999999999971</v>
      </c>
      <c r="B222">
        <f t="shared" si="16"/>
        <v>32.200000000000273</v>
      </c>
      <c r="C222">
        <f t="shared" si="14"/>
        <v>3.3642305356772055E-4</v>
      </c>
      <c r="D222">
        <f t="shared" si="17"/>
        <v>3.3642305356772055E-4</v>
      </c>
      <c r="E222" s="3">
        <f t="shared" si="15"/>
        <v>17550.228778877445</v>
      </c>
    </row>
    <row r="223" spans="1:5" x14ac:dyDescent="0.3">
      <c r="A223">
        <f t="shared" si="16"/>
        <v>2.2099999999999969</v>
      </c>
      <c r="B223">
        <f t="shared" si="16"/>
        <v>32.210000000000271</v>
      </c>
      <c r="C223">
        <f t="shared" si="14"/>
        <v>3.3655922441471381E-4</v>
      </c>
      <c r="D223">
        <f t="shared" si="17"/>
        <v>3.3655922441471381E-4</v>
      </c>
      <c r="E223" s="3">
        <f t="shared" si="15"/>
        <v>17581.971490350996</v>
      </c>
    </row>
    <row r="224" spans="1:5" x14ac:dyDescent="0.3">
      <c r="A224">
        <f t="shared" si="16"/>
        <v>2.2199999999999966</v>
      </c>
      <c r="B224">
        <f t="shared" si="16"/>
        <v>32.220000000000269</v>
      </c>
      <c r="C224">
        <f t="shared" si="14"/>
        <v>3.3669555452998766E-4</v>
      </c>
      <c r="D224">
        <f t="shared" si="17"/>
        <v>3.3669555452998766E-4</v>
      </c>
      <c r="E224" s="3">
        <f t="shared" si="15"/>
        <v>17613.726893469608</v>
      </c>
    </row>
    <row r="225" spans="1:5" x14ac:dyDescent="0.3">
      <c r="A225">
        <f t="shared" si="16"/>
        <v>2.2299999999999964</v>
      </c>
      <c r="B225">
        <f t="shared" si="16"/>
        <v>32.230000000000267</v>
      </c>
      <c r="C225">
        <f t="shared" si="14"/>
        <v>3.3683204409982564E-4</v>
      </c>
      <c r="D225">
        <f t="shared" si="17"/>
        <v>3.3683204409982564E-4</v>
      </c>
      <c r="E225" s="3">
        <f t="shared" si="15"/>
        <v>17645.494993307901</v>
      </c>
    </row>
    <row r="226" spans="1:5" x14ac:dyDescent="0.3">
      <c r="A226">
        <f t="shared" si="16"/>
        <v>2.2399999999999962</v>
      </c>
      <c r="B226">
        <f t="shared" si="16"/>
        <v>32.240000000000265</v>
      </c>
      <c r="C226">
        <f t="shared" si="14"/>
        <v>3.3696869331072935E-4</v>
      </c>
      <c r="D226">
        <f t="shared" si="17"/>
        <v>3.3696869331072935E-4</v>
      </c>
      <c r="E226" s="3">
        <f t="shared" si="15"/>
        <v>17677.275794942601</v>
      </c>
    </row>
    <row r="227" spans="1:5" x14ac:dyDescent="0.3">
      <c r="A227">
        <f t="shared" si="16"/>
        <v>2.249999999999996</v>
      </c>
      <c r="B227">
        <f t="shared" si="16"/>
        <v>32.250000000000263</v>
      </c>
      <c r="C227">
        <f t="shared" si="14"/>
        <v>3.3710550234941806E-4</v>
      </c>
      <c r="D227">
        <f t="shared" si="17"/>
        <v>3.3710550234941806E-4</v>
      </c>
      <c r="E227" s="3">
        <f t="shared" si="15"/>
        <v>17709.069303452525</v>
      </c>
    </row>
    <row r="228" spans="1:5" x14ac:dyDescent="0.3">
      <c r="A228">
        <f t="shared" si="16"/>
        <v>2.2599999999999958</v>
      </c>
      <c r="B228">
        <f t="shared" si="16"/>
        <v>32.260000000000261</v>
      </c>
      <c r="C228">
        <f t="shared" si="14"/>
        <v>3.3724247140282988E-4</v>
      </c>
      <c r="D228">
        <f t="shared" si="17"/>
        <v>3.3724247140282988E-4</v>
      </c>
      <c r="E228" s="3">
        <f t="shared" si="15"/>
        <v>17740.875523918596</v>
      </c>
    </row>
    <row r="229" spans="1:5" x14ac:dyDescent="0.3">
      <c r="A229">
        <f t="shared" si="16"/>
        <v>2.2699999999999956</v>
      </c>
      <c r="B229">
        <f t="shared" si="16"/>
        <v>32.270000000000259</v>
      </c>
      <c r="C229">
        <f t="shared" si="14"/>
        <v>3.3737960065812134E-4</v>
      </c>
      <c r="D229">
        <f t="shared" si="17"/>
        <v>3.3737960065812134E-4</v>
      </c>
      <c r="E229" s="3">
        <f t="shared" si="15"/>
        <v>17772.694461423824</v>
      </c>
    </row>
    <row r="230" spans="1:5" x14ac:dyDescent="0.3">
      <c r="A230">
        <f t="shared" si="16"/>
        <v>2.2799999999999954</v>
      </c>
      <c r="B230">
        <f t="shared" si="16"/>
        <v>32.280000000000257</v>
      </c>
      <c r="C230">
        <f t="shared" si="14"/>
        <v>3.375168903026679E-4</v>
      </c>
      <c r="D230">
        <f t="shared" si="17"/>
        <v>3.375168903026679E-4</v>
      </c>
      <c r="E230" s="3">
        <f t="shared" si="15"/>
        <v>17804.526121053332</v>
      </c>
    </row>
    <row r="231" spans="1:5" x14ac:dyDescent="0.3">
      <c r="A231">
        <f t="shared" si="16"/>
        <v>2.2899999999999952</v>
      </c>
      <c r="B231">
        <f t="shared" si="16"/>
        <v>32.290000000000255</v>
      </c>
      <c r="C231">
        <f t="shared" si="14"/>
        <v>3.3765434052406424E-4</v>
      </c>
      <c r="D231">
        <f t="shared" si="17"/>
        <v>3.3765434052406424E-4</v>
      </c>
      <c r="E231" s="3">
        <f t="shared" si="15"/>
        <v>17836.370507894346</v>
      </c>
    </row>
    <row r="232" spans="1:5" x14ac:dyDescent="0.3">
      <c r="A232">
        <f t="shared" si="16"/>
        <v>2.2999999999999949</v>
      </c>
      <c r="B232">
        <f t="shared" si="16"/>
        <v>32.300000000000253</v>
      </c>
      <c r="C232">
        <f t="shared" si="14"/>
        <v>3.3779195151012443E-4</v>
      </c>
      <c r="D232">
        <f t="shared" si="17"/>
        <v>3.3779195151012443E-4</v>
      </c>
      <c r="E232" s="3">
        <f t="shared" si="15"/>
        <v>17868.227627036191</v>
      </c>
    </row>
    <row r="233" spans="1:5" x14ac:dyDescent="0.3">
      <c r="A233">
        <f t="shared" si="16"/>
        <v>2.3099999999999947</v>
      </c>
      <c r="B233">
        <f t="shared" si="16"/>
        <v>32.310000000000251</v>
      </c>
      <c r="C233">
        <f t="shared" si="14"/>
        <v>3.3792972344888212E-4</v>
      </c>
      <c r="D233">
        <f t="shared" si="17"/>
        <v>3.3792972344888212E-4</v>
      </c>
      <c r="E233" s="3">
        <f t="shared" si="15"/>
        <v>17900.097483570291</v>
      </c>
    </row>
    <row r="234" spans="1:5" x14ac:dyDescent="0.3">
      <c r="A234">
        <f t="shared" si="16"/>
        <v>2.3199999999999945</v>
      </c>
      <c r="B234">
        <f t="shared" si="16"/>
        <v>32.320000000000249</v>
      </c>
      <c r="C234">
        <f t="shared" si="14"/>
        <v>3.3806765652859099E-4</v>
      </c>
      <c r="D234">
        <f t="shared" si="17"/>
        <v>3.3806765652859099E-4</v>
      </c>
      <c r="E234" s="3">
        <f t="shared" si="15"/>
        <v>17931.980082590191</v>
      </c>
    </row>
    <row r="235" spans="1:5" x14ac:dyDescent="0.3">
      <c r="A235">
        <f t="shared" si="16"/>
        <v>2.3299999999999943</v>
      </c>
      <c r="B235">
        <f t="shared" si="16"/>
        <v>32.330000000000247</v>
      </c>
      <c r="C235">
        <f t="shared" si="14"/>
        <v>3.3820575093772488E-4</v>
      </c>
      <c r="D235">
        <f t="shared" si="17"/>
        <v>3.3820575093772488E-4</v>
      </c>
      <c r="E235" s="3">
        <f t="shared" si="15"/>
        <v>17963.875429191532</v>
      </c>
    </row>
    <row r="236" spans="1:5" x14ac:dyDescent="0.3">
      <c r="A236">
        <f t="shared" si="16"/>
        <v>2.3399999999999941</v>
      </c>
      <c r="B236">
        <f t="shared" si="16"/>
        <v>32.340000000000245</v>
      </c>
      <c r="C236">
        <f t="shared" si="14"/>
        <v>3.3834400686497812E-4</v>
      </c>
      <c r="D236">
        <f t="shared" si="17"/>
        <v>3.3834400686497812E-4</v>
      </c>
      <c r="E236" s="3">
        <f t="shared" si="15"/>
        <v>17995.783528472064</v>
      </c>
    </row>
    <row r="237" spans="1:5" x14ac:dyDescent="0.3">
      <c r="A237">
        <f t="shared" si="16"/>
        <v>2.3499999999999939</v>
      </c>
      <c r="B237">
        <f t="shared" si="16"/>
        <v>32.350000000000243</v>
      </c>
      <c r="C237">
        <f t="shared" si="14"/>
        <v>3.3848242449926563E-4</v>
      </c>
      <c r="D237">
        <f t="shared" si="17"/>
        <v>3.3848242449926563E-4</v>
      </c>
      <c r="E237" s="3">
        <f t="shared" si="15"/>
        <v>18027.704385531644</v>
      </c>
    </row>
    <row r="238" spans="1:5" x14ac:dyDescent="0.3">
      <c r="A238">
        <f t="shared" si="16"/>
        <v>2.3599999999999937</v>
      </c>
      <c r="B238">
        <f t="shared" si="16"/>
        <v>32.360000000000241</v>
      </c>
      <c r="C238">
        <f t="shared" si="14"/>
        <v>3.3862100402972338E-4</v>
      </c>
      <c r="D238">
        <f t="shared" si="17"/>
        <v>3.3862100402972338E-4</v>
      </c>
      <c r="E238" s="3">
        <f t="shared" si="15"/>
        <v>18059.638005472239</v>
      </c>
    </row>
    <row r="239" spans="1:5" x14ac:dyDescent="0.3">
      <c r="A239">
        <f t="shared" si="16"/>
        <v>2.3699999999999934</v>
      </c>
      <c r="B239">
        <f t="shared" si="16"/>
        <v>32.370000000000239</v>
      </c>
      <c r="C239">
        <f t="shared" si="14"/>
        <v>3.3875974564570853E-4</v>
      </c>
      <c r="D239">
        <f t="shared" si="17"/>
        <v>3.3875974564570853E-4</v>
      </c>
      <c r="E239" s="3">
        <f t="shared" si="15"/>
        <v>18091.584393397938</v>
      </c>
    </row>
    <row r="240" spans="1:5" x14ac:dyDescent="0.3">
      <c r="A240">
        <f t="shared" si="16"/>
        <v>2.3799999999999932</v>
      </c>
      <c r="B240">
        <f t="shared" si="16"/>
        <v>32.380000000000237</v>
      </c>
      <c r="C240">
        <f t="shared" si="14"/>
        <v>3.3889864953679969E-4</v>
      </c>
      <c r="D240">
        <f t="shared" si="17"/>
        <v>3.3889864953679969E-4</v>
      </c>
      <c r="E240" s="3">
        <f t="shared" si="15"/>
        <v>18123.543554414926</v>
      </c>
    </row>
    <row r="241" spans="1:5" x14ac:dyDescent="0.3">
      <c r="A241">
        <f t="shared" si="16"/>
        <v>2.389999999999993</v>
      </c>
      <c r="B241">
        <f t="shared" si="16"/>
        <v>32.390000000000235</v>
      </c>
      <c r="C241">
        <f t="shared" si="14"/>
        <v>3.3903771589279729E-4</v>
      </c>
      <c r="D241">
        <f t="shared" si="17"/>
        <v>3.3903771589279729E-4</v>
      </c>
      <c r="E241" s="3">
        <f t="shared" si="15"/>
        <v>18155.515493631508</v>
      </c>
    </row>
    <row r="242" spans="1:5" x14ac:dyDescent="0.3">
      <c r="A242">
        <f t="shared" si="16"/>
        <v>2.3999999999999928</v>
      </c>
      <c r="B242">
        <f t="shared" si="16"/>
        <v>32.400000000000233</v>
      </c>
      <c r="C242">
        <f t="shared" si="14"/>
        <v>3.3917694490372358E-4</v>
      </c>
      <c r="D242">
        <f t="shared" si="17"/>
        <v>3.3917694490372358E-4</v>
      </c>
      <c r="E242" s="3">
        <f t="shared" si="15"/>
        <v>18187.500216158107</v>
      </c>
    </row>
    <row r="243" spans="1:5" x14ac:dyDescent="0.3">
      <c r="A243">
        <f t="shared" si="16"/>
        <v>2.4099999999999926</v>
      </c>
      <c r="B243">
        <f t="shared" si="16"/>
        <v>32.410000000000231</v>
      </c>
      <c r="C243">
        <f t="shared" si="14"/>
        <v>3.3931633675982336E-4</v>
      </c>
      <c r="D243">
        <f t="shared" si="17"/>
        <v>3.3931633675982336E-4</v>
      </c>
      <c r="E243" s="3">
        <f t="shared" si="15"/>
        <v>18219.497727107253</v>
      </c>
    </row>
    <row r="244" spans="1:5" x14ac:dyDescent="0.3">
      <c r="A244">
        <f t="shared" si="16"/>
        <v>2.4199999999999924</v>
      </c>
      <c r="B244">
        <f t="shared" si="16"/>
        <v>32.420000000000229</v>
      </c>
      <c r="C244">
        <f t="shared" si="14"/>
        <v>3.3945589165156357E-4</v>
      </c>
      <c r="D244">
        <f t="shared" si="17"/>
        <v>3.3945589165156357E-4</v>
      </c>
      <c r="E244" s="3">
        <f t="shared" si="15"/>
        <v>18251.508031593599</v>
      </c>
    </row>
    <row r="245" spans="1:5" x14ac:dyDescent="0.3">
      <c r="A245">
        <f t="shared" si="16"/>
        <v>2.4299999999999922</v>
      </c>
      <c r="B245">
        <f t="shared" si="16"/>
        <v>32.430000000000227</v>
      </c>
      <c r="C245">
        <f t="shared" si="14"/>
        <v>3.3959560976963419E-4</v>
      </c>
      <c r="D245">
        <f t="shared" si="17"/>
        <v>3.3959560976963419E-4</v>
      </c>
      <c r="E245" s="3">
        <f t="shared" si="15"/>
        <v>18283.531134733916</v>
      </c>
    </row>
    <row r="246" spans="1:5" x14ac:dyDescent="0.3">
      <c r="A246">
        <f t="shared" si="16"/>
        <v>2.439999999999992</v>
      </c>
      <c r="B246">
        <f t="shared" si="16"/>
        <v>32.440000000000225</v>
      </c>
      <c r="C246">
        <f t="shared" si="14"/>
        <v>3.3973549130494825E-4</v>
      </c>
      <c r="D246">
        <f t="shared" si="17"/>
        <v>3.3973549130494825E-4</v>
      </c>
      <c r="E246" s="3">
        <f t="shared" si="15"/>
        <v>18315.567041647082</v>
      </c>
    </row>
    <row r="247" spans="1:5" x14ac:dyDescent="0.3">
      <c r="A247">
        <f t="shared" si="16"/>
        <v>2.4499999999999917</v>
      </c>
      <c r="B247">
        <f t="shared" si="16"/>
        <v>32.450000000000223</v>
      </c>
      <c r="C247">
        <f t="shared" si="14"/>
        <v>3.3987553644864181E-4</v>
      </c>
      <c r="D247">
        <f t="shared" si="17"/>
        <v>3.3987553644864181E-4</v>
      </c>
      <c r="E247" s="3">
        <f t="shared" si="15"/>
        <v>18347.61575745411</v>
      </c>
    </row>
    <row r="248" spans="1:5" x14ac:dyDescent="0.3">
      <c r="A248">
        <f t="shared" si="16"/>
        <v>2.4599999999999915</v>
      </c>
      <c r="B248">
        <f t="shared" si="16"/>
        <v>32.460000000000221</v>
      </c>
      <c r="C248">
        <f t="shared" si="14"/>
        <v>3.4001574539207488E-4</v>
      </c>
      <c r="D248">
        <f t="shared" si="17"/>
        <v>3.4001574539207488E-4</v>
      </c>
      <c r="E248" s="3">
        <f t="shared" si="15"/>
        <v>18379.677287278126</v>
      </c>
    </row>
    <row r="249" spans="1:5" x14ac:dyDescent="0.3">
      <c r="A249">
        <f t="shared" si="16"/>
        <v>2.4699999999999913</v>
      </c>
      <c r="B249">
        <f t="shared" si="16"/>
        <v>32.470000000000219</v>
      </c>
      <c r="C249">
        <f t="shared" si="14"/>
        <v>3.4015611832683085E-4</v>
      </c>
      <c r="D249">
        <f t="shared" si="17"/>
        <v>3.4015611832683085E-4</v>
      </c>
      <c r="E249" s="3">
        <f t="shared" si="15"/>
        <v>18411.751636244371</v>
      </c>
    </row>
    <row r="250" spans="1:5" x14ac:dyDescent="0.3">
      <c r="A250">
        <f t="shared" si="16"/>
        <v>2.4799999999999911</v>
      </c>
      <c r="B250">
        <f t="shared" si="16"/>
        <v>32.480000000000217</v>
      </c>
      <c r="C250">
        <f t="shared" si="14"/>
        <v>3.4029665544471757E-4</v>
      </c>
      <c r="D250">
        <f t="shared" si="17"/>
        <v>3.4029665544471757E-4</v>
      </c>
      <c r="E250" s="3">
        <f t="shared" si="15"/>
        <v>18443.838809480221</v>
      </c>
    </row>
    <row r="251" spans="1:5" x14ac:dyDescent="0.3">
      <c r="A251">
        <f t="shared" si="16"/>
        <v>2.4899999999999909</v>
      </c>
      <c r="B251">
        <f t="shared" si="16"/>
        <v>32.490000000000215</v>
      </c>
      <c r="C251">
        <f t="shared" si="14"/>
        <v>3.4043735693776707E-4</v>
      </c>
      <c r="D251">
        <f t="shared" si="17"/>
        <v>3.4043735693776707E-4</v>
      </c>
      <c r="E251" s="3">
        <f t="shared" si="15"/>
        <v>18475.938812115171</v>
      </c>
    </row>
    <row r="252" spans="1:5" x14ac:dyDescent="0.3">
      <c r="A252">
        <f t="shared" si="16"/>
        <v>2.4999999999999907</v>
      </c>
      <c r="B252">
        <f t="shared" si="16"/>
        <v>32.500000000000213</v>
      </c>
      <c r="C252">
        <f t="shared" si="14"/>
        <v>3.4057822299823589E-4</v>
      </c>
      <c r="D252">
        <f t="shared" si="17"/>
        <v>3.4057822299823589E-4</v>
      </c>
      <c r="E252" s="3">
        <f t="shared" si="15"/>
        <v>18508.051649280838</v>
      </c>
    </row>
    <row r="253" spans="1:5" x14ac:dyDescent="0.3">
      <c r="A253">
        <f t="shared" si="16"/>
        <v>2.5099999999999905</v>
      </c>
      <c r="B253">
        <f t="shared" si="16"/>
        <v>32.510000000000211</v>
      </c>
      <c r="C253">
        <f t="shared" si="14"/>
        <v>3.4071925381860563E-4</v>
      </c>
      <c r="D253">
        <f t="shared" si="17"/>
        <v>3.4071925381860563E-4</v>
      </c>
      <c r="E253" s="3">
        <f t="shared" si="15"/>
        <v>18540.177326110974</v>
      </c>
    </row>
    <row r="254" spans="1:5" x14ac:dyDescent="0.3">
      <c r="A254">
        <f t="shared" si="16"/>
        <v>2.5199999999999902</v>
      </c>
      <c r="B254">
        <f t="shared" si="16"/>
        <v>32.520000000000209</v>
      </c>
      <c r="C254">
        <f t="shared" si="14"/>
        <v>3.4086044959158289E-4</v>
      </c>
      <c r="D254">
        <f t="shared" si="17"/>
        <v>3.4086044959158289E-4</v>
      </c>
      <c r="E254" s="3">
        <f t="shared" si="15"/>
        <v>18572.31584774144</v>
      </c>
    </row>
    <row r="255" spans="1:5" x14ac:dyDescent="0.3">
      <c r="A255">
        <f t="shared" si="16"/>
        <v>2.52999999999999</v>
      </c>
      <c r="B255">
        <f t="shared" si="16"/>
        <v>32.530000000000207</v>
      </c>
      <c r="C255">
        <f t="shared" si="14"/>
        <v>3.4100181051009969E-4</v>
      </c>
      <c r="D255">
        <f t="shared" si="17"/>
        <v>3.4100181051009969E-4</v>
      </c>
      <c r="E255" s="3">
        <f t="shared" si="15"/>
        <v>18604.467219310241</v>
      </c>
    </row>
    <row r="256" spans="1:5" x14ac:dyDescent="0.3">
      <c r="A256">
        <f t="shared" si="16"/>
        <v>2.5399999999999898</v>
      </c>
      <c r="B256">
        <f t="shared" si="16"/>
        <v>32.540000000000205</v>
      </c>
      <c r="C256">
        <f t="shared" si="14"/>
        <v>3.4114333676731377E-4</v>
      </c>
      <c r="D256">
        <f t="shared" si="17"/>
        <v>3.4114333676731377E-4</v>
      </c>
      <c r="E256" s="3">
        <f t="shared" si="15"/>
        <v>18636.631445957508</v>
      </c>
    </row>
    <row r="257" spans="1:5" x14ac:dyDescent="0.3">
      <c r="A257">
        <f t="shared" si="16"/>
        <v>2.5499999999999896</v>
      </c>
      <c r="B257">
        <f t="shared" si="16"/>
        <v>32.550000000000203</v>
      </c>
      <c r="C257">
        <f t="shared" si="14"/>
        <v>3.4128502855660867E-4</v>
      </c>
      <c r="D257">
        <f t="shared" si="17"/>
        <v>3.4128502855660867E-4</v>
      </c>
      <c r="E257" s="3">
        <f t="shared" si="15"/>
        <v>18668.8085328255</v>
      </c>
    </row>
    <row r="258" spans="1:5" x14ac:dyDescent="0.3">
      <c r="A258">
        <f t="shared" si="16"/>
        <v>2.5599999999999894</v>
      </c>
      <c r="B258">
        <f t="shared" si="16"/>
        <v>32.560000000000201</v>
      </c>
      <c r="C258">
        <f t="shared" si="14"/>
        <v>3.4142688607159422E-4</v>
      </c>
      <c r="D258">
        <f t="shared" si="17"/>
        <v>3.4142688607159422E-4</v>
      </c>
      <c r="E258" s="3">
        <f t="shared" si="15"/>
        <v>18700.998485058604</v>
      </c>
    </row>
    <row r="259" spans="1:5" x14ac:dyDescent="0.3">
      <c r="A259">
        <f t="shared" si="16"/>
        <v>2.5699999999999892</v>
      </c>
      <c r="B259">
        <f t="shared" si="16"/>
        <v>32.570000000000199</v>
      </c>
      <c r="C259">
        <f t="shared" ref="C259:C322" si="18">$N$2 + $N$3*$N$4^(B259)</f>
        <v>3.4156890950610665E-4</v>
      </c>
      <c r="D259">
        <f t="shared" si="17"/>
        <v>3.4156890950610665E-4</v>
      </c>
      <c r="E259" s="3">
        <f t="shared" ref="E259:E322" si="19">IF(ROUND(A259, 2)=$N$10,$N$6,(E260-$N$5*($N$7-$N$8-($N$6+$N$9)*D259))/(1+$N$5*$N$11+$N$5*D259))</f>
        <v>18733.201307803345</v>
      </c>
    </row>
    <row r="260" spans="1:5" x14ac:dyDescent="0.3">
      <c r="A260">
        <f t="shared" ref="A260:B323" si="20">A259+$N$5</f>
        <v>2.579999999999989</v>
      </c>
      <c r="B260">
        <f t="shared" si="20"/>
        <v>32.580000000000197</v>
      </c>
      <c r="C260">
        <f t="shared" si="18"/>
        <v>3.4171109905420898E-4</v>
      </c>
      <c r="D260">
        <f t="shared" si="17"/>
        <v>3.4171109905420898E-4</v>
      </c>
      <c r="E260" s="3">
        <f t="shared" si="19"/>
        <v>18765.417006208383</v>
      </c>
    </row>
    <row r="261" spans="1:5" x14ac:dyDescent="0.3">
      <c r="A261">
        <f t="shared" si="20"/>
        <v>2.5899999999999888</v>
      </c>
      <c r="B261">
        <f t="shared" si="20"/>
        <v>32.590000000000195</v>
      </c>
      <c r="C261">
        <f t="shared" si="18"/>
        <v>3.4185345491019109E-4</v>
      </c>
      <c r="D261">
        <f t="shared" si="17"/>
        <v>3.4185345491019109E-4</v>
      </c>
      <c r="E261" s="3">
        <f t="shared" si="19"/>
        <v>18797.645585424507</v>
      </c>
    </row>
    <row r="262" spans="1:5" x14ac:dyDescent="0.3">
      <c r="A262">
        <f t="shared" si="20"/>
        <v>2.5999999999999885</v>
      </c>
      <c r="B262">
        <f t="shared" si="20"/>
        <v>32.600000000000193</v>
      </c>
      <c r="C262">
        <f t="shared" si="18"/>
        <v>3.4199597726857021E-4</v>
      </c>
      <c r="D262">
        <f t="shared" si="17"/>
        <v>3.4199597726857021E-4</v>
      </c>
      <c r="E262" s="3">
        <f t="shared" si="19"/>
        <v>18829.887050604641</v>
      </c>
    </row>
    <row r="263" spans="1:5" x14ac:dyDescent="0.3">
      <c r="A263">
        <f t="shared" si="20"/>
        <v>2.6099999999999883</v>
      </c>
      <c r="B263">
        <f t="shared" si="20"/>
        <v>32.610000000000191</v>
      </c>
      <c r="C263">
        <f t="shared" si="18"/>
        <v>3.4213866632409103E-4</v>
      </c>
      <c r="D263">
        <f t="shared" si="17"/>
        <v>3.4213866632409103E-4</v>
      </c>
      <c r="E263" s="3">
        <f t="shared" si="19"/>
        <v>18862.141406903851</v>
      </c>
    </row>
    <row r="264" spans="1:5" x14ac:dyDescent="0.3">
      <c r="A264">
        <f t="shared" si="20"/>
        <v>2.6199999999999881</v>
      </c>
      <c r="B264">
        <f t="shared" si="20"/>
        <v>32.620000000000189</v>
      </c>
      <c r="C264">
        <f t="shared" si="18"/>
        <v>3.4228152227172592E-4</v>
      </c>
      <c r="D264">
        <f t="shared" si="17"/>
        <v>3.4228152227172592E-4</v>
      </c>
      <c r="E264" s="3">
        <f t="shared" si="19"/>
        <v>18894.408659479337</v>
      </c>
    </row>
    <row r="265" spans="1:5" x14ac:dyDescent="0.3">
      <c r="A265">
        <f t="shared" si="20"/>
        <v>2.6299999999999879</v>
      </c>
      <c r="B265">
        <f t="shared" si="20"/>
        <v>32.630000000000187</v>
      </c>
      <c r="C265">
        <f t="shared" si="18"/>
        <v>3.4242454530667555E-4</v>
      </c>
      <c r="D265">
        <f t="shared" si="17"/>
        <v>3.4242454530667555E-4</v>
      </c>
      <c r="E265" s="3">
        <f t="shared" si="19"/>
        <v>18926.68881349044</v>
      </c>
    </row>
    <row r="266" spans="1:5" x14ac:dyDescent="0.3">
      <c r="A266">
        <f t="shared" si="20"/>
        <v>2.6399999999999877</v>
      </c>
      <c r="B266">
        <f t="shared" si="20"/>
        <v>32.640000000000185</v>
      </c>
      <c r="C266">
        <f t="shared" si="18"/>
        <v>3.4256773562436871E-4</v>
      </c>
      <c r="D266">
        <f t="shared" si="17"/>
        <v>3.4256773562436871E-4</v>
      </c>
      <c r="E266" s="3">
        <f t="shared" si="19"/>
        <v>18958.981874098637</v>
      </c>
    </row>
    <row r="267" spans="1:5" x14ac:dyDescent="0.3">
      <c r="A267">
        <f t="shared" si="20"/>
        <v>2.6499999999999875</v>
      </c>
      <c r="B267">
        <f t="shared" si="20"/>
        <v>32.650000000000183</v>
      </c>
      <c r="C267">
        <f t="shared" si="18"/>
        <v>3.4271109342046276E-4</v>
      </c>
      <c r="D267">
        <f t="shared" si="17"/>
        <v>3.4271109342046276E-4</v>
      </c>
      <c r="E267" s="3">
        <f t="shared" si="19"/>
        <v>18991.287846467556</v>
      </c>
    </row>
    <row r="268" spans="1:5" x14ac:dyDescent="0.3">
      <c r="A268">
        <f t="shared" si="20"/>
        <v>2.6599999999999873</v>
      </c>
      <c r="B268">
        <f t="shared" si="20"/>
        <v>32.660000000000181</v>
      </c>
      <c r="C268">
        <f t="shared" si="18"/>
        <v>3.4285461889084398E-4</v>
      </c>
      <c r="D268">
        <f t="shared" si="17"/>
        <v>3.4285461889084398E-4</v>
      </c>
      <c r="E268" s="3">
        <f t="shared" si="19"/>
        <v>19023.606735762954</v>
      </c>
    </row>
    <row r="269" spans="1:5" x14ac:dyDescent="0.3">
      <c r="A269">
        <f t="shared" si="20"/>
        <v>2.6699999999999871</v>
      </c>
      <c r="B269">
        <f t="shared" si="20"/>
        <v>32.670000000000179</v>
      </c>
      <c r="C269">
        <f t="shared" si="18"/>
        <v>3.4299831223162777E-4</v>
      </c>
      <c r="D269">
        <f t="shared" si="17"/>
        <v>3.4299831223162777E-4</v>
      </c>
      <c r="E269" s="3">
        <f t="shared" si="19"/>
        <v>19055.938547152742</v>
      </c>
    </row>
    <row r="270" spans="1:5" x14ac:dyDescent="0.3">
      <c r="A270">
        <f t="shared" si="20"/>
        <v>2.6799999999999868</v>
      </c>
      <c r="B270">
        <f t="shared" si="20"/>
        <v>32.680000000000177</v>
      </c>
      <c r="C270">
        <f t="shared" si="18"/>
        <v>3.4314217363915877E-4</v>
      </c>
      <c r="D270">
        <f t="shared" si="17"/>
        <v>3.4314217363915877E-4</v>
      </c>
      <c r="E270" s="3">
        <f t="shared" si="19"/>
        <v>19088.283285806967</v>
      </c>
    </row>
    <row r="271" spans="1:5" x14ac:dyDescent="0.3">
      <c r="A271">
        <f t="shared" si="20"/>
        <v>2.6899999999999866</v>
      </c>
      <c r="B271">
        <f t="shared" si="20"/>
        <v>32.690000000000175</v>
      </c>
      <c r="C271">
        <f t="shared" si="18"/>
        <v>3.4328620331001151E-4</v>
      </c>
      <c r="D271">
        <f t="shared" si="17"/>
        <v>3.4328620331001151E-4</v>
      </c>
      <c r="E271" s="3">
        <f t="shared" si="19"/>
        <v>19120.640956897827</v>
      </c>
    </row>
    <row r="272" spans="1:5" x14ac:dyDescent="0.3">
      <c r="A272">
        <f t="shared" si="20"/>
        <v>2.6999999999999864</v>
      </c>
      <c r="B272">
        <f t="shared" si="20"/>
        <v>32.700000000000173</v>
      </c>
      <c r="C272">
        <f t="shared" si="18"/>
        <v>3.4343040144099019E-4</v>
      </c>
      <c r="D272">
        <f t="shared" si="17"/>
        <v>3.4343040144099019E-4</v>
      </c>
      <c r="E272" s="3">
        <f t="shared" si="19"/>
        <v>19153.011565599663</v>
      </c>
    </row>
    <row r="273" spans="1:5" x14ac:dyDescent="0.3">
      <c r="A273">
        <f t="shared" si="20"/>
        <v>2.7099999999999862</v>
      </c>
      <c r="B273">
        <f t="shared" si="20"/>
        <v>32.710000000000171</v>
      </c>
      <c r="C273">
        <f t="shared" si="18"/>
        <v>3.4357476822912937E-4</v>
      </c>
      <c r="D273">
        <f t="shared" si="17"/>
        <v>3.4357476822912937E-4</v>
      </c>
      <c r="E273" s="3">
        <f t="shared" si="19"/>
        <v>19185.39511708897</v>
      </c>
    </row>
    <row r="274" spans="1:5" x14ac:dyDescent="0.3">
      <c r="A274">
        <f t="shared" si="20"/>
        <v>2.719999999999986</v>
      </c>
      <c r="B274">
        <f t="shared" si="20"/>
        <v>32.720000000000169</v>
      </c>
      <c r="C274">
        <f t="shared" si="18"/>
        <v>3.4371930387169401E-4</v>
      </c>
      <c r="D274">
        <f t="shared" si="17"/>
        <v>3.4371930387169401E-4</v>
      </c>
      <c r="E274" s="3">
        <f t="shared" si="19"/>
        <v>19217.791616544382</v>
      </c>
    </row>
    <row r="275" spans="1:5" x14ac:dyDescent="0.3">
      <c r="A275">
        <f t="shared" si="20"/>
        <v>2.7299999999999858</v>
      </c>
      <c r="B275">
        <f t="shared" si="20"/>
        <v>32.730000000000167</v>
      </c>
      <c r="C275">
        <f t="shared" si="18"/>
        <v>3.4386400856617982E-4</v>
      </c>
      <c r="D275">
        <f t="shared" si="17"/>
        <v>3.4386400856617982E-4</v>
      </c>
      <c r="E275" s="3">
        <f t="shared" si="19"/>
        <v>19250.201069146693</v>
      </c>
    </row>
    <row r="276" spans="1:5" x14ac:dyDescent="0.3">
      <c r="A276">
        <f t="shared" si="20"/>
        <v>2.7399999999999856</v>
      </c>
      <c r="B276">
        <f t="shared" si="20"/>
        <v>32.740000000000165</v>
      </c>
      <c r="C276">
        <f t="shared" si="18"/>
        <v>3.4400888251031339E-4</v>
      </c>
      <c r="D276">
        <f t="shared" si="17"/>
        <v>3.4400888251031339E-4</v>
      </c>
      <c r="E276" s="3">
        <f t="shared" si="19"/>
        <v>19282.623480078837</v>
      </c>
    </row>
    <row r="277" spans="1:5" x14ac:dyDescent="0.3">
      <c r="A277">
        <f t="shared" si="20"/>
        <v>2.7499999999999853</v>
      </c>
      <c r="B277">
        <f t="shared" si="20"/>
        <v>32.750000000000163</v>
      </c>
      <c r="C277">
        <f t="shared" si="18"/>
        <v>3.4415392590205266E-4</v>
      </c>
      <c r="D277">
        <f t="shared" si="17"/>
        <v>3.4415392590205266E-4</v>
      </c>
      <c r="E277" s="3">
        <f t="shared" si="19"/>
        <v>19315.058854525909</v>
      </c>
    </row>
    <row r="278" spans="1:5" x14ac:dyDescent="0.3">
      <c r="A278">
        <f t="shared" si="20"/>
        <v>2.7599999999999851</v>
      </c>
      <c r="B278">
        <f t="shared" si="20"/>
        <v>32.760000000000161</v>
      </c>
      <c r="C278">
        <f t="shared" si="18"/>
        <v>3.4429913893958722E-4</v>
      </c>
      <c r="D278">
        <f t="shared" si="17"/>
        <v>3.4429913893958722E-4</v>
      </c>
      <c r="E278" s="3">
        <f t="shared" si="19"/>
        <v>19347.507197675153</v>
      </c>
    </row>
    <row r="279" spans="1:5" x14ac:dyDescent="0.3">
      <c r="A279">
        <f t="shared" si="20"/>
        <v>2.7699999999999849</v>
      </c>
      <c r="B279">
        <f t="shared" si="20"/>
        <v>32.770000000000159</v>
      </c>
      <c r="C279">
        <f t="shared" si="18"/>
        <v>3.4444452182133827E-4</v>
      </c>
      <c r="D279">
        <f t="shared" ref="D279:D342" si="21">IF(A279&lt;=2, (0.9)^(2-A279)*C279, C279)</f>
        <v>3.4444452182133827E-4</v>
      </c>
      <c r="E279" s="3">
        <f t="shared" si="19"/>
        <v>19379.968514715969</v>
      </c>
    </row>
    <row r="280" spans="1:5" x14ac:dyDescent="0.3">
      <c r="A280">
        <f t="shared" si="20"/>
        <v>2.7799999999999847</v>
      </c>
      <c r="B280">
        <f t="shared" si="20"/>
        <v>32.780000000000157</v>
      </c>
      <c r="C280">
        <f t="shared" si="18"/>
        <v>3.4459007474595908E-4</v>
      </c>
      <c r="D280">
        <f t="shared" si="21"/>
        <v>3.4459007474595908E-4</v>
      </c>
      <c r="E280" s="3">
        <f t="shared" si="19"/>
        <v>19412.442810839912</v>
      </c>
    </row>
    <row r="281" spans="1:5" x14ac:dyDescent="0.3">
      <c r="A281">
        <f t="shared" si="20"/>
        <v>2.7899999999999845</v>
      </c>
      <c r="B281">
        <f t="shared" si="20"/>
        <v>32.790000000000155</v>
      </c>
      <c r="C281">
        <f t="shared" si="18"/>
        <v>3.4473579791233558E-4</v>
      </c>
      <c r="D281">
        <f t="shared" si="21"/>
        <v>3.4473579791233558E-4</v>
      </c>
      <c r="E281" s="3">
        <f t="shared" si="19"/>
        <v>19444.930091240691</v>
      </c>
    </row>
    <row r="282" spans="1:5" x14ac:dyDescent="0.3">
      <c r="A282">
        <f t="shared" si="20"/>
        <v>2.7999999999999843</v>
      </c>
      <c r="B282">
        <f t="shared" si="20"/>
        <v>32.800000000000153</v>
      </c>
      <c r="C282">
        <f t="shared" si="18"/>
        <v>3.448816915195859E-4</v>
      </c>
      <c r="D282">
        <f t="shared" si="21"/>
        <v>3.448816915195859E-4</v>
      </c>
      <c r="E282" s="3">
        <f t="shared" si="19"/>
        <v>19477.430361114177</v>
      </c>
    </row>
    <row r="283" spans="1:5" x14ac:dyDescent="0.3">
      <c r="A283">
        <f t="shared" si="20"/>
        <v>2.8099999999999841</v>
      </c>
      <c r="B283">
        <f t="shared" si="20"/>
        <v>32.810000000000151</v>
      </c>
      <c r="C283">
        <f t="shared" si="18"/>
        <v>3.4502775576706132E-4</v>
      </c>
      <c r="D283">
        <f t="shared" si="21"/>
        <v>3.4502775576706132E-4</v>
      </c>
      <c r="E283" s="3">
        <f t="shared" si="19"/>
        <v>19509.943625658398</v>
      </c>
    </row>
    <row r="284" spans="1:5" x14ac:dyDescent="0.3">
      <c r="A284">
        <f t="shared" si="20"/>
        <v>2.8199999999999839</v>
      </c>
      <c r="B284">
        <f t="shared" si="20"/>
        <v>32.820000000000149</v>
      </c>
      <c r="C284">
        <f t="shared" si="18"/>
        <v>3.4517399085434632E-4</v>
      </c>
      <c r="D284">
        <f t="shared" si="21"/>
        <v>3.4517399085434632E-4</v>
      </c>
      <c r="E284" s="3">
        <f t="shared" si="19"/>
        <v>19542.469890073535</v>
      </c>
    </row>
    <row r="285" spans="1:5" x14ac:dyDescent="0.3">
      <c r="A285">
        <f t="shared" si="20"/>
        <v>2.8299999999999836</v>
      </c>
      <c r="B285">
        <f t="shared" si="20"/>
        <v>32.830000000000148</v>
      </c>
      <c r="C285">
        <f t="shared" si="18"/>
        <v>3.4532039698125861E-4</v>
      </c>
      <c r="D285">
        <f t="shared" si="21"/>
        <v>3.4532039698125861E-4</v>
      </c>
      <c r="E285" s="3">
        <f t="shared" si="19"/>
        <v>19575.009159561938</v>
      </c>
    </row>
    <row r="286" spans="1:5" x14ac:dyDescent="0.3">
      <c r="A286">
        <f t="shared" si="20"/>
        <v>2.8399999999999834</v>
      </c>
      <c r="B286">
        <f t="shared" si="20"/>
        <v>32.840000000000146</v>
      </c>
      <c r="C286">
        <f t="shared" si="18"/>
        <v>3.4546697434784985E-4</v>
      </c>
      <c r="D286">
        <f t="shared" si="21"/>
        <v>3.4546697434784985E-4</v>
      </c>
      <c r="E286" s="3">
        <f t="shared" si="19"/>
        <v>19607.561439328121</v>
      </c>
    </row>
    <row r="287" spans="1:5" x14ac:dyDescent="0.3">
      <c r="A287">
        <f t="shared" si="20"/>
        <v>2.8499999999999832</v>
      </c>
      <c r="B287">
        <f t="shared" si="20"/>
        <v>32.850000000000144</v>
      </c>
      <c r="C287">
        <f t="shared" si="18"/>
        <v>3.4561372315440543E-4</v>
      </c>
      <c r="D287">
        <f t="shared" si="21"/>
        <v>3.4561372315440543E-4</v>
      </c>
      <c r="E287" s="3">
        <f t="shared" si="19"/>
        <v>19640.126734578749</v>
      </c>
    </row>
    <row r="288" spans="1:5" x14ac:dyDescent="0.3">
      <c r="A288">
        <f t="shared" si="20"/>
        <v>2.859999999999983</v>
      </c>
      <c r="B288">
        <f t="shared" si="20"/>
        <v>32.860000000000142</v>
      </c>
      <c r="C288">
        <f t="shared" si="18"/>
        <v>3.4576064360144517E-4</v>
      </c>
      <c r="D288">
        <f t="shared" si="21"/>
        <v>3.4576064360144517E-4</v>
      </c>
      <c r="E288" s="3">
        <f t="shared" si="19"/>
        <v>19672.705050522665</v>
      </c>
    </row>
    <row r="289" spans="1:5" x14ac:dyDescent="0.3">
      <c r="A289">
        <f t="shared" si="20"/>
        <v>2.8699999999999828</v>
      </c>
      <c r="B289">
        <f t="shared" si="20"/>
        <v>32.87000000000014</v>
      </c>
      <c r="C289">
        <f t="shared" si="18"/>
        <v>3.4590773588972346E-4</v>
      </c>
      <c r="D289">
        <f t="shared" si="21"/>
        <v>3.4590773588972346E-4</v>
      </c>
      <c r="E289" s="3">
        <f t="shared" si="19"/>
        <v>19705.296392370867</v>
      </c>
    </row>
    <row r="290" spans="1:5" x14ac:dyDescent="0.3">
      <c r="A290">
        <f t="shared" si="20"/>
        <v>2.8799999999999826</v>
      </c>
      <c r="B290">
        <f t="shared" si="20"/>
        <v>32.880000000000138</v>
      </c>
      <c r="C290">
        <f t="shared" si="18"/>
        <v>3.4605500022022933E-4</v>
      </c>
      <c r="D290">
        <f t="shared" si="21"/>
        <v>3.4605500022022933E-4</v>
      </c>
      <c r="E290" s="3">
        <f t="shared" si="19"/>
        <v>19737.900765336526</v>
      </c>
    </row>
    <row r="291" spans="1:5" x14ac:dyDescent="0.3">
      <c r="A291">
        <f t="shared" si="20"/>
        <v>2.8899999999999824</v>
      </c>
      <c r="B291">
        <f t="shared" si="20"/>
        <v>32.890000000000136</v>
      </c>
      <c r="C291">
        <f t="shared" si="18"/>
        <v>3.4620243679418702E-4</v>
      </c>
      <c r="D291">
        <f t="shared" si="21"/>
        <v>3.4620243679418702E-4</v>
      </c>
      <c r="E291" s="3">
        <f t="shared" si="19"/>
        <v>19770.518174634974</v>
      </c>
    </row>
    <row r="292" spans="1:5" x14ac:dyDescent="0.3">
      <c r="A292">
        <f t="shared" si="20"/>
        <v>2.8999999999999821</v>
      </c>
      <c r="B292">
        <f t="shared" si="20"/>
        <v>32.900000000000134</v>
      </c>
      <c r="C292">
        <f t="shared" si="18"/>
        <v>3.4635004581305608E-4</v>
      </c>
      <c r="D292">
        <f t="shared" si="21"/>
        <v>3.4635004581305608E-4</v>
      </c>
      <c r="E292" s="3">
        <f t="shared" si="19"/>
        <v>19803.148625483718</v>
      </c>
    </row>
    <row r="293" spans="1:5" x14ac:dyDescent="0.3">
      <c r="A293">
        <f t="shared" si="20"/>
        <v>2.9099999999999819</v>
      </c>
      <c r="B293">
        <f t="shared" si="20"/>
        <v>32.910000000000132</v>
      </c>
      <c r="C293">
        <f t="shared" si="18"/>
        <v>3.4649782747853163E-4</v>
      </c>
      <c r="D293">
        <f t="shared" si="21"/>
        <v>3.4649782747853163E-4</v>
      </c>
      <c r="E293" s="3">
        <f t="shared" si="19"/>
        <v>19835.792123102437</v>
      </c>
    </row>
    <row r="294" spans="1:5" x14ac:dyDescent="0.3">
      <c r="A294">
        <f t="shared" si="20"/>
        <v>2.9199999999999817</v>
      </c>
      <c r="B294">
        <f t="shared" si="20"/>
        <v>32.92000000000013</v>
      </c>
      <c r="C294">
        <f t="shared" si="18"/>
        <v>3.4664578199254491E-4</v>
      </c>
      <c r="D294">
        <f t="shared" si="21"/>
        <v>3.4664578199254491E-4</v>
      </c>
      <c r="E294" s="3">
        <f t="shared" si="19"/>
        <v>19868.448672712966</v>
      </c>
    </row>
    <row r="295" spans="1:5" x14ac:dyDescent="0.3">
      <c r="A295">
        <f t="shared" si="20"/>
        <v>2.9299999999999815</v>
      </c>
      <c r="B295">
        <f t="shared" si="20"/>
        <v>32.930000000000128</v>
      </c>
      <c r="C295">
        <f t="shared" si="18"/>
        <v>3.4679390955726308E-4</v>
      </c>
      <c r="D295">
        <f t="shared" si="21"/>
        <v>3.4679390955726308E-4</v>
      </c>
      <c r="E295" s="3">
        <f t="shared" si="19"/>
        <v>19901.118279539329</v>
      </c>
    </row>
    <row r="296" spans="1:5" x14ac:dyDescent="0.3">
      <c r="A296">
        <f t="shared" si="20"/>
        <v>2.9399999999999813</v>
      </c>
      <c r="B296">
        <f t="shared" si="20"/>
        <v>32.940000000000126</v>
      </c>
      <c r="C296">
        <f t="shared" si="18"/>
        <v>3.4694221037508995E-4</v>
      </c>
      <c r="D296">
        <f t="shared" si="21"/>
        <v>3.4694221037508995E-4</v>
      </c>
      <c r="E296" s="3">
        <f t="shared" si="19"/>
        <v>19933.800948807715</v>
      </c>
    </row>
    <row r="297" spans="1:5" x14ac:dyDescent="0.3">
      <c r="A297">
        <f t="shared" si="20"/>
        <v>2.9499999999999811</v>
      </c>
      <c r="B297">
        <f t="shared" si="20"/>
        <v>32.950000000000124</v>
      </c>
      <c r="C297">
        <f t="shared" si="18"/>
        <v>3.4709068464866587E-4</v>
      </c>
      <c r="D297">
        <f t="shared" si="21"/>
        <v>3.4709068464866587E-4</v>
      </c>
      <c r="E297" s="3">
        <f t="shared" si="19"/>
        <v>19966.49668574649</v>
      </c>
    </row>
    <row r="298" spans="1:5" x14ac:dyDescent="0.3">
      <c r="A298">
        <f t="shared" si="20"/>
        <v>2.9599999999999809</v>
      </c>
      <c r="B298">
        <f t="shared" si="20"/>
        <v>32.960000000000122</v>
      </c>
      <c r="C298">
        <f t="shared" si="18"/>
        <v>3.472393325808685E-4</v>
      </c>
      <c r="D298">
        <f t="shared" si="21"/>
        <v>3.472393325808685E-4</v>
      </c>
      <c r="E298" s="3">
        <f t="shared" si="19"/>
        <v>19999.205495586182</v>
      </c>
    </row>
    <row r="299" spans="1:5" x14ac:dyDescent="0.3">
      <c r="A299">
        <f t="shared" si="20"/>
        <v>2.9699999999999807</v>
      </c>
      <c r="B299">
        <f t="shared" si="20"/>
        <v>32.97000000000012</v>
      </c>
      <c r="C299">
        <f t="shared" si="18"/>
        <v>3.4738815437481254E-4</v>
      </c>
      <c r="D299">
        <f t="shared" si="21"/>
        <v>3.4738815437481254E-4</v>
      </c>
      <c r="E299" s="3">
        <f t="shared" si="19"/>
        <v>20031.92738355952</v>
      </c>
    </row>
    <row r="300" spans="1:5" x14ac:dyDescent="0.3">
      <c r="A300">
        <f t="shared" si="20"/>
        <v>2.9799999999999804</v>
      </c>
      <c r="B300">
        <f t="shared" si="20"/>
        <v>32.980000000000118</v>
      </c>
      <c r="C300">
        <f t="shared" si="18"/>
        <v>3.4753715023385018E-4</v>
      </c>
      <c r="D300">
        <f t="shared" si="21"/>
        <v>3.4753715023385018E-4</v>
      </c>
      <c r="E300" s="3">
        <f t="shared" si="19"/>
        <v>20064.662354901389</v>
      </c>
    </row>
    <row r="301" spans="1:5" x14ac:dyDescent="0.3">
      <c r="A301">
        <f t="shared" si="20"/>
        <v>2.9899999999999802</v>
      </c>
      <c r="B301">
        <f t="shared" si="20"/>
        <v>32.990000000000116</v>
      </c>
      <c r="C301">
        <f t="shared" si="18"/>
        <v>3.476863203615719E-4</v>
      </c>
      <c r="D301">
        <f t="shared" si="21"/>
        <v>3.476863203615719E-4</v>
      </c>
      <c r="E301" s="3">
        <f t="shared" si="19"/>
        <v>20097.410414848866</v>
      </c>
    </row>
    <row r="302" spans="1:5" x14ac:dyDescent="0.3">
      <c r="A302">
        <f t="shared" si="20"/>
        <v>2.99999999999998</v>
      </c>
      <c r="B302">
        <f t="shared" si="20"/>
        <v>33.000000000000114</v>
      </c>
      <c r="C302">
        <f t="shared" si="18"/>
        <v>3.4783566496180579E-4</v>
      </c>
      <c r="D302">
        <f t="shared" si="21"/>
        <v>3.4783566496180579E-4</v>
      </c>
      <c r="E302" s="3">
        <f t="shared" si="19"/>
        <v>20130.171568641203</v>
      </c>
    </row>
    <row r="303" spans="1:5" x14ac:dyDescent="0.3">
      <c r="A303">
        <f t="shared" si="20"/>
        <v>3.0099999999999798</v>
      </c>
      <c r="B303">
        <f t="shared" si="20"/>
        <v>33.010000000000112</v>
      </c>
      <c r="C303">
        <f t="shared" si="18"/>
        <v>3.4798518423861859E-4</v>
      </c>
      <c r="D303">
        <f t="shared" si="21"/>
        <v>3.4798518423861859E-4</v>
      </c>
      <c r="E303" s="3">
        <f t="shared" si="19"/>
        <v>20162.945821519832</v>
      </c>
    </row>
    <row r="304" spans="1:5" x14ac:dyDescent="0.3">
      <c r="A304">
        <f t="shared" si="20"/>
        <v>3.0199999999999796</v>
      </c>
      <c r="B304">
        <f t="shared" si="20"/>
        <v>33.02000000000011</v>
      </c>
      <c r="C304">
        <f t="shared" si="18"/>
        <v>3.4813487839631581E-4</v>
      </c>
      <c r="D304">
        <f t="shared" si="21"/>
        <v>3.4813487839631581E-4</v>
      </c>
      <c r="E304" s="3">
        <f t="shared" si="19"/>
        <v>20195.733178728366</v>
      </c>
    </row>
    <row r="305" spans="1:5" x14ac:dyDescent="0.3">
      <c r="A305">
        <f t="shared" si="20"/>
        <v>3.0299999999999794</v>
      </c>
      <c r="B305">
        <f t="shared" si="20"/>
        <v>33.030000000000108</v>
      </c>
      <c r="C305">
        <f t="shared" si="18"/>
        <v>3.4828474763944165E-4</v>
      </c>
      <c r="D305">
        <f t="shared" si="21"/>
        <v>3.4828474763944165E-4</v>
      </c>
      <c r="E305" s="3">
        <f t="shared" si="19"/>
        <v>20228.533645512602</v>
      </c>
    </row>
    <row r="306" spans="1:5" x14ac:dyDescent="0.3">
      <c r="A306">
        <f t="shared" si="20"/>
        <v>3.0399999999999792</v>
      </c>
      <c r="B306">
        <f t="shared" si="20"/>
        <v>33.040000000000106</v>
      </c>
      <c r="C306">
        <f t="shared" si="18"/>
        <v>3.4843479217277985E-4</v>
      </c>
      <c r="D306">
        <f t="shared" si="21"/>
        <v>3.4843479217277985E-4</v>
      </c>
      <c r="E306" s="3">
        <f t="shared" si="19"/>
        <v>20261.347227120525</v>
      </c>
    </row>
    <row r="307" spans="1:5" x14ac:dyDescent="0.3">
      <c r="A307">
        <f t="shared" si="20"/>
        <v>3.049999999999979</v>
      </c>
      <c r="B307">
        <f t="shared" si="20"/>
        <v>33.050000000000104</v>
      </c>
      <c r="C307">
        <f t="shared" si="18"/>
        <v>3.4858501220135331E-4</v>
      </c>
      <c r="D307">
        <f t="shared" si="21"/>
        <v>3.4858501220135331E-4</v>
      </c>
      <c r="E307" s="3">
        <f t="shared" si="19"/>
        <v>20294.173928802302</v>
      </c>
    </row>
    <row r="308" spans="1:5" x14ac:dyDescent="0.3">
      <c r="A308">
        <f t="shared" si="20"/>
        <v>3.0599999999999787</v>
      </c>
      <c r="B308">
        <f t="shared" si="20"/>
        <v>33.060000000000102</v>
      </c>
      <c r="C308">
        <f t="shared" si="18"/>
        <v>3.487354079304252E-4</v>
      </c>
      <c r="D308">
        <f t="shared" si="21"/>
        <v>3.487354079304252E-4</v>
      </c>
      <c r="E308" s="3">
        <f t="shared" si="19"/>
        <v>20327.013755810287</v>
      </c>
    </row>
    <row r="309" spans="1:5" x14ac:dyDescent="0.3">
      <c r="A309">
        <f t="shared" si="20"/>
        <v>3.0699999999999785</v>
      </c>
      <c r="B309">
        <f t="shared" si="20"/>
        <v>33.0700000000001</v>
      </c>
      <c r="C309">
        <f t="shared" si="18"/>
        <v>3.4888597956549833E-4</v>
      </c>
      <c r="D309">
        <f t="shared" si="21"/>
        <v>3.4888597956549833E-4</v>
      </c>
      <c r="E309" s="3">
        <f t="shared" si="19"/>
        <v>20359.86671339902</v>
      </c>
    </row>
    <row r="310" spans="1:5" x14ac:dyDescent="0.3">
      <c r="A310">
        <f t="shared" si="20"/>
        <v>3.0799999999999783</v>
      </c>
      <c r="B310">
        <f t="shared" si="20"/>
        <v>33.080000000000098</v>
      </c>
      <c r="C310">
        <f t="shared" si="18"/>
        <v>3.4903672731231611E-4</v>
      </c>
      <c r="D310">
        <f t="shared" si="21"/>
        <v>3.4903672731231611E-4</v>
      </c>
      <c r="E310" s="3">
        <f t="shared" si="19"/>
        <v>20392.732806825235</v>
      </c>
    </row>
    <row r="311" spans="1:5" x14ac:dyDescent="0.3">
      <c r="A311">
        <f t="shared" si="20"/>
        <v>3.0899999999999781</v>
      </c>
      <c r="B311">
        <f t="shared" si="20"/>
        <v>33.090000000000096</v>
      </c>
      <c r="C311">
        <f t="shared" si="18"/>
        <v>3.4918765137686259E-4</v>
      </c>
      <c r="D311">
        <f t="shared" si="21"/>
        <v>3.4918765137686259E-4</v>
      </c>
      <c r="E311" s="3">
        <f t="shared" si="19"/>
        <v>20425.612041347853</v>
      </c>
    </row>
    <row r="312" spans="1:5" x14ac:dyDescent="0.3">
      <c r="A312">
        <f t="shared" si="20"/>
        <v>3.0999999999999779</v>
      </c>
      <c r="B312">
        <f t="shared" si="20"/>
        <v>33.100000000000094</v>
      </c>
      <c r="C312">
        <f t="shared" si="18"/>
        <v>3.4933875196536257E-4</v>
      </c>
      <c r="D312">
        <f t="shared" si="21"/>
        <v>3.4933875196536257E-4</v>
      </c>
      <c r="E312" s="3">
        <f t="shared" si="19"/>
        <v>20458.504422227979</v>
      </c>
    </row>
    <row r="313" spans="1:5" x14ac:dyDescent="0.3">
      <c r="A313">
        <f t="shared" si="20"/>
        <v>3.1099999999999777</v>
      </c>
      <c r="B313">
        <f t="shared" si="20"/>
        <v>33.110000000000092</v>
      </c>
      <c r="C313">
        <f t="shared" si="18"/>
        <v>3.4949002928428224E-4</v>
      </c>
      <c r="D313">
        <f t="shared" si="21"/>
        <v>3.4949002928428224E-4</v>
      </c>
      <c r="E313" s="3">
        <f t="shared" si="19"/>
        <v>20491.409954728922</v>
      </c>
    </row>
    <row r="314" spans="1:5" x14ac:dyDescent="0.3">
      <c r="A314">
        <f t="shared" si="20"/>
        <v>3.1199999999999775</v>
      </c>
      <c r="B314">
        <f t="shared" si="20"/>
        <v>33.12000000000009</v>
      </c>
      <c r="C314">
        <f t="shared" si="18"/>
        <v>3.4964148354032923E-4</v>
      </c>
      <c r="D314">
        <f t="shared" si="21"/>
        <v>3.4964148354032923E-4</v>
      </c>
      <c r="E314" s="3">
        <f t="shared" si="19"/>
        <v>20524.328644116184</v>
      </c>
    </row>
    <row r="315" spans="1:5" x14ac:dyDescent="0.3">
      <c r="A315">
        <f t="shared" si="20"/>
        <v>3.1299999999999772</v>
      </c>
      <c r="B315">
        <f t="shared" si="20"/>
        <v>33.130000000000088</v>
      </c>
      <c r="C315">
        <f t="shared" si="18"/>
        <v>3.4979311494045282E-4</v>
      </c>
      <c r="D315">
        <f t="shared" si="21"/>
        <v>3.4979311494045282E-4</v>
      </c>
      <c r="E315" s="3">
        <f t="shared" si="19"/>
        <v>20557.260495657451</v>
      </c>
    </row>
    <row r="316" spans="1:5" x14ac:dyDescent="0.3">
      <c r="A316">
        <f t="shared" si="20"/>
        <v>3.139999999999977</v>
      </c>
      <c r="B316">
        <f t="shared" si="20"/>
        <v>33.140000000000086</v>
      </c>
      <c r="C316">
        <f t="shared" si="18"/>
        <v>3.4994492369184457E-4</v>
      </c>
      <c r="D316">
        <f t="shared" si="21"/>
        <v>3.4994492369184457E-4</v>
      </c>
      <c r="E316" s="3">
        <f t="shared" si="19"/>
        <v>20590.205514622608</v>
      </c>
    </row>
    <row r="317" spans="1:5" x14ac:dyDescent="0.3">
      <c r="A317">
        <f t="shared" si="20"/>
        <v>3.1499999999999768</v>
      </c>
      <c r="B317">
        <f t="shared" si="20"/>
        <v>33.150000000000084</v>
      </c>
      <c r="C317">
        <f t="shared" si="18"/>
        <v>3.5009691000193811E-4</v>
      </c>
      <c r="D317">
        <f t="shared" si="21"/>
        <v>3.5009691000193811E-4</v>
      </c>
      <c r="E317" s="3">
        <f t="shared" si="19"/>
        <v>20623.16370628374</v>
      </c>
    </row>
    <row r="318" spans="1:5" x14ac:dyDescent="0.3">
      <c r="A318">
        <f t="shared" si="20"/>
        <v>3.1599999999999766</v>
      </c>
      <c r="B318">
        <f t="shared" si="20"/>
        <v>33.160000000000082</v>
      </c>
      <c r="C318">
        <f t="shared" si="18"/>
        <v>3.5024907407840992E-4</v>
      </c>
      <c r="D318">
        <f t="shared" si="21"/>
        <v>3.5024907407840992E-4</v>
      </c>
      <c r="E318" s="3">
        <f t="shared" si="19"/>
        <v>20656.135075915128</v>
      </c>
    </row>
    <row r="319" spans="1:5" x14ac:dyDescent="0.3">
      <c r="A319">
        <f t="shared" si="20"/>
        <v>3.1699999999999764</v>
      </c>
      <c r="B319">
        <f t="shared" si="20"/>
        <v>33.17000000000008</v>
      </c>
      <c r="C319">
        <f t="shared" si="18"/>
        <v>3.5040141612917931E-4</v>
      </c>
      <c r="D319">
        <f t="shared" si="21"/>
        <v>3.5040141612917931E-4</v>
      </c>
      <c r="E319" s="3">
        <f t="shared" si="19"/>
        <v>20689.119628793258</v>
      </c>
    </row>
    <row r="320" spans="1:5" x14ac:dyDescent="0.3">
      <c r="A320">
        <f t="shared" si="20"/>
        <v>3.1799999999999762</v>
      </c>
      <c r="B320">
        <f t="shared" si="20"/>
        <v>33.180000000000078</v>
      </c>
      <c r="C320">
        <f t="shared" si="18"/>
        <v>3.5055393636240865E-4</v>
      </c>
      <c r="D320">
        <f t="shared" si="21"/>
        <v>3.5055393636240865E-4</v>
      </c>
      <c r="E320" s="3">
        <f t="shared" si="19"/>
        <v>20722.117370196807</v>
      </c>
    </row>
    <row r="321" spans="1:5" x14ac:dyDescent="0.3">
      <c r="A321">
        <f t="shared" si="20"/>
        <v>3.189999999999976</v>
      </c>
      <c r="B321">
        <f t="shared" si="20"/>
        <v>33.190000000000076</v>
      </c>
      <c r="C321">
        <f t="shared" si="18"/>
        <v>3.5070663498650402E-4</v>
      </c>
      <c r="D321">
        <f t="shared" si="21"/>
        <v>3.5070663498650402E-4</v>
      </c>
      <c r="E321" s="3">
        <f t="shared" si="19"/>
        <v>20755.128305406663</v>
      </c>
    </row>
    <row r="322" spans="1:5" x14ac:dyDescent="0.3">
      <c r="A322">
        <f t="shared" si="20"/>
        <v>3.1999999999999758</v>
      </c>
      <c r="B322">
        <f t="shared" si="20"/>
        <v>33.200000000000074</v>
      </c>
      <c r="C322">
        <f t="shared" si="18"/>
        <v>3.5085951221011495E-4</v>
      </c>
      <c r="D322">
        <f t="shared" si="21"/>
        <v>3.5085951221011495E-4</v>
      </c>
      <c r="E322" s="3">
        <f t="shared" si="19"/>
        <v>20788.152439705904</v>
      </c>
    </row>
    <row r="323" spans="1:5" x14ac:dyDescent="0.3">
      <c r="A323">
        <f t="shared" si="20"/>
        <v>3.2099999999999755</v>
      </c>
      <c r="B323">
        <f t="shared" si="20"/>
        <v>33.210000000000072</v>
      </c>
      <c r="C323">
        <f t="shared" ref="C323:C386" si="22">$N$2 + $N$3*$N$4^(B323)</f>
        <v>3.5101256824213525E-4</v>
      </c>
      <c r="D323">
        <f t="shared" si="21"/>
        <v>3.5101256824213525E-4</v>
      </c>
      <c r="E323" s="3">
        <f t="shared" ref="E323:E386" si="23">IF(ROUND(A323, 2)=$N$10,$N$6,(E324-$N$5*($N$7-$N$8-($N$6+$N$9)*D323))/(1+$N$5*$N$11+$N$5*D323))</f>
        <v>20821.189778379819</v>
      </c>
    </row>
    <row r="324" spans="1:5" x14ac:dyDescent="0.3">
      <c r="A324">
        <f t="shared" ref="A324:B387" si="24">A323+$N$5</f>
        <v>3.2199999999999753</v>
      </c>
      <c r="B324">
        <f t="shared" si="24"/>
        <v>33.22000000000007</v>
      </c>
      <c r="C324">
        <f t="shared" si="22"/>
        <v>3.5116580329170308E-4</v>
      </c>
      <c r="D324">
        <f t="shared" si="21"/>
        <v>3.5116580329170308E-4</v>
      </c>
      <c r="E324" s="3">
        <f t="shared" si="23"/>
        <v>20854.240326715906</v>
      </c>
    </row>
    <row r="325" spans="1:5" x14ac:dyDescent="0.3">
      <c r="A325">
        <f t="shared" si="24"/>
        <v>3.2299999999999751</v>
      </c>
      <c r="B325">
        <f t="shared" si="24"/>
        <v>33.230000000000068</v>
      </c>
      <c r="C325">
        <f t="shared" si="22"/>
        <v>3.5131921756820103E-4</v>
      </c>
      <c r="D325">
        <f t="shared" si="21"/>
        <v>3.5131921756820103E-4</v>
      </c>
      <c r="E325" s="3">
        <f t="shared" si="23"/>
        <v>20887.304090003861</v>
      </c>
    </row>
    <row r="326" spans="1:5" x14ac:dyDescent="0.3">
      <c r="A326">
        <f t="shared" si="24"/>
        <v>3.2399999999999749</v>
      </c>
      <c r="B326">
        <f t="shared" si="24"/>
        <v>33.240000000000066</v>
      </c>
      <c r="C326">
        <f t="shared" si="22"/>
        <v>3.5147281128125672E-4</v>
      </c>
      <c r="D326">
        <f t="shared" si="21"/>
        <v>3.5147281128125672E-4</v>
      </c>
      <c r="E326" s="3">
        <f t="shared" si="23"/>
        <v>20920.381073535595</v>
      </c>
    </row>
    <row r="327" spans="1:5" x14ac:dyDescent="0.3">
      <c r="A327">
        <f t="shared" si="24"/>
        <v>3.2499999999999747</v>
      </c>
      <c r="B327">
        <f t="shared" si="24"/>
        <v>33.250000000000064</v>
      </c>
      <c r="C327">
        <f t="shared" si="22"/>
        <v>3.5162658464074289E-4</v>
      </c>
      <c r="D327">
        <f t="shared" si="21"/>
        <v>3.5162658464074289E-4</v>
      </c>
      <c r="E327" s="3">
        <f t="shared" si="23"/>
        <v>20953.471282605216</v>
      </c>
    </row>
    <row r="328" spans="1:5" x14ac:dyDescent="0.3">
      <c r="A328">
        <f t="shared" si="24"/>
        <v>3.2599999999999745</v>
      </c>
      <c r="B328">
        <f t="shared" si="24"/>
        <v>33.260000000000062</v>
      </c>
      <c r="C328">
        <f t="shared" si="22"/>
        <v>3.5178053785677772E-4</v>
      </c>
      <c r="D328">
        <f t="shared" si="21"/>
        <v>3.5178053785677772E-4</v>
      </c>
      <c r="E328" s="3">
        <f t="shared" si="23"/>
        <v>20986.574722509053</v>
      </c>
    </row>
    <row r="329" spans="1:5" x14ac:dyDescent="0.3">
      <c r="A329">
        <f t="shared" si="24"/>
        <v>3.2699999999999743</v>
      </c>
      <c r="B329">
        <f t="shared" si="24"/>
        <v>33.27000000000006</v>
      </c>
      <c r="C329">
        <f t="shared" si="22"/>
        <v>3.5193467113972532E-4</v>
      </c>
      <c r="D329">
        <f t="shared" si="21"/>
        <v>3.5193467113972532E-4</v>
      </c>
      <c r="E329" s="3">
        <f t="shared" si="23"/>
        <v>21019.691398545634</v>
      </c>
    </row>
    <row r="330" spans="1:5" x14ac:dyDescent="0.3">
      <c r="A330">
        <f t="shared" si="24"/>
        <v>3.279999999999974</v>
      </c>
      <c r="B330">
        <f t="shared" si="24"/>
        <v>33.280000000000058</v>
      </c>
      <c r="C330">
        <f t="shared" si="22"/>
        <v>3.520889847001957E-4</v>
      </c>
      <c r="D330">
        <f t="shared" si="21"/>
        <v>3.520889847001957E-4</v>
      </c>
      <c r="E330" s="3">
        <f t="shared" si="23"/>
        <v>21052.82131601571</v>
      </c>
    </row>
    <row r="331" spans="1:5" x14ac:dyDescent="0.3">
      <c r="A331">
        <f t="shared" si="24"/>
        <v>3.2899999999999738</v>
      </c>
      <c r="B331">
        <f t="shared" si="24"/>
        <v>33.290000000000056</v>
      </c>
      <c r="C331">
        <f t="shared" si="22"/>
        <v>3.522434787490452E-4</v>
      </c>
      <c r="D331">
        <f t="shared" si="21"/>
        <v>3.522434787490452E-4</v>
      </c>
      <c r="E331" s="3">
        <f t="shared" si="23"/>
        <v>21085.964480222239</v>
      </c>
    </row>
    <row r="332" spans="1:5" x14ac:dyDescent="0.3">
      <c r="A332">
        <f t="shared" si="24"/>
        <v>3.2999999999999736</v>
      </c>
      <c r="B332">
        <f t="shared" si="24"/>
        <v>33.300000000000054</v>
      </c>
      <c r="C332">
        <f t="shared" si="22"/>
        <v>3.5239815349737678E-4</v>
      </c>
      <c r="D332">
        <f t="shared" si="21"/>
        <v>3.5239815349737678E-4</v>
      </c>
      <c r="E332" s="3">
        <f t="shared" si="23"/>
        <v>21119.120896470391</v>
      </c>
    </row>
    <row r="333" spans="1:5" x14ac:dyDescent="0.3">
      <c r="A333">
        <f t="shared" si="24"/>
        <v>3.3099999999999734</v>
      </c>
      <c r="B333">
        <f t="shared" si="24"/>
        <v>33.310000000000052</v>
      </c>
      <c r="C333">
        <f t="shared" si="22"/>
        <v>3.5255300915654035E-4</v>
      </c>
      <c r="D333">
        <f t="shared" si="21"/>
        <v>3.5255300915654035E-4</v>
      </c>
      <c r="E333" s="3">
        <f t="shared" si="23"/>
        <v>21152.290570067558</v>
      </c>
    </row>
    <row r="334" spans="1:5" x14ac:dyDescent="0.3">
      <c r="A334">
        <f t="shared" si="24"/>
        <v>3.3199999999999732</v>
      </c>
      <c r="B334">
        <f t="shared" si="24"/>
        <v>33.32000000000005</v>
      </c>
      <c r="C334">
        <f t="shared" si="22"/>
        <v>3.5270804593813321E-4</v>
      </c>
      <c r="D334">
        <f t="shared" si="21"/>
        <v>3.5270804593813321E-4</v>
      </c>
      <c r="E334" s="3">
        <f t="shared" si="23"/>
        <v>21185.473506323338</v>
      </c>
    </row>
    <row r="335" spans="1:5" x14ac:dyDescent="0.3">
      <c r="A335">
        <f t="shared" si="24"/>
        <v>3.329999999999973</v>
      </c>
      <c r="B335">
        <f t="shared" si="24"/>
        <v>33.330000000000048</v>
      </c>
      <c r="C335">
        <f t="shared" si="22"/>
        <v>3.5286326405399972E-4</v>
      </c>
      <c r="D335">
        <f t="shared" si="21"/>
        <v>3.5286326405399972E-4</v>
      </c>
      <c r="E335" s="3">
        <f t="shared" si="23"/>
        <v>21218.669710549555</v>
      </c>
    </row>
    <row r="336" spans="1:5" x14ac:dyDescent="0.3">
      <c r="A336">
        <f t="shared" si="24"/>
        <v>3.3399999999999728</v>
      </c>
      <c r="B336">
        <f t="shared" si="24"/>
        <v>33.340000000000046</v>
      </c>
      <c r="C336">
        <f t="shared" si="22"/>
        <v>3.5301866371623234E-4</v>
      </c>
      <c r="D336">
        <f t="shared" si="21"/>
        <v>3.5301866371623234E-4</v>
      </c>
      <c r="E336" s="3">
        <f t="shared" si="23"/>
        <v>21251.879188060248</v>
      </c>
    </row>
    <row r="337" spans="1:5" x14ac:dyDescent="0.3">
      <c r="A337">
        <f t="shared" si="24"/>
        <v>3.3499999999999726</v>
      </c>
      <c r="B337">
        <f t="shared" si="24"/>
        <v>33.350000000000044</v>
      </c>
      <c r="C337">
        <f t="shared" si="22"/>
        <v>3.5317424513717146E-4</v>
      </c>
      <c r="D337">
        <f t="shared" si="21"/>
        <v>3.5317424513717146E-4</v>
      </c>
      <c r="E337" s="3">
        <f t="shared" si="23"/>
        <v>21285.101944171682</v>
      </c>
    </row>
    <row r="338" spans="1:5" x14ac:dyDescent="0.3">
      <c r="A338">
        <f t="shared" si="24"/>
        <v>3.3599999999999723</v>
      </c>
      <c r="B338">
        <f t="shared" si="24"/>
        <v>33.360000000000042</v>
      </c>
      <c r="C338">
        <f t="shared" si="22"/>
        <v>3.5333000852940598E-4</v>
      </c>
      <c r="D338">
        <f t="shared" si="21"/>
        <v>3.5333000852940598E-4</v>
      </c>
      <c r="E338" s="3">
        <f t="shared" si="23"/>
        <v>21318.337984202331</v>
      </c>
    </row>
    <row r="339" spans="1:5" x14ac:dyDescent="0.3">
      <c r="A339">
        <f t="shared" si="24"/>
        <v>3.3699999999999721</v>
      </c>
      <c r="B339">
        <f t="shared" si="24"/>
        <v>33.37000000000004</v>
      </c>
      <c r="C339">
        <f t="shared" si="22"/>
        <v>3.5348595410577329E-4</v>
      </c>
      <c r="D339">
        <f t="shared" si="21"/>
        <v>3.5348595410577329E-4</v>
      </c>
      <c r="E339" s="3">
        <f t="shared" si="23"/>
        <v>21351.587313472901</v>
      </c>
    </row>
    <row r="340" spans="1:5" x14ac:dyDescent="0.3">
      <c r="A340">
        <f t="shared" si="24"/>
        <v>3.3799999999999719</v>
      </c>
      <c r="B340">
        <f t="shared" si="24"/>
        <v>33.380000000000038</v>
      </c>
      <c r="C340">
        <f t="shared" si="22"/>
        <v>3.5364208207935973E-4</v>
      </c>
      <c r="D340">
        <f t="shared" si="21"/>
        <v>3.5364208207935973E-4</v>
      </c>
      <c r="E340" s="3">
        <f t="shared" si="23"/>
        <v>21384.849937306313</v>
      </c>
    </row>
    <row r="341" spans="1:5" x14ac:dyDescent="0.3">
      <c r="A341">
        <f t="shared" si="24"/>
        <v>3.3899999999999717</v>
      </c>
      <c r="B341">
        <f t="shared" si="24"/>
        <v>33.390000000000036</v>
      </c>
      <c r="C341">
        <f t="shared" si="22"/>
        <v>3.5379839266350106E-4</v>
      </c>
      <c r="D341">
        <f t="shared" si="21"/>
        <v>3.5379839266350106E-4</v>
      </c>
      <c r="E341" s="3">
        <f t="shared" si="23"/>
        <v>21418.125861027725</v>
      </c>
    </row>
    <row r="342" spans="1:5" x14ac:dyDescent="0.3">
      <c r="A342">
        <f t="shared" si="24"/>
        <v>3.3999999999999715</v>
      </c>
      <c r="B342">
        <f t="shared" si="24"/>
        <v>33.400000000000034</v>
      </c>
      <c r="C342">
        <f t="shared" si="22"/>
        <v>3.5395488607178221E-4</v>
      </c>
      <c r="D342">
        <f t="shared" si="21"/>
        <v>3.5395488607178221E-4</v>
      </c>
      <c r="E342" s="3">
        <f t="shared" si="23"/>
        <v>21451.41508996451</v>
      </c>
    </row>
    <row r="343" spans="1:5" x14ac:dyDescent="0.3">
      <c r="A343">
        <f t="shared" si="24"/>
        <v>3.4099999999999713</v>
      </c>
      <c r="B343">
        <f t="shared" si="24"/>
        <v>33.410000000000032</v>
      </c>
      <c r="C343">
        <f t="shared" si="22"/>
        <v>3.5411156251803828E-4</v>
      </c>
      <c r="D343">
        <f t="shared" ref="D343:D406" si="25">IF(A343&lt;=2, (0.9)^(2-A343)*C343, C343)</f>
        <v>3.5411156251803828E-4</v>
      </c>
      <c r="E343" s="3">
        <f t="shared" si="23"/>
        <v>21484.717629446266</v>
      </c>
    </row>
    <row r="344" spans="1:5" x14ac:dyDescent="0.3">
      <c r="A344">
        <f t="shared" si="24"/>
        <v>3.4199999999999711</v>
      </c>
      <c r="B344">
        <f t="shared" si="24"/>
        <v>33.42000000000003</v>
      </c>
      <c r="C344">
        <f t="shared" si="22"/>
        <v>3.5426842221635436E-4</v>
      </c>
      <c r="D344">
        <f t="shared" si="25"/>
        <v>3.5426842221635436E-4</v>
      </c>
      <c r="E344" s="3">
        <f t="shared" si="23"/>
        <v>21518.033484804826</v>
      </c>
    </row>
    <row r="345" spans="1:5" x14ac:dyDescent="0.3">
      <c r="A345">
        <f t="shared" si="24"/>
        <v>3.4299999999999708</v>
      </c>
      <c r="B345">
        <f t="shared" si="24"/>
        <v>33.430000000000028</v>
      </c>
      <c r="C345">
        <f t="shared" si="22"/>
        <v>3.5442546538106572E-4</v>
      </c>
      <c r="D345">
        <f t="shared" si="25"/>
        <v>3.5442546538106572E-4</v>
      </c>
      <c r="E345" s="3">
        <f t="shared" si="23"/>
        <v>21551.362661374249</v>
      </c>
    </row>
    <row r="346" spans="1:5" x14ac:dyDescent="0.3">
      <c r="A346">
        <f t="shared" si="24"/>
        <v>3.4399999999999706</v>
      </c>
      <c r="B346">
        <f t="shared" si="24"/>
        <v>33.440000000000026</v>
      </c>
      <c r="C346">
        <f t="shared" si="22"/>
        <v>3.5458269222675865E-4</v>
      </c>
      <c r="D346">
        <f t="shared" si="25"/>
        <v>3.5458269222675865E-4</v>
      </c>
      <c r="E346" s="3">
        <f t="shared" si="23"/>
        <v>21584.705164490824</v>
      </c>
    </row>
    <row r="347" spans="1:5" x14ac:dyDescent="0.3">
      <c r="A347">
        <f t="shared" si="24"/>
        <v>3.4499999999999704</v>
      </c>
      <c r="B347">
        <f t="shared" si="24"/>
        <v>33.450000000000024</v>
      </c>
      <c r="C347">
        <f t="shared" si="22"/>
        <v>3.5474010296827028E-4</v>
      </c>
      <c r="D347">
        <f t="shared" si="25"/>
        <v>3.5474010296827028E-4</v>
      </c>
      <c r="E347" s="3">
        <f t="shared" si="23"/>
        <v>21618.060999493075</v>
      </c>
    </row>
    <row r="348" spans="1:5" x14ac:dyDescent="0.3">
      <c r="A348">
        <f t="shared" si="24"/>
        <v>3.4599999999999702</v>
      </c>
      <c r="B348">
        <f t="shared" si="24"/>
        <v>33.460000000000022</v>
      </c>
      <c r="C348">
        <f t="shared" si="22"/>
        <v>3.54897697820689E-4</v>
      </c>
      <c r="D348">
        <f t="shared" si="25"/>
        <v>3.54897697820689E-4</v>
      </c>
      <c r="E348" s="3">
        <f t="shared" si="23"/>
        <v>21651.43017172175</v>
      </c>
    </row>
    <row r="349" spans="1:5" x14ac:dyDescent="0.3">
      <c r="A349">
        <f t="shared" si="24"/>
        <v>3.46999999999997</v>
      </c>
      <c r="B349">
        <f t="shared" si="24"/>
        <v>33.47000000000002</v>
      </c>
      <c r="C349">
        <f t="shared" si="22"/>
        <v>3.5505547699935479E-4</v>
      </c>
      <c r="D349">
        <f t="shared" si="25"/>
        <v>3.5505547699935479E-4</v>
      </c>
      <c r="E349" s="3">
        <f t="shared" si="23"/>
        <v>21684.812686519843</v>
      </c>
    </row>
    <row r="350" spans="1:5" x14ac:dyDescent="0.3">
      <c r="A350">
        <f t="shared" si="24"/>
        <v>3.4799999999999698</v>
      </c>
      <c r="B350">
        <f t="shared" si="24"/>
        <v>33.480000000000018</v>
      </c>
      <c r="C350">
        <f t="shared" si="22"/>
        <v>3.5521344071985943E-4</v>
      </c>
      <c r="D350">
        <f t="shared" si="25"/>
        <v>3.5521344071985943E-4</v>
      </c>
      <c r="E350" s="3">
        <f t="shared" si="23"/>
        <v>21718.208549232568</v>
      </c>
    </row>
    <row r="351" spans="1:5" x14ac:dyDescent="0.3">
      <c r="A351">
        <f t="shared" si="24"/>
        <v>3.4899999999999696</v>
      </c>
      <c r="B351">
        <f t="shared" si="24"/>
        <v>33.490000000000016</v>
      </c>
      <c r="C351">
        <f t="shared" si="22"/>
        <v>3.5537158919804701E-4</v>
      </c>
      <c r="D351">
        <f t="shared" si="25"/>
        <v>3.5537158919804701E-4</v>
      </c>
      <c r="E351" s="3">
        <f t="shared" si="23"/>
        <v>21751.617765207393</v>
      </c>
    </row>
    <row r="352" spans="1:5" x14ac:dyDescent="0.3">
      <c r="A352">
        <f t="shared" si="24"/>
        <v>3.4999999999999694</v>
      </c>
      <c r="B352">
        <f t="shared" si="24"/>
        <v>33.500000000000014</v>
      </c>
      <c r="C352">
        <f t="shared" si="22"/>
        <v>3.5552992265001405E-4</v>
      </c>
      <c r="D352">
        <f t="shared" si="25"/>
        <v>3.5552992265001405E-4</v>
      </c>
      <c r="E352" s="3">
        <f t="shared" si="23"/>
        <v>21785.040339794006</v>
      </c>
    </row>
    <row r="353" spans="1:5" x14ac:dyDescent="0.3">
      <c r="A353">
        <f t="shared" si="24"/>
        <v>3.5099999999999691</v>
      </c>
      <c r="B353">
        <f t="shared" si="24"/>
        <v>33.510000000000012</v>
      </c>
      <c r="C353">
        <f t="shared" si="22"/>
        <v>3.5568844129210957E-4</v>
      </c>
      <c r="D353">
        <f t="shared" si="25"/>
        <v>3.5568844129210957E-4</v>
      </c>
      <c r="E353" s="3">
        <f t="shared" si="23"/>
        <v>21818.476278344344</v>
      </c>
    </row>
    <row r="354" spans="1:5" x14ac:dyDescent="0.3">
      <c r="A354">
        <f t="shared" si="24"/>
        <v>3.5199999999999689</v>
      </c>
      <c r="B354">
        <f t="shared" si="24"/>
        <v>33.52000000000001</v>
      </c>
      <c r="C354">
        <f t="shared" si="22"/>
        <v>3.5584714534093607E-4</v>
      </c>
      <c r="D354">
        <f t="shared" si="25"/>
        <v>3.5584714534093607E-4</v>
      </c>
      <c r="E354" s="3">
        <f t="shared" si="23"/>
        <v>21851.925586212576</v>
      </c>
    </row>
    <row r="355" spans="1:5" x14ac:dyDescent="0.3">
      <c r="A355">
        <f t="shared" si="24"/>
        <v>3.5299999999999687</v>
      </c>
      <c r="B355">
        <f t="shared" si="24"/>
        <v>33.530000000000008</v>
      </c>
      <c r="C355">
        <f t="shared" si="22"/>
        <v>3.560060350133489E-4</v>
      </c>
      <c r="D355">
        <f t="shared" si="25"/>
        <v>3.560060350133489E-4</v>
      </c>
      <c r="E355" s="3">
        <f t="shared" si="23"/>
        <v>21885.388268755123</v>
      </c>
    </row>
    <row r="356" spans="1:5" x14ac:dyDescent="0.3">
      <c r="A356">
        <f t="shared" si="24"/>
        <v>3.5399999999999685</v>
      </c>
      <c r="B356">
        <f t="shared" si="24"/>
        <v>33.540000000000006</v>
      </c>
      <c r="C356">
        <f t="shared" si="22"/>
        <v>3.5616511052645743E-4</v>
      </c>
      <c r="D356">
        <f t="shared" si="25"/>
        <v>3.5616511052645743E-4</v>
      </c>
      <c r="E356" s="3">
        <f t="shared" si="23"/>
        <v>21918.864331330631</v>
      </c>
    </row>
    <row r="357" spans="1:5" x14ac:dyDescent="0.3">
      <c r="A357">
        <f t="shared" si="24"/>
        <v>3.5499999999999683</v>
      </c>
      <c r="B357">
        <f t="shared" si="24"/>
        <v>33.550000000000004</v>
      </c>
      <c r="C357">
        <f t="shared" si="22"/>
        <v>3.56324372097625E-4</v>
      </c>
      <c r="D357">
        <f t="shared" si="25"/>
        <v>3.56324372097625E-4</v>
      </c>
      <c r="E357" s="3">
        <f t="shared" si="23"/>
        <v>21952.353779300007</v>
      </c>
    </row>
    <row r="358" spans="1:5" x14ac:dyDescent="0.3">
      <c r="A358">
        <f t="shared" si="24"/>
        <v>3.5599999999999681</v>
      </c>
      <c r="B358">
        <f t="shared" si="24"/>
        <v>33.56</v>
      </c>
      <c r="C358">
        <f t="shared" si="22"/>
        <v>3.5648381994446871E-4</v>
      </c>
      <c r="D358">
        <f t="shared" si="25"/>
        <v>3.5648381994446871E-4</v>
      </c>
      <c r="E358" s="3">
        <f t="shared" si="23"/>
        <v>21985.856618026395</v>
      </c>
    </row>
    <row r="359" spans="1:5" x14ac:dyDescent="0.3">
      <c r="A359">
        <f t="shared" si="24"/>
        <v>3.5699999999999679</v>
      </c>
      <c r="B359">
        <f t="shared" si="24"/>
        <v>33.57</v>
      </c>
      <c r="C359">
        <f t="shared" si="22"/>
        <v>3.5664345428486073E-4</v>
      </c>
      <c r="D359">
        <f t="shared" si="25"/>
        <v>3.5664345428486073E-4</v>
      </c>
      <c r="E359" s="3">
        <f t="shared" si="23"/>
        <v>22019.372852875182</v>
      </c>
    </row>
    <row r="360" spans="1:5" x14ac:dyDescent="0.3">
      <c r="A360">
        <f t="shared" si="24"/>
        <v>3.5799999999999677</v>
      </c>
      <c r="B360">
        <f t="shared" si="24"/>
        <v>33.58</v>
      </c>
      <c r="C360">
        <f t="shared" si="22"/>
        <v>3.5680327533692767E-4</v>
      </c>
      <c r="D360">
        <f t="shared" si="25"/>
        <v>3.5680327533692767E-4</v>
      </c>
      <c r="E360" s="3">
        <f t="shared" si="23"/>
        <v>22052.902489214001</v>
      </c>
    </row>
    <row r="361" spans="1:5" x14ac:dyDescent="0.3">
      <c r="A361">
        <f t="shared" si="24"/>
        <v>3.5899999999999674</v>
      </c>
      <c r="B361">
        <f t="shared" si="24"/>
        <v>33.589999999999996</v>
      </c>
      <c r="C361">
        <f t="shared" si="22"/>
        <v>3.5696328331905156E-4</v>
      </c>
      <c r="D361">
        <f t="shared" si="25"/>
        <v>3.5696328331905156E-4</v>
      </c>
      <c r="E361" s="3">
        <f t="shared" si="23"/>
        <v>22086.445532412741</v>
      </c>
    </row>
    <row r="362" spans="1:5" x14ac:dyDescent="0.3">
      <c r="A362">
        <f t="shared" si="24"/>
        <v>3.5999999999999672</v>
      </c>
      <c r="B362">
        <f t="shared" si="24"/>
        <v>33.599999999999994</v>
      </c>
      <c r="C362">
        <f t="shared" si="22"/>
        <v>3.5712347844986977E-4</v>
      </c>
      <c r="D362">
        <f t="shared" si="25"/>
        <v>3.5712347844986977E-4</v>
      </c>
      <c r="E362" s="3">
        <f t="shared" si="23"/>
        <v>22120.001987843523</v>
      </c>
    </row>
    <row r="363" spans="1:5" x14ac:dyDescent="0.3">
      <c r="A363">
        <f t="shared" si="24"/>
        <v>3.609999999999967</v>
      </c>
      <c r="B363">
        <f t="shared" si="24"/>
        <v>33.609999999999992</v>
      </c>
      <c r="C363">
        <f t="shared" si="22"/>
        <v>3.5728386094827503E-4</v>
      </c>
      <c r="D363">
        <f t="shared" si="25"/>
        <v>3.5728386094827503E-4</v>
      </c>
      <c r="E363" s="3">
        <f t="shared" si="23"/>
        <v>22153.571860880744</v>
      </c>
    </row>
    <row r="364" spans="1:5" x14ac:dyDescent="0.3">
      <c r="A364">
        <f t="shared" si="24"/>
        <v>3.6199999999999668</v>
      </c>
      <c r="B364">
        <f t="shared" si="24"/>
        <v>33.61999999999999</v>
      </c>
      <c r="C364">
        <f t="shared" si="22"/>
        <v>3.5744443103341681E-4</v>
      </c>
      <c r="D364">
        <f t="shared" si="25"/>
        <v>3.5744443103341681E-4</v>
      </c>
      <c r="E364" s="3">
        <f t="shared" si="23"/>
        <v>22187.15515690103</v>
      </c>
    </row>
    <row r="365" spans="1:5" x14ac:dyDescent="0.3">
      <c r="A365">
        <f t="shared" si="24"/>
        <v>3.6299999999999666</v>
      </c>
      <c r="B365">
        <f t="shared" si="24"/>
        <v>33.629999999999988</v>
      </c>
      <c r="C365">
        <f t="shared" si="22"/>
        <v>3.5760518892470009E-4</v>
      </c>
      <c r="D365">
        <f t="shared" si="25"/>
        <v>3.5760518892470009E-4</v>
      </c>
      <c r="E365" s="3">
        <f t="shared" si="23"/>
        <v>22220.751881283268</v>
      </c>
    </row>
    <row r="366" spans="1:5" x14ac:dyDescent="0.3">
      <c r="A366">
        <f t="shared" si="24"/>
        <v>3.6399999999999664</v>
      </c>
      <c r="B366">
        <f t="shared" si="24"/>
        <v>33.639999999999986</v>
      </c>
      <c r="C366">
        <f t="shared" si="22"/>
        <v>3.5776613484178718E-4</v>
      </c>
      <c r="D366">
        <f t="shared" si="25"/>
        <v>3.5776613484178718E-4</v>
      </c>
      <c r="E366" s="3">
        <f t="shared" si="23"/>
        <v>22254.362039408603</v>
      </c>
    </row>
    <row r="367" spans="1:5" x14ac:dyDescent="0.3">
      <c r="A367">
        <f t="shared" si="24"/>
        <v>3.6499999999999662</v>
      </c>
      <c r="B367">
        <f t="shared" si="24"/>
        <v>33.649999999999984</v>
      </c>
      <c r="C367">
        <f t="shared" si="22"/>
        <v>3.5792726900459694E-4</v>
      </c>
      <c r="D367">
        <f t="shared" si="25"/>
        <v>3.5792726900459694E-4</v>
      </c>
      <c r="E367" s="3">
        <f t="shared" si="23"/>
        <v>22287.985636660425</v>
      </c>
    </row>
    <row r="368" spans="1:5" x14ac:dyDescent="0.3">
      <c r="A368">
        <f t="shared" si="24"/>
        <v>3.6599999999999659</v>
      </c>
      <c r="B368">
        <f t="shared" si="24"/>
        <v>33.659999999999982</v>
      </c>
      <c r="C368">
        <f t="shared" si="22"/>
        <v>3.5808859163330539E-4</v>
      </c>
      <c r="D368">
        <f t="shared" si="25"/>
        <v>3.5808859163330539E-4</v>
      </c>
      <c r="E368" s="3">
        <f t="shared" si="23"/>
        <v>22321.622678424388</v>
      </c>
    </row>
    <row r="369" spans="1:5" x14ac:dyDescent="0.3">
      <c r="A369">
        <f t="shared" si="24"/>
        <v>3.6699999999999657</v>
      </c>
      <c r="B369">
        <f t="shared" si="24"/>
        <v>33.66999999999998</v>
      </c>
      <c r="C369">
        <f t="shared" si="22"/>
        <v>3.5825010294834642E-4</v>
      </c>
      <c r="D369">
        <f t="shared" si="25"/>
        <v>3.5825010294834642E-4</v>
      </c>
      <c r="E369" s="3">
        <f t="shared" si="23"/>
        <v>22355.2731700884</v>
      </c>
    </row>
    <row r="370" spans="1:5" x14ac:dyDescent="0.3">
      <c r="A370">
        <f t="shared" si="24"/>
        <v>3.6799999999999655</v>
      </c>
      <c r="B370">
        <f t="shared" si="24"/>
        <v>33.679999999999978</v>
      </c>
      <c r="C370">
        <f t="shared" si="22"/>
        <v>3.5841180317041125E-4</v>
      </c>
      <c r="D370">
        <f t="shared" si="25"/>
        <v>3.5841180317041125E-4</v>
      </c>
      <c r="E370" s="3">
        <f t="shared" si="23"/>
        <v>22388.937117042631</v>
      </c>
    </row>
    <row r="371" spans="1:5" x14ac:dyDescent="0.3">
      <c r="A371">
        <f t="shared" si="24"/>
        <v>3.6899999999999653</v>
      </c>
      <c r="B371">
        <f t="shared" si="24"/>
        <v>33.689999999999976</v>
      </c>
      <c r="C371">
        <f t="shared" si="22"/>
        <v>3.5857369252044967E-4</v>
      </c>
      <c r="D371">
        <f t="shared" si="25"/>
        <v>3.5857369252044967E-4</v>
      </c>
      <c r="E371" s="3">
        <f t="shared" si="23"/>
        <v>22422.614524679506</v>
      </c>
    </row>
    <row r="372" spans="1:5" x14ac:dyDescent="0.3">
      <c r="A372">
        <f t="shared" si="24"/>
        <v>3.6999999999999651</v>
      </c>
      <c r="B372">
        <f t="shared" si="24"/>
        <v>33.699999999999974</v>
      </c>
      <c r="C372">
        <f t="shared" si="22"/>
        <v>3.5873577121966978E-4</v>
      </c>
      <c r="D372">
        <f t="shared" si="25"/>
        <v>3.5873577121966978E-4</v>
      </c>
      <c r="E372" s="3">
        <f t="shared" si="23"/>
        <v>22456.305398393717</v>
      </c>
    </row>
    <row r="373" spans="1:5" x14ac:dyDescent="0.3">
      <c r="A373">
        <f t="shared" si="24"/>
        <v>3.7099999999999649</v>
      </c>
      <c r="B373">
        <f t="shared" si="24"/>
        <v>33.709999999999972</v>
      </c>
      <c r="C373">
        <f t="shared" si="22"/>
        <v>3.5889803948953823E-4</v>
      </c>
      <c r="D373">
        <f t="shared" si="25"/>
        <v>3.5889803948953823E-4</v>
      </c>
      <c r="E373" s="3">
        <f t="shared" si="23"/>
        <v>22490.009743582214</v>
      </c>
    </row>
    <row r="374" spans="1:5" x14ac:dyDescent="0.3">
      <c r="A374">
        <f t="shared" si="24"/>
        <v>3.7199999999999647</v>
      </c>
      <c r="B374">
        <f t="shared" si="24"/>
        <v>33.71999999999997</v>
      </c>
      <c r="C374">
        <f t="shared" si="22"/>
        <v>3.5906049755178094E-4</v>
      </c>
      <c r="D374">
        <f t="shared" si="25"/>
        <v>3.5906049755178094E-4</v>
      </c>
      <c r="E374" s="3">
        <f t="shared" si="23"/>
        <v>22523.727565644207</v>
      </c>
    </row>
    <row r="375" spans="1:5" x14ac:dyDescent="0.3">
      <c r="A375">
        <f t="shared" si="24"/>
        <v>3.7299999999999645</v>
      </c>
      <c r="B375">
        <f t="shared" si="24"/>
        <v>33.729999999999968</v>
      </c>
      <c r="C375">
        <f t="shared" si="22"/>
        <v>3.5922314562838293E-4</v>
      </c>
      <c r="D375">
        <f t="shared" si="25"/>
        <v>3.5922314562838293E-4</v>
      </c>
      <c r="E375" s="3">
        <f t="shared" si="23"/>
        <v>22557.458869981179</v>
      </c>
    </row>
    <row r="376" spans="1:5" x14ac:dyDescent="0.3">
      <c r="A376">
        <f t="shared" si="24"/>
        <v>3.7399999999999642</v>
      </c>
      <c r="B376">
        <f t="shared" si="24"/>
        <v>33.739999999999966</v>
      </c>
      <c r="C376">
        <f t="shared" si="22"/>
        <v>3.5938598394158895E-4</v>
      </c>
      <c r="D376">
        <f t="shared" si="25"/>
        <v>3.5938598394158895E-4</v>
      </c>
      <c r="E376" s="3">
        <f t="shared" si="23"/>
        <v>22591.203661996871</v>
      </c>
    </row>
    <row r="377" spans="1:5" x14ac:dyDescent="0.3">
      <c r="A377">
        <f t="shared" si="24"/>
        <v>3.749999999999964</v>
      </c>
      <c r="B377">
        <f t="shared" si="24"/>
        <v>33.749999999999964</v>
      </c>
      <c r="C377">
        <f t="shared" si="22"/>
        <v>3.5954901271390401E-4</v>
      </c>
      <c r="D377">
        <f t="shared" si="25"/>
        <v>3.5954901271390401E-4</v>
      </c>
      <c r="E377" s="3">
        <f t="shared" si="23"/>
        <v>22624.961947097294</v>
      </c>
    </row>
    <row r="378" spans="1:5" x14ac:dyDescent="0.3">
      <c r="A378">
        <f t="shared" si="24"/>
        <v>3.7599999999999638</v>
      </c>
      <c r="B378">
        <f t="shared" si="24"/>
        <v>33.759999999999962</v>
      </c>
      <c r="C378">
        <f t="shared" si="22"/>
        <v>3.5971223216809279E-4</v>
      </c>
      <c r="D378">
        <f t="shared" si="25"/>
        <v>3.5971223216809279E-4</v>
      </c>
      <c r="E378" s="3">
        <f t="shared" si="23"/>
        <v>22658.733730690725</v>
      </c>
    </row>
    <row r="379" spans="1:5" x14ac:dyDescent="0.3">
      <c r="A379">
        <f t="shared" si="24"/>
        <v>3.7699999999999636</v>
      </c>
      <c r="B379">
        <f t="shared" si="24"/>
        <v>33.76999999999996</v>
      </c>
      <c r="C379">
        <f t="shared" si="22"/>
        <v>3.5987564252718094E-4</v>
      </c>
      <c r="D379">
        <f t="shared" si="25"/>
        <v>3.5987564252718094E-4</v>
      </c>
      <c r="E379" s="3">
        <f t="shared" si="23"/>
        <v>22692.519018187715</v>
      </c>
    </row>
    <row r="380" spans="1:5" x14ac:dyDescent="0.3">
      <c r="A380">
        <f t="shared" si="24"/>
        <v>3.7799999999999634</v>
      </c>
      <c r="B380">
        <f t="shared" si="24"/>
        <v>33.779999999999959</v>
      </c>
      <c r="C380">
        <f t="shared" si="22"/>
        <v>3.6003924401445479E-4</v>
      </c>
      <c r="D380">
        <f t="shared" si="25"/>
        <v>3.6003924401445479E-4</v>
      </c>
      <c r="E380" s="3">
        <f t="shared" si="23"/>
        <v>22726.317815001086</v>
      </c>
    </row>
    <row r="381" spans="1:5" x14ac:dyDescent="0.3">
      <c r="A381">
        <f t="shared" si="24"/>
        <v>3.7899999999999632</v>
      </c>
      <c r="B381">
        <f t="shared" si="24"/>
        <v>33.789999999999957</v>
      </c>
      <c r="C381">
        <f t="shared" si="22"/>
        <v>3.6020303685346187E-4</v>
      </c>
      <c r="D381">
        <f t="shared" si="25"/>
        <v>3.6020303685346187E-4</v>
      </c>
      <c r="E381" s="3">
        <f t="shared" si="23"/>
        <v>22760.130126545926</v>
      </c>
    </row>
    <row r="382" spans="1:5" x14ac:dyDescent="0.3">
      <c r="A382">
        <f t="shared" si="24"/>
        <v>3.799999999999963</v>
      </c>
      <c r="B382">
        <f t="shared" si="24"/>
        <v>33.799999999999955</v>
      </c>
      <c r="C382">
        <f t="shared" si="22"/>
        <v>3.6036702126801133E-4</v>
      </c>
      <c r="D382">
        <f t="shared" si="25"/>
        <v>3.6036702126801133E-4</v>
      </c>
      <c r="E382" s="3">
        <f t="shared" si="23"/>
        <v>22793.9559582396</v>
      </c>
    </row>
    <row r="383" spans="1:5" x14ac:dyDescent="0.3">
      <c r="A383">
        <f t="shared" si="24"/>
        <v>3.8099999999999627</v>
      </c>
      <c r="B383">
        <f t="shared" si="24"/>
        <v>33.809999999999953</v>
      </c>
      <c r="C383">
        <f t="shared" si="22"/>
        <v>3.6053119748217372E-4</v>
      </c>
      <c r="D383">
        <f t="shared" si="25"/>
        <v>3.6053119748217372E-4</v>
      </c>
      <c r="E383" s="3">
        <f t="shared" si="23"/>
        <v>22827.795315501742</v>
      </c>
    </row>
    <row r="384" spans="1:5" x14ac:dyDescent="0.3">
      <c r="A384">
        <f t="shared" si="24"/>
        <v>3.8199999999999625</v>
      </c>
      <c r="B384">
        <f t="shared" si="24"/>
        <v>33.819999999999951</v>
      </c>
      <c r="C384">
        <f t="shared" si="22"/>
        <v>3.6069556572028205E-4</v>
      </c>
      <c r="D384">
        <f t="shared" si="25"/>
        <v>3.6069556572028205E-4</v>
      </c>
      <c r="E384" s="3">
        <f t="shared" si="23"/>
        <v>22861.648203754266</v>
      </c>
    </row>
    <row r="385" spans="1:5" x14ac:dyDescent="0.3">
      <c r="A385">
        <f t="shared" si="24"/>
        <v>3.8299999999999623</v>
      </c>
      <c r="B385">
        <f t="shared" si="24"/>
        <v>33.829999999999949</v>
      </c>
      <c r="C385">
        <f t="shared" si="22"/>
        <v>3.6086012620693147E-4</v>
      </c>
      <c r="D385">
        <f t="shared" si="25"/>
        <v>3.6086012620693147E-4</v>
      </c>
      <c r="E385" s="3">
        <f t="shared" si="23"/>
        <v>22895.51462842137</v>
      </c>
    </row>
    <row r="386" spans="1:5" x14ac:dyDescent="0.3">
      <c r="A386">
        <f t="shared" si="24"/>
        <v>3.8399999999999621</v>
      </c>
      <c r="B386">
        <f t="shared" si="24"/>
        <v>33.839999999999947</v>
      </c>
      <c r="C386">
        <f t="shared" si="22"/>
        <v>3.6102487916697993E-4</v>
      </c>
      <c r="D386">
        <f t="shared" si="25"/>
        <v>3.6102487916697993E-4</v>
      </c>
      <c r="E386" s="3">
        <f t="shared" si="23"/>
        <v>22929.394594929516</v>
      </c>
    </row>
    <row r="387" spans="1:5" x14ac:dyDescent="0.3">
      <c r="A387">
        <f t="shared" si="24"/>
        <v>3.8499999999999619</v>
      </c>
      <c r="B387">
        <f t="shared" si="24"/>
        <v>33.849999999999945</v>
      </c>
      <c r="C387">
        <f t="shared" ref="C387:C450" si="26">$N$2 + $N$3*$N$4^(B387)</f>
        <v>3.6118982482554845E-4</v>
      </c>
      <c r="D387">
        <f t="shared" si="25"/>
        <v>3.6118982482554845E-4</v>
      </c>
      <c r="E387" s="3">
        <f t="shared" ref="E387:E450" si="27">IF(ROUND(A387, 2)=$N$10,$N$6,(E388-$N$5*($N$7-$N$8-($N$6+$N$9)*D387))/(1+$N$5*$N$11+$N$5*D387))</f>
        <v>22963.288108707449</v>
      </c>
    </row>
    <row r="388" spans="1:5" x14ac:dyDescent="0.3">
      <c r="A388">
        <f t="shared" ref="A388:B451" si="28">A387+$N$5</f>
        <v>3.8599999999999617</v>
      </c>
      <c r="B388">
        <f t="shared" si="28"/>
        <v>33.859999999999943</v>
      </c>
      <c r="C388">
        <f t="shared" si="26"/>
        <v>3.6135496340802115E-4</v>
      </c>
      <c r="D388">
        <f t="shared" si="25"/>
        <v>3.6135496340802115E-4</v>
      </c>
      <c r="E388" s="3">
        <f t="shared" si="27"/>
        <v>22997.1951751862</v>
      </c>
    </row>
    <row r="389" spans="1:5" x14ac:dyDescent="0.3">
      <c r="A389">
        <f t="shared" si="28"/>
        <v>3.8699999999999615</v>
      </c>
      <c r="B389">
        <f t="shared" si="28"/>
        <v>33.869999999999941</v>
      </c>
      <c r="C389">
        <f t="shared" si="26"/>
        <v>3.6152029514004592E-4</v>
      </c>
      <c r="D389">
        <f t="shared" si="25"/>
        <v>3.6152029514004592E-4</v>
      </c>
      <c r="E389" s="3">
        <f t="shared" si="27"/>
        <v>23031.115799799078</v>
      </c>
    </row>
    <row r="390" spans="1:5" x14ac:dyDescent="0.3">
      <c r="A390">
        <f t="shared" si="28"/>
        <v>3.8799999999999613</v>
      </c>
      <c r="B390">
        <f t="shared" si="28"/>
        <v>33.879999999999939</v>
      </c>
      <c r="C390">
        <f t="shared" si="26"/>
        <v>3.6168582024753449E-4</v>
      </c>
      <c r="D390">
        <f t="shared" si="25"/>
        <v>3.6168582024753449E-4</v>
      </c>
      <c r="E390" s="3">
        <f t="shared" si="27"/>
        <v>23065.049987981671</v>
      </c>
    </row>
    <row r="391" spans="1:5" x14ac:dyDescent="0.3">
      <c r="A391">
        <f t="shared" si="28"/>
        <v>3.889999999999961</v>
      </c>
      <c r="B391">
        <f t="shared" si="28"/>
        <v>33.889999999999937</v>
      </c>
      <c r="C391">
        <f t="shared" si="26"/>
        <v>3.6185153895666288E-4</v>
      </c>
      <c r="D391">
        <f t="shared" si="25"/>
        <v>3.6185153895666288E-4</v>
      </c>
      <c r="E391" s="3">
        <f t="shared" si="27"/>
        <v>23098.997745171855</v>
      </c>
    </row>
    <row r="392" spans="1:5" x14ac:dyDescent="0.3">
      <c r="A392">
        <f t="shared" si="28"/>
        <v>3.8999999999999608</v>
      </c>
      <c r="B392">
        <f t="shared" si="28"/>
        <v>33.899999999999935</v>
      </c>
      <c r="C392">
        <f t="shared" si="26"/>
        <v>3.6201745149387176E-4</v>
      </c>
      <c r="D392">
        <f t="shared" si="25"/>
        <v>3.6201745149387176E-4</v>
      </c>
      <c r="E392" s="3">
        <f t="shared" si="27"/>
        <v>23132.959076809791</v>
      </c>
    </row>
    <row r="393" spans="1:5" x14ac:dyDescent="0.3">
      <c r="A393">
        <f t="shared" si="28"/>
        <v>3.9099999999999606</v>
      </c>
      <c r="B393">
        <f t="shared" si="28"/>
        <v>33.909999999999933</v>
      </c>
      <c r="C393">
        <f t="shared" si="26"/>
        <v>3.6218355808586628E-4</v>
      </c>
      <c r="D393">
        <f t="shared" si="25"/>
        <v>3.6218355808586628E-4</v>
      </c>
      <c r="E393" s="3">
        <f t="shared" si="27"/>
        <v>23166.933988337922</v>
      </c>
    </row>
    <row r="394" spans="1:5" x14ac:dyDescent="0.3">
      <c r="A394">
        <f t="shared" si="28"/>
        <v>3.9199999999999604</v>
      </c>
      <c r="B394">
        <f t="shared" si="28"/>
        <v>33.919999999999931</v>
      </c>
      <c r="C394">
        <f t="shared" si="26"/>
        <v>3.6234985895961718E-4</v>
      </c>
      <c r="D394">
        <f t="shared" si="25"/>
        <v>3.6234985895961718E-4</v>
      </c>
      <c r="E394" s="3">
        <f t="shared" si="27"/>
        <v>23200.922485200987</v>
      </c>
    </row>
    <row r="395" spans="1:5" x14ac:dyDescent="0.3">
      <c r="A395">
        <f t="shared" si="28"/>
        <v>3.9299999999999602</v>
      </c>
      <c r="B395">
        <f t="shared" si="28"/>
        <v>33.929999999999929</v>
      </c>
      <c r="C395">
        <f t="shared" si="26"/>
        <v>3.6251635434236037E-4</v>
      </c>
      <c r="D395">
        <f t="shared" si="25"/>
        <v>3.6251635434236037E-4</v>
      </c>
      <c r="E395" s="3">
        <f t="shared" si="27"/>
        <v>23234.924572846012</v>
      </c>
    </row>
    <row r="396" spans="1:5" x14ac:dyDescent="0.3">
      <c r="A396">
        <f t="shared" si="28"/>
        <v>3.93999999999996</v>
      </c>
      <c r="B396">
        <f t="shared" si="28"/>
        <v>33.939999999999927</v>
      </c>
      <c r="C396">
        <f t="shared" si="26"/>
        <v>3.6268304446159774E-4</v>
      </c>
      <c r="D396">
        <f t="shared" si="25"/>
        <v>3.6268304446159774E-4</v>
      </c>
      <c r="E396" s="3">
        <f t="shared" si="27"/>
        <v>23268.940256722301</v>
      </c>
    </row>
    <row r="397" spans="1:5" x14ac:dyDescent="0.3">
      <c r="A397">
        <f t="shared" si="28"/>
        <v>3.9499999999999598</v>
      </c>
      <c r="B397">
        <f t="shared" si="28"/>
        <v>33.949999999999925</v>
      </c>
      <c r="C397">
        <f t="shared" si="26"/>
        <v>3.6284992954509719E-4</v>
      </c>
      <c r="D397">
        <f t="shared" si="25"/>
        <v>3.6284992954509719E-4</v>
      </c>
      <c r="E397" s="3">
        <f t="shared" si="27"/>
        <v>23302.969542281462</v>
      </c>
    </row>
    <row r="398" spans="1:5" x14ac:dyDescent="0.3">
      <c r="A398">
        <f t="shared" si="28"/>
        <v>3.9599999999999596</v>
      </c>
      <c r="B398">
        <f t="shared" si="28"/>
        <v>33.959999999999923</v>
      </c>
      <c r="C398">
        <f t="shared" si="26"/>
        <v>3.6301700982089289E-4</v>
      </c>
      <c r="D398">
        <f t="shared" si="25"/>
        <v>3.6301700982089289E-4</v>
      </c>
      <c r="E398" s="3">
        <f t="shared" si="27"/>
        <v>23337.012434977394</v>
      </c>
    </row>
    <row r="399" spans="1:5" x14ac:dyDescent="0.3">
      <c r="A399">
        <f t="shared" si="28"/>
        <v>3.9699999999999593</v>
      </c>
      <c r="B399">
        <f t="shared" si="28"/>
        <v>33.969999999999921</v>
      </c>
      <c r="C399">
        <f t="shared" si="26"/>
        <v>3.6318428551728593E-4</v>
      </c>
      <c r="D399">
        <f t="shared" si="25"/>
        <v>3.6318428551728593E-4</v>
      </c>
      <c r="E399" s="3">
        <f t="shared" si="27"/>
        <v>23371.068940266287</v>
      </c>
    </row>
    <row r="400" spans="1:5" x14ac:dyDescent="0.3">
      <c r="A400">
        <f t="shared" si="28"/>
        <v>3.9799999999999591</v>
      </c>
      <c r="B400">
        <f t="shared" si="28"/>
        <v>33.979999999999919</v>
      </c>
      <c r="C400">
        <f t="shared" si="26"/>
        <v>3.6335175686284435E-4</v>
      </c>
      <c r="D400">
        <f t="shared" si="25"/>
        <v>3.6335175686284435E-4</v>
      </c>
      <c r="E400" s="3">
        <f t="shared" si="27"/>
        <v>23405.139063606621</v>
      </c>
    </row>
    <row r="401" spans="1:5" x14ac:dyDescent="0.3">
      <c r="A401">
        <f t="shared" si="28"/>
        <v>3.9899999999999589</v>
      </c>
      <c r="B401">
        <f t="shared" si="28"/>
        <v>33.989999999999917</v>
      </c>
      <c r="C401">
        <f t="shared" si="26"/>
        <v>3.6351942408640345E-4</v>
      </c>
      <c r="D401">
        <f t="shared" si="25"/>
        <v>3.6351942408640345E-4</v>
      </c>
      <c r="E401" s="3">
        <f t="shared" si="27"/>
        <v>23439.222810459181</v>
      </c>
    </row>
    <row r="402" spans="1:5" x14ac:dyDescent="0.3">
      <c r="A402">
        <f t="shared" si="28"/>
        <v>3.9999999999999587</v>
      </c>
      <c r="B402">
        <f t="shared" si="28"/>
        <v>33.999999999999915</v>
      </c>
      <c r="C402">
        <f t="shared" si="26"/>
        <v>3.636872874170664E-4</v>
      </c>
      <c r="D402">
        <f t="shared" si="25"/>
        <v>3.636872874170664E-4</v>
      </c>
      <c r="E402" s="3">
        <f t="shared" si="27"/>
        <v>23473.320186287052</v>
      </c>
    </row>
    <row r="403" spans="1:5" x14ac:dyDescent="0.3">
      <c r="A403">
        <f t="shared" si="28"/>
        <v>4.0099999999999589</v>
      </c>
      <c r="B403">
        <f t="shared" si="28"/>
        <v>34.009999999999913</v>
      </c>
      <c r="C403">
        <f t="shared" si="26"/>
        <v>3.6385534708420399E-4</v>
      </c>
      <c r="D403">
        <f t="shared" si="25"/>
        <v>3.6385534708420399E-4</v>
      </c>
      <c r="E403" s="3">
        <f t="shared" si="27"/>
        <v>23507.431196555604</v>
      </c>
    </row>
    <row r="404" spans="1:5" x14ac:dyDescent="0.3">
      <c r="A404">
        <f t="shared" si="28"/>
        <v>4.0199999999999587</v>
      </c>
      <c r="B404">
        <f t="shared" si="28"/>
        <v>34.019999999999911</v>
      </c>
      <c r="C404">
        <f t="shared" si="26"/>
        <v>3.6402360331745567E-4</v>
      </c>
      <c r="D404">
        <f t="shared" si="25"/>
        <v>3.6402360331745567E-4</v>
      </c>
      <c r="E404" s="3">
        <f t="shared" si="27"/>
        <v>23541.55584673251</v>
      </c>
    </row>
    <row r="405" spans="1:5" x14ac:dyDescent="0.3">
      <c r="A405">
        <f t="shared" si="28"/>
        <v>4.0299999999999585</v>
      </c>
      <c r="B405">
        <f t="shared" si="28"/>
        <v>34.029999999999909</v>
      </c>
      <c r="C405">
        <f t="shared" si="26"/>
        <v>3.6419205634672909E-4</v>
      </c>
      <c r="D405">
        <f t="shared" si="25"/>
        <v>3.6419205634672909E-4</v>
      </c>
      <c r="E405" s="3">
        <f t="shared" si="27"/>
        <v>23575.694142287757</v>
      </c>
    </row>
    <row r="406" spans="1:5" x14ac:dyDescent="0.3">
      <c r="A406">
        <f t="shared" si="28"/>
        <v>4.0399999999999583</v>
      </c>
      <c r="B406">
        <f t="shared" si="28"/>
        <v>34.039999999999907</v>
      </c>
      <c r="C406">
        <f t="shared" si="26"/>
        <v>3.6436070640220115E-4</v>
      </c>
      <c r="D406">
        <f t="shared" si="25"/>
        <v>3.6436070640220115E-4</v>
      </c>
      <c r="E406" s="3">
        <f t="shared" si="27"/>
        <v>23609.846088693623</v>
      </c>
    </row>
    <row r="407" spans="1:5" x14ac:dyDescent="0.3">
      <c r="A407">
        <f t="shared" si="28"/>
        <v>4.0499999999999581</v>
      </c>
      <c r="B407">
        <f t="shared" si="28"/>
        <v>34.049999999999905</v>
      </c>
      <c r="C407">
        <f t="shared" si="26"/>
        <v>3.6452955371431782E-4</v>
      </c>
      <c r="D407">
        <f t="shared" ref="D407:D470" si="29">IF(A407&lt;=2, (0.9)^(2-A407)*C407, C407)</f>
        <v>3.6452955371431782E-4</v>
      </c>
      <c r="E407" s="3">
        <f t="shared" si="27"/>
        <v>23644.01169142469</v>
      </c>
    </row>
    <row r="408" spans="1:5" x14ac:dyDescent="0.3">
      <c r="A408">
        <f t="shared" si="28"/>
        <v>4.0599999999999579</v>
      </c>
      <c r="B408">
        <f t="shared" si="28"/>
        <v>34.059999999999903</v>
      </c>
      <c r="C408">
        <f t="shared" si="26"/>
        <v>3.6469859851379457E-4</v>
      </c>
      <c r="D408">
        <f t="shared" si="29"/>
        <v>3.6469859851379457E-4</v>
      </c>
      <c r="E408" s="3">
        <f t="shared" si="27"/>
        <v>23678.190955957845</v>
      </c>
    </row>
    <row r="409" spans="1:5" x14ac:dyDescent="0.3">
      <c r="A409">
        <f t="shared" si="28"/>
        <v>4.0699999999999577</v>
      </c>
      <c r="B409">
        <f t="shared" si="28"/>
        <v>34.069999999999901</v>
      </c>
      <c r="C409">
        <f t="shared" si="26"/>
        <v>3.648678410316168E-4</v>
      </c>
      <c r="D409">
        <f t="shared" si="29"/>
        <v>3.648678410316168E-4</v>
      </c>
      <c r="E409" s="3">
        <f t="shared" si="27"/>
        <v>23712.383887772285</v>
      </c>
    </row>
    <row r="410" spans="1:5" x14ac:dyDescent="0.3">
      <c r="A410">
        <f t="shared" si="28"/>
        <v>4.0799999999999574</v>
      </c>
      <c r="B410">
        <f t="shared" si="28"/>
        <v>34.079999999999899</v>
      </c>
      <c r="C410">
        <f t="shared" si="26"/>
        <v>3.6503728149903997E-4</v>
      </c>
      <c r="D410">
        <f t="shared" si="29"/>
        <v>3.6503728149903997E-4</v>
      </c>
      <c r="E410" s="3">
        <f t="shared" si="27"/>
        <v>23746.590492349507</v>
      </c>
    </row>
    <row r="411" spans="1:5" x14ac:dyDescent="0.3">
      <c r="A411">
        <f t="shared" si="28"/>
        <v>4.0899999999999572</v>
      </c>
      <c r="B411">
        <f t="shared" si="28"/>
        <v>34.089999999999897</v>
      </c>
      <c r="C411">
        <f t="shared" si="26"/>
        <v>3.6520692014759015E-4</v>
      </c>
      <c r="D411">
        <f t="shared" si="29"/>
        <v>3.6520692014759015E-4</v>
      </c>
      <c r="E411" s="3">
        <f t="shared" si="27"/>
        <v>23780.810775173326</v>
      </c>
    </row>
    <row r="412" spans="1:5" x14ac:dyDescent="0.3">
      <c r="A412">
        <f t="shared" si="28"/>
        <v>4.099999999999957</v>
      </c>
      <c r="B412">
        <f t="shared" si="28"/>
        <v>34.099999999999895</v>
      </c>
      <c r="C412">
        <f t="shared" si="26"/>
        <v>3.6537675720906416E-4</v>
      </c>
      <c r="D412">
        <f t="shared" si="29"/>
        <v>3.6537675720906416E-4</v>
      </c>
      <c r="E412" s="3">
        <f t="shared" si="27"/>
        <v>23815.044741729864</v>
      </c>
    </row>
    <row r="413" spans="1:5" x14ac:dyDescent="0.3">
      <c r="A413">
        <f t="shared" si="28"/>
        <v>4.1099999999999568</v>
      </c>
      <c r="B413">
        <f t="shared" si="28"/>
        <v>34.109999999999893</v>
      </c>
      <c r="C413">
        <f t="shared" si="26"/>
        <v>3.6554679291552991E-4</v>
      </c>
      <c r="D413">
        <f t="shared" si="29"/>
        <v>3.6554679291552991E-4</v>
      </c>
      <c r="E413" s="3">
        <f t="shared" si="27"/>
        <v>23849.29239750755</v>
      </c>
    </row>
    <row r="414" spans="1:5" x14ac:dyDescent="0.3">
      <c r="A414">
        <f t="shared" si="28"/>
        <v>4.1199999999999566</v>
      </c>
      <c r="B414">
        <f t="shared" si="28"/>
        <v>34.119999999999891</v>
      </c>
      <c r="C414">
        <f t="shared" si="26"/>
        <v>3.657170274993267E-4</v>
      </c>
      <c r="D414">
        <f t="shared" si="29"/>
        <v>3.657170274993267E-4</v>
      </c>
      <c r="E414" s="3">
        <f t="shared" si="27"/>
        <v>23883.553747997128</v>
      </c>
    </row>
    <row r="415" spans="1:5" x14ac:dyDescent="0.3">
      <c r="A415">
        <f t="shared" si="28"/>
        <v>4.1299999999999564</v>
      </c>
      <c r="B415">
        <f t="shared" si="28"/>
        <v>34.129999999999889</v>
      </c>
      <c r="C415">
        <f t="shared" si="26"/>
        <v>3.6588746119306558E-4</v>
      </c>
      <c r="D415">
        <f t="shared" si="29"/>
        <v>3.6588746119306558E-4</v>
      </c>
      <c r="E415" s="3">
        <f t="shared" si="27"/>
        <v>23917.828798691655</v>
      </c>
    </row>
    <row r="416" spans="1:5" x14ac:dyDescent="0.3">
      <c r="A416">
        <f t="shared" si="28"/>
        <v>4.1399999999999562</v>
      </c>
      <c r="B416">
        <f t="shared" si="28"/>
        <v>34.139999999999887</v>
      </c>
      <c r="C416">
        <f t="shared" si="26"/>
        <v>3.660580942296299E-4</v>
      </c>
      <c r="D416">
        <f t="shared" si="29"/>
        <v>3.660580942296299E-4</v>
      </c>
      <c r="E416" s="3">
        <f t="shared" si="27"/>
        <v>23952.117555086501</v>
      </c>
    </row>
    <row r="417" spans="1:5" x14ac:dyDescent="0.3">
      <c r="A417">
        <f t="shared" si="28"/>
        <v>4.1499999999999559</v>
      </c>
      <c r="B417">
        <f t="shared" si="28"/>
        <v>34.149999999999885</v>
      </c>
      <c r="C417">
        <f t="shared" si="26"/>
        <v>3.6622892684217508E-4</v>
      </c>
      <c r="D417">
        <f t="shared" si="29"/>
        <v>3.6622892684217508E-4</v>
      </c>
      <c r="E417" s="3">
        <f t="shared" si="27"/>
        <v>23986.420022679355</v>
      </c>
    </row>
    <row r="418" spans="1:5" x14ac:dyDescent="0.3">
      <c r="A418">
        <f t="shared" si="28"/>
        <v>4.1599999999999557</v>
      </c>
      <c r="B418">
        <f t="shared" si="28"/>
        <v>34.159999999999883</v>
      </c>
      <c r="C418">
        <f t="shared" si="26"/>
        <v>3.6639995926412939E-4</v>
      </c>
      <c r="D418">
        <f t="shared" si="29"/>
        <v>3.6639995926412939E-4</v>
      </c>
      <c r="E418" s="3">
        <f t="shared" si="27"/>
        <v>24020.736206970221</v>
      </c>
    </row>
    <row r="419" spans="1:5" x14ac:dyDescent="0.3">
      <c r="A419">
        <f t="shared" si="28"/>
        <v>4.1699999999999555</v>
      </c>
      <c r="B419">
        <f t="shared" si="28"/>
        <v>34.169999999999881</v>
      </c>
      <c r="C419">
        <f t="shared" si="26"/>
        <v>3.6657119172919415E-4</v>
      </c>
      <c r="D419">
        <f t="shared" si="29"/>
        <v>3.6657119172919415E-4</v>
      </c>
      <c r="E419" s="3">
        <f t="shared" si="27"/>
        <v>24055.06611346142</v>
      </c>
    </row>
    <row r="420" spans="1:5" x14ac:dyDescent="0.3">
      <c r="A420">
        <f t="shared" si="28"/>
        <v>4.1799999999999553</v>
      </c>
      <c r="B420">
        <f t="shared" si="28"/>
        <v>34.179999999999879</v>
      </c>
      <c r="C420">
        <f t="shared" si="26"/>
        <v>3.6674262447134392E-4</v>
      </c>
      <c r="D420">
        <f t="shared" si="29"/>
        <v>3.6674262447134392E-4</v>
      </c>
      <c r="E420" s="3">
        <f t="shared" si="27"/>
        <v>24089.409747657603</v>
      </c>
    </row>
    <row r="421" spans="1:5" x14ac:dyDescent="0.3">
      <c r="A421">
        <f t="shared" si="28"/>
        <v>4.1899999999999551</v>
      </c>
      <c r="B421">
        <f t="shared" si="28"/>
        <v>34.189999999999877</v>
      </c>
      <c r="C421">
        <f t="shared" si="26"/>
        <v>3.6691425772482703E-4</v>
      </c>
      <c r="D421">
        <f t="shared" si="29"/>
        <v>3.6691425772482703E-4</v>
      </c>
      <c r="E421" s="3">
        <f t="shared" si="27"/>
        <v>24123.767115065719</v>
      </c>
    </row>
    <row r="422" spans="1:5" x14ac:dyDescent="0.3">
      <c r="A422">
        <f t="shared" si="28"/>
        <v>4.1999999999999549</v>
      </c>
      <c r="B422">
        <f t="shared" si="28"/>
        <v>34.199999999999875</v>
      </c>
      <c r="C422">
        <f t="shared" si="26"/>
        <v>3.6708609172416578E-4</v>
      </c>
      <c r="D422">
        <f t="shared" si="29"/>
        <v>3.6708609172416578E-4</v>
      </c>
      <c r="E422" s="3">
        <f t="shared" si="27"/>
        <v>24158.138221195066</v>
      </c>
    </row>
    <row r="423" spans="1:5" x14ac:dyDescent="0.3">
      <c r="A423">
        <f t="shared" si="28"/>
        <v>4.2099999999999547</v>
      </c>
      <c r="B423">
        <f t="shared" si="28"/>
        <v>34.209999999999873</v>
      </c>
      <c r="C423">
        <f t="shared" si="26"/>
        <v>3.6725812670415658E-4</v>
      </c>
      <c r="D423">
        <f t="shared" si="29"/>
        <v>3.6725812670415658E-4</v>
      </c>
      <c r="E423" s="3">
        <f t="shared" si="27"/>
        <v>24192.523071557251</v>
      </c>
    </row>
    <row r="424" spans="1:5" x14ac:dyDescent="0.3">
      <c r="A424">
        <f t="shared" si="28"/>
        <v>4.2199999999999545</v>
      </c>
      <c r="B424">
        <f t="shared" si="28"/>
        <v>34.219999999999871</v>
      </c>
      <c r="C424">
        <f t="shared" si="26"/>
        <v>3.6743036289987088E-4</v>
      </c>
      <c r="D424">
        <f t="shared" si="29"/>
        <v>3.6743036289987088E-4</v>
      </c>
      <c r="E424" s="3">
        <f t="shared" si="27"/>
        <v>24226.921671666205</v>
      </c>
    </row>
    <row r="425" spans="1:5" x14ac:dyDescent="0.3">
      <c r="A425">
        <f t="shared" si="28"/>
        <v>4.2299999999999542</v>
      </c>
      <c r="B425">
        <f t="shared" si="28"/>
        <v>34.229999999999869</v>
      </c>
      <c r="C425">
        <f t="shared" si="26"/>
        <v>3.6760280054665454E-4</v>
      </c>
      <c r="D425">
        <f t="shared" si="29"/>
        <v>3.6760280054665454E-4</v>
      </c>
      <c r="E425" s="3">
        <f t="shared" si="27"/>
        <v>24261.334027038185</v>
      </c>
    </row>
    <row r="426" spans="1:5" x14ac:dyDescent="0.3">
      <c r="A426">
        <f t="shared" si="28"/>
        <v>4.239999999999954</v>
      </c>
      <c r="B426">
        <f t="shared" si="28"/>
        <v>34.239999999999867</v>
      </c>
      <c r="C426">
        <f t="shared" si="26"/>
        <v>3.6777543988012905E-4</v>
      </c>
      <c r="D426">
        <f t="shared" si="29"/>
        <v>3.6777543988012905E-4</v>
      </c>
      <c r="E426" s="3">
        <f t="shared" si="27"/>
        <v>24295.760143191786</v>
      </c>
    </row>
    <row r="427" spans="1:5" x14ac:dyDescent="0.3">
      <c r="A427">
        <f t="shared" si="28"/>
        <v>4.2499999999999538</v>
      </c>
      <c r="B427">
        <f t="shared" si="28"/>
        <v>34.249999999999865</v>
      </c>
      <c r="C427">
        <f t="shared" si="26"/>
        <v>3.6794828113619147E-4</v>
      </c>
      <c r="D427">
        <f t="shared" si="29"/>
        <v>3.6794828113619147E-4</v>
      </c>
      <c r="E427" s="3">
        <f t="shared" si="27"/>
        <v>24330.200025647919</v>
      </c>
    </row>
    <row r="428" spans="1:5" x14ac:dyDescent="0.3">
      <c r="A428">
        <f t="shared" si="28"/>
        <v>4.2599999999999536</v>
      </c>
      <c r="B428">
        <f t="shared" si="28"/>
        <v>34.259999999999863</v>
      </c>
      <c r="C428">
        <f t="shared" si="26"/>
        <v>3.6812132455101481E-4</v>
      </c>
      <c r="D428">
        <f t="shared" si="29"/>
        <v>3.6812132455101481E-4</v>
      </c>
      <c r="E428" s="3">
        <f t="shared" si="27"/>
        <v>24364.653679929834</v>
      </c>
    </row>
    <row r="429" spans="1:5" x14ac:dyDescent="0.3">
      <c r="A429">
        <f t="shared" si="28"/>
        <v>4.2699999999999534</v>
      </c>
      <c r="B429">
        <f t="shared" si="28"/>
        <v>34.269999999999861</v>
      </c>
      <c r="C429">
        <f t="shared" si="26"/>
        <v>3.6829457036104786E-4</v>
      </c>
      <c r="D429">
        <f t="shared" si="29"/>
        <v>3.6829457036104786E-4</v>
      </c>
      <c r="E429" s="3">
        <f t="shared" si="27"/>
        <v>24399.121111563105</v>
      </c>
    </row>
    <row r="430" spans="1:5" x14ac:dyDescent="0.3">
      <c r="A430">
        <f t="shared" si="28"/>
        <v>4.2799999999999532</v>
      </c>
      <c r="B430">
        <f t="shared" si="28"/>
        <v>34.279999999999859</v>
      </c>
      <c r="C430">
        <f t="shared" si="26"/>
        <v>3.6846801880301649E-4</v>
      </c>
      <c r="D430">
        <f t="shared" si="29"/>
        <v>3.6846801880301649E-4</v>
      </c>
      <c r="E430" s="3">
        <f t="shared" si="27"/>
        <v>24433.602326075634</v>
      </c>
    </row>
    <row r="431" spans="1:5" x14ac:dyDescent="0.3">
      <c r="A431">
        <f t="shared" si="28"/>
        <v>4.289999999999953</v>
      </c>
      <c r="B431">
        <f t="shared" si="28"/>
        <v>34.289999999999857</v>
      </c>
      <c r="C431">
        <f t="shared" si="26"/>
        <v>3.6864167011392329E-4</v>
      </c>
      <c r="D431">
        <f t="shared" si="29"/>
        <v>3.6864167011392329E-4</v>
      </c>
      <c r="E431" s="3">
        <f t="shared" si="27"/>
        <v>24468.097328997676</v>
      </c>
    </row>
    <row r="432" spans="1:5" x14ac:dyDescent="0.3">
      <c r="A432">
        <f t="shared" si="28"/>
        <v>4.2999999999999527</v>
      </c>
      <c r="B432">
        <f t="shared" si="28"/>
        <v>34.299999999999855</v>
      </c>
      <c r="C432">
        <f t="shared" si="26"/>
        <v>3.6881552453104803E-4</v>
      </c>
      <c r="D432">
        <f t="shared" si="29"/>
        <v>3.6881552453104803E-4</v>
      </c>
      <c r="E432" s="3">
        <f t="shared" si="27"/>
        <v>24502.606125861803</v>
      </c>
    </row>
    <row r="433" spans="1:5" x14ac:dyDescent="0.3">
      <c r="A433">
        <f t="shared" si="28"/>
        <v>4.3099999999999525</v>
      </c>
      <c r="B433">
        <f t="shared" si="28"/>
        <v>34.309999999999853</v>
      </c>
      <c r="C433">
        <f t="shared" si="26"/>
        <v>3.6898958229194807E-4</v>
      </c>
      <c r="D433">
        <f t="shared" si="29"/>
        <v>3.6898958229194807E-4</v>
      </c>
      <c r="E433" s="3">
        <f t="shared" si="27"/>
        <v>24537.128722202917</v>
      </c>
    </row>
    <row r="434" spans="1:5" x14ac:dyDescent="0.3">
      <c r="A434">
        <f t="shared" si="28"/>
        <v>4.3199999999999523</v>
      </c>
      <c r="B434">
        <f t="shared" si="28"/>
        <v>34.319999999999851</v>
      </c>
      <c r="C434">
        <f t="shared" si="26"/>
        <v>3.6916384363445829E-4</v>
      </c>
      <c r="D434">
        <f t="shared" si="29"/>
        <v>3.6916384363445829E-4</v>
      </c>
      <c r="E434" s="3">
        <f t="shared" si="27"/>
        <v>24571.665123558279</v>
      </c>
    </row>
    <row r="435" spans="1:5" x14ac:dyDescent="0.3">
      <c r="A435">
        <f t="shared" si="28"/>
        <v>4.3299999999999521</v>
      </c>
      <c r="B435">
        <f t="shared" si="28"/>
        <v>34.329999999999849</v>
      </c>
      <c r="C435">
        <f t="shared" si="26"/>
        <v>3.6933830879669219E-4</v>
      </c>
      <c r="D435">
        <f t="shared" si="29"/>
        <v>3.6933830879669219E-4</v>
      </c>
      <c r="E435" s="3">
        <f t="shared" si="27"/>
        <v>24606.215335467481</v>
      </c>
    </row>
    <row r="436" spans="1:5" x14ac:dyDescent="0.3">
      <c r="A436">
        <f t="shared" si="28"/>
        <v>4.3399999999999519</v>
      </c>
      <c r="B436">
        <f t="shared" si="28"/>
        <v>34.339999999999847</v>
      </c>
      <c r="C436">
        <f t="shared" si="26"/>
        <v>3.695129780170416E-4</v>
      </c>
      <c r="D436">
        <f t="shared" si="29"/>
        <v>3.695129780170416E-4</v>
      </c>
      <c r="E436" s="3">
        <f t="shared" si="27"/>
        <v>24640.779363472451</v>
      </c>
    </row>
    <row r="437" spans="1:5" x14ac:dyDescent="0.3">
      <c r="A437">
        <f t="shared" si="28"/>
        <v>4.3499999999999517</v>
      </c>
      <c r="B437">
        <f t="shared" si="28"/>
        <v>34.349999999999845</v>
      </c>
      <c r="C437">
        <f t="shared" si="26"/>
        <v>3.6968785153417721E-4</v>
      </c>
      <c r="D437">
        <f t="shared" si="29"/>
        <v>3.6968785153417721E-4</v>
      </c>
      <c r="E437" s="3">
        <f t="shared" si="27"/>
        <v>24675.357213117455</v>
      </c>
    </row>
    <row r="438" spans="1:5" x14ac:dyDescent="0.3">
      <c r="A438">
        <f t="shared" si="28"/>
        <v>4.3599999999999515</v>
      </c>
      <c r="B438">
        <f t="shared" si="28"/>
        <v>34.359999999999843</v>
      </c>
      <c r="C438">
        <f t="shared" si="26"/>
        <v>3.6986292958704893E-4</v>
      </c>
      <c r="D438">
        <f t="shared" si="29"/>
        <v>3.6986292958704893E-4</v>
      </c>
      <c r="E438" s="3">
        <f t="shared" si="27"/>
        <v>24709.948889949108</v>
      </c>
    </row>
    <row r="439" spans="1:5" x14ac:dyDescent="0.3">
      <c r="A439">
        <f t="shared" si="28"/>
        <v>4.3699999999999513</v>
      </c>
      <c r="B439">
        <f t="shared" si="28"/>
        <v>34.369999999999841</v>
      </c>
      <c r="C439">
        <f t="shared" si="26"/>
        <v>3.7003821241488575E-4</v>
      </c>
      <c r="D439">
        <f t="shared" si="29"/>
        <v>3.7003821241488575E-4</v>
      </c>
      <c r="E439" s="3">
        <f t="shared" si="27"/>
        <v>24744.554399516364</v>
      </c>
    </row>
    <row r="440" spans="1:5" x14ac:dyDescent="0.3">
      <c r="A440">
        <f t="shared" si="28"/>
        <v>4.379999999999951</v>
      </c>
      <c r="B440">
        <f t="shared" si="28"/>
        <v>34.379999999999839</v>
      </c>
      <c r="C440">
        <f t="shared" si="26"/>
        <v>3.7021370025719694E-4</v>
      </c>
      <c r="D440">
        <f t="shared" si="29"/>
        <v>3.7021370025719694E-4</v>
      </c>
      <c r="E440" s="3">
        <f t="shared" si="27"/>
        <v>24779.173747370522</v>
      </c>
    </row>
    <row r="441" spans="1:5" x14ac:dyDescent="0.3">
      <c r="A441">
        <f t="shared" si="28"/>
        <v>4.3899999999999508</v>
      </c>
      <c r="B441">
        <f t="shared" si="28"/>
        <v>34.389999999999837</v>
      </c>
      <c r="C441">
        <f t="shared" si="26"/>
        <v>3.7038939335377164E-4</v>
      </c>
      <c r="D441">
        <f t="shared" si="29"/>
        <v>3.7038939335377164E-4</v>
      </c>
      <c r="E441" s="3">
        <f t="shared" si="27"/>
        <v>24813.806939065231</v>
      </c>
    </row>
    <row r="442" spans="1:5" x14ac:dyDescent="0.3">
      <c r="A442">
        <f t="shared" si="28"/>
        <v>4.3999999999999506</v>
      </c>
      <c r="B442">
        <f t="shared" si="28"/>
        <v>34.399999999999835</v>
      </c>
      <c r="C442">
        <f t="shared" si="26"/>
        <v>3.7056529194467969E-4</v>
      </c>
      <c r="D442">
        <f t="shared" si="29"/>
        <v>3.7056529194467969E-4</v>
      </c>
      <c r="E442" s="3">
        <f t="shared" si="27"/>
        <v>24848.453980156493</v>
      </c>
    </row>
    <row r="443" spans="1:5" x14ac:dyDescent="0.3">
      <c r="A443">
        <f t="shared" si="28"/>
        <v>4.4099999999999504</v>
      </c>
      <c r="B443">
        <f t="shared" si="28"/>
        <v>34.409999999999833</v>
      </c>
      <c r="C443">
        <f t="shared" si="26"/>
        <v>3.7074139627027165E-4</v>
      </c>
      <c r="D443">
        <f t="shared" si="29"/>
        <v>3.7074139627027165E-4</v>
      </c>
      <c r="E443" s="3">
        <f t="shared" si="27"/>
        <v>24883.114876202642</v>
      </c>
    </row>
    <row r="444" spans="1:5" x14ac:dyDescent="0.3">
      <c r="A444">
        <f t="shared" si="28"/>
        <v>4.4199999999999502</v>
      </c>
      <c r="B444">
        <f t="shared" si="28"/>
        <v>34.419999999999831</v>
      </c>
      <c r="C444">
        <f t="shared" si="26"/>
        <v>3.709177065711788E-4</v>
      </c>
      <c r="D444">
        <f t="shared" si="29"/>
        <v>3.709177065711788E-4</v>
      </c>
      <c r="E444" s="3">
        <f t="shared" si="27"/>
        <v>24917.789632764379</v>
      </c>
    </row>
    <row r="445" spans="1:5" x14ac:dyDescent="0.3">
      <c r="A445">
        <f t="shared" si="28"/>
        <v>4.42999999999995</v>
      </c>
      <c r="B445">
        <f t="shared" si="28"/>
        <v>34.429999999999829</v>
      </c>
      <c r="C445">
        <f t="shared" si="26"/>
        <v>3.710942230883144E-4</v>
      </c>
      <c r="D445">
        <f t="shared" si="29"/>
        <v>3.710942230883144E-4</v>
      </c>
      <c r="E445" s="3">
        <f t="shared" si="27"/>
        <v>24952.478255404745</v>
      </c>
    </row>
    <row r="446" spans="1:5" x14ac:dyDescent="0.3">
      <c r="A446">
        <f t="shared" si="28"/>
        <v>4.4399999999999498</v>
      </c>
      <c r="B446">
        <f t="shared" si="28"/>
        <v>34.439999999999827</v>
      </c>
      <c r="C446">
        <f t="shared" si="26"/>
        <v>3.7127094606287327E-4</v>
      </c>
      <c r="D446">
        <f t="shared" si="29"/>
        <v>3.7127094606287327E-4</v>
      </c>
      <c r="E446" s="3">
        <f t="shared" si="27"/>
        <v>24987.180749689138</v>
      </c>
    </row>
    <row r="447" spans="1:5" x14ac:dyDescent="0.3">
      <c r="A447">
        <f t="shared" si="28"/>
        <v>4.4499999999999496</v>
      </c>
      <c r="B447">
        <f t="shared" si="28"/>
        <v>34.449999999999825</v>
      </c>
      <c r="C447">
        <f t="shared" si="26"/>
        <v>3.7144787573633231E-4</v>
      </c>
      <c r="D447">
        <f t="shared" si="29"/>
        <v>3.7144787573633231E-4</v>
      </c>
      <c r="E447" s="3">
        <f t="shared" si="27"/>
        <v>25021.89712118531</v>
      </c>
    </row>
    <row r="448" spans="1:5" x14ac:dyDescent="0.3">
      <c r="A448">
        <f t="shared" si="28"/>
        <v>4.4599999999999493</v>
      </c>
      <c r="B448">
        <f t="shared" si="28"/>
        <v>34.459999999999823</v>
      </c>
      <c r="C448">
        <f t="shared" si="26"/>
        <v>3.71625012350451E-4</v>
      </c>
      <c r="D448">
        <f t="shared" si="29"/>
        <v>3.71625012350451E-4</v>
      </c>
      <c r="E448" s="3">
        <f t="shared" si="27"/>
        <v>25056.627375463377</v>
      </c>
    </row>
    <row r="449" spans="1:5" x14ac:dyDescent="0.3">
      <c r="A449">
        <f t="shared" si="28"/>
        <v>4.4699999999999491</v>
      </c>
      <c r="B449">
        <f t="shared" si="28"/>
        <v>34.469999999999821</v>
      </c>
      <c r="C449">
        <f t="shared" si="26"/>
        <v>3.718023561472713E-4</v>
      </c>
      <c r="D449">
        <f t="shared" si="29"/>
        <v>3.718023561472713E-4</v>
      </c>
      <c r="E449" s="3">
        <f t="shared" si="27"/>
        <v>25091.371518095788</v>
      </c>
    </row>
    <row r="450" spans="1:5" x14ac:dyDescent="0.3">
      <c r="A450">
        <f t="shared" si="28"/>
        <v>4.4799999999999489</v>
      </c>
      <c r="B450">
        <f t="shared" si="28"/>
        <v>34.479999999999819</v>
      </c>
      <c r="C450">
        <f t="shared" si="26"/>
        <v>3.7197990736911852E-4</v>
      </c>
      <c r="D450">
        <f t="shared" si="29"/>
        <v>3.7197990736911852E-4</v>
      </c>
      <c r="E450" s="3">
        <f t="shared" si="27"/>
        <v>25126.129554657371</v>
      </c>
    </row>
    <row r="451" spans="1:5" x14ac:dyDescent="0.3">
      <c r="A451">
        <f t="shared" si="28"/>
        <v>4.4899999999999487</v>
      </c>
      <c r="B451">
        <f t="shared" si="28"/>
        <v>34.489999999999817</v>
      </c>
      <c r="C451">
        <f t="shared" ref="C451:C514" si="30">$N$2 + $N$3*$N$4^(B451)</f>
        <v>3.7215766625860137E-4</v>
      </c>
      <c r="D451">
        <f t="shared" si="29"/>
        <v>3.7215766625860137E-4</v>
      </c>
      <c r="E451" s="3">
        <f t="shared" ref="E451:E514" si="31">IF(ROUND(A451, 2)=$N$10,$N$6,(E452-$N$5*($N$7-$N$8-($N$6+$N$9)*D451))/(1+$N$5*$N$11+$N$5*D451))</f>
        <v>25160.901490725304</v>
      </c>
    </row>
    <row r="452" spans="1:5" x14ac:dyDescent="0.3">
      <c r="A452">
        <f t="shared" ref="A452:B515" si="32">A451+$N$5</f>
        <v>4.4999999999999485</v>
      </c>
      <c r="B452">
        <f t="shared" si="32"/>
        <v>34.499999999999815</v>
      </c>
      <c r="C452">
        <f t="shared" si="30"/>
        <v>3.7233563305861216E-4</v>
      </c>
      <c r="D452">
        <f t="shared" si="29"/>
        <v>3.7233563305861216E-4</v>
      </c>
      <c r="E452" s="3">
        <f t="shared" si="31"/>
        <v>25195.687331879133</v>
      </c>
    </row>
    <row r="453" spans="1:5" x14ac:dyDescent="0.3">
      <c r="A453">
        <f t="shared" si="32"/>
        <v>4.5099999999999483</v>
      </c>
      <c r="B453">
        <f t="shared" si="32"/>
        <v>34.509999999999813</v>
      </c>
      <c r="C453">
        <f t="shared" si="30"/>
        <v>3.7251380801232772E-4</v>
      </c>
      <c r="D453">
        <f t="shared" si="29"/>
        <v>3.7251380801232772E-4</v>
      </c>
      <c r="E453" s="3">
        <f t="shared" si="31"/>
        <v>25230.487083700755</v>
      </c>
    </row>
    <row r="454" spans="1:5" x14ac:dyDescent="0.3">
      <c r="A454">
        <f t="shared" si="32"/>
        <v>4.5199999999999481</v>
      </c>
      <c r="B454">
        <f t="shared" si="32"/>
        <v>34.519999999999811</v>
      </c>
      <c r="C454">
        <f t="shared" si="30"/>
        <v>3.7269219136320858E-4</v>
      </c>
      <c r="D454">
        <f t="shared" si="29"/>
        <v>3.7269219136320858E-4</v>
      </c>
      <c r="E454" s="3">
        <f t="shared" si="31"/>
        <v>25265.300751774441</v>
      </c>
    </row>
    <row r="455" spans="1:5" x14ac:dyDescent="0.3">
      <c r="A455">
        <f t="shared" si="32"/>
        <v>4.5299999999999478</v>
      </c>
      <c r="B455">
        <f t="shared" si="32"/>
        <v>34.529999999999809</v>
      </c>
      <c r="C455">
        <f t="shared" si="30"/>
        <v>3.7287078335500063E-4</v>
      </c>
      <c r="D455">
        <f t="shared" si="29"/>
        <v>3.7287078335500063E-4</v>
      </c>
      <c r="E455" s="3">
        <f t="shared" si="31"/>
        <v>25300.12834168681</v>
      </c>
    </row>
    <row r="456" spans="1:5" x14ac:dyDescent="0.3">
      <c r="A456">
        <f t="shared" si="32"/>
        <v>4.5399999999999476</v>
      </c>
      <c r="B456">
        <f t="shared" si="32"/>
        <v>34.539999999999807</v>
      </c>
      <c r="C456">
        <f t="shared" si="30"/>
        <v>3.7304958423173469E-4</v>
      </c>
      <c r="D456">
        <f t="shared" si="29"/>
        <v>3.7304958423173469E-4</v>
      </c>
      <c r="E456" s="3">
        <f t="shared" si="31"/>
        <v>25334.969859026867</v>
      </c>
    </row>
    <row r="457" spans="1:5" x14ac:dyDescent="0.3">
      <c r="A457">
        <f t="shared" si="32"/>
        <v>4.5499999999999474</v>
      </c>
      <c r="B457">
        <f t="shared" si="32"/>
        <v>34.549999999999805</v>
      </c>
      <c r="C457">
        <f t="shared" si="30"/>
        <v>3.7322859423772692E-4</v>
      </c>
      <c r="D457">
        <f t="shared" si="29"/>
        <v>3.7322859423772692E-4</v>
      </c>
      <c r="E457" s="3">
        <f t="shared" si="31"/>
        <v>25369.825309385968</v>
      </c>
    </row>
    <row r="458" spans="1:5" x14ac:dyDescent="0.3">
      <c r="A458">
        <f t="shared" si="32"/>
        <v>4.5599999999999472</v>
      </c>
      <c r="B458">
        <f t="shared" si="32"/>
        <v>34.559999999999803</v>
      </c>
      <c r="C458">
        <f t="shared" si="30"/>
        <v>3.734078136175792E-4</v>
      </c>
      <c r="D458">
        <f t="shared" si="29"/>
        <v>3.734078136175792E-4</v>
      </c>
      <c r="E458" s="3">
        <f t="shared" si="31"/>
        <v>25404.694698357842</v>
      </c>
    </row>
    <row r="459" spans="1:5" x14ac:dyDescent="0.3">
      <c r="A459">
        <f t="shared" si="32"/>
        <v>4.569999999999947</v>
      </c>
      <c r="B459">
        <f t="shared" si="32"/>
        <v>34.569999999999801</v>
      </c>
      <c r="C459">
        <f t="shared" si="30"/>
        <v>3.7358724261617995E-4</v>
      </c>
      <c r="D459">
        <f t="shared" si="29"/>
        <v>3.7358724261617995E-4</v>
      </c>
      <c r="E459" s="3">
        <f t="shared" si="31"/>
        <v>25439.578031538596</v>
      </c>
    </row>
    <row r="460" spans="1:5" x14ac:dyDescent="0.3">
      <c r="A460">
        <f t="shared" si="32"/>
        <v>4.5799999999999468</v>
      </c>
      <c r="B460">
        <f t="shared" si="32"/>
        <v>34.579999999999799</v>
      </c>
      <c r="C460">
        <f t="shared" si="30"/>
        <v>3.7376688147870322E-4</v>
      </c>
      <c r="D460">
        <f t="shared" si="29"/>
        <v>3.7376688147870322E-4</v>
      </c>
      <c r="E460" s="3">
        <f t="shared" si="31"/>
        <v>25474.475314526695</v>
      </c>
    </row>
    <row r="461" spans="1:5" x14ac:dyDescent="0.3">
      <c r="A461">
        <f t="shared" si="32"/>
        <v>4.5899999999999466</v>
      </c>
      <c r="B461">
        <f t="shared" si="32"/>
        <v>34.589999999999797</v>
      </c>
      <c r="C461">
        <f t="shared" si="30"/>
        <v>3.7394673045061048E-4</v>
      </c>
      <c r="D461">
        <f t="shared" si="29"/>
        <v>3.7394673045061048E-4</v>
      </c>
      <c r="E461" s="3">
        <f t="shared" si="31"/>
        <v>25509.386552922984</v>
      </c>
    </row>
    <row r="462" spans="1:5" x14ac:dyDescent="0.3">
      <c r="A462">
        <f t="shared" si="32"/>
        <v>4.5999999999999464</v>
      </c>
      <c r="B462">
        <f t="shared" si="32"/>
        <v>34.599999999999795</v>
      </c>
      <c r="C462">
        <f t="shared" si="30"/>
        <v>3.7412678977764998E-4</v>
      </c>
      <c r="D462">
        <f t="shared" si="29"/>
        <v>3.7412678977764998E-4</v>
      </c>
      <c r="E462" s="3">
        <f t="shared" si="31"/>
        <v>25544.311752330672</v>
      </c>
    </row>
    <row r="463" spans="1:5" x14ac:dyDescent="0.3">
      <c r="A463">
        <f t="shared" si="32"/>
        <v>4.6099999999999461</v>
      </c>
      <c r="B463">
        <f t="shared" si="32"/>
        <v>34.609999999999793</v>
      </c>
      <c r="C463">
        <f t="shared" si="30"/>
        <v>3.743070597058576E-4</v>
      </c>
      <c r="D463">
        <f t="shared" si="29"/>
        <v>3.743070597058576E-4</v>
      </c>
      <c r="E463" s="3">
        <f t="shared" si="31"/>
        <v>25579.250918355352</v>
      </c>
    </row>
    <row r="464" spans="1:5" x14ac:dyDescent="0.3">
      <c r="A464">
        <f t="shared" si="32"/>
        <v>4.6199999999999459</v>
      </c>
      <c r="B464">
        <f t="shared" si="32"/>
        <v>34.619999999999791</v>
      </c>
      <c r="C464">
        <f t="shared" si="30"/>
        <v>3.7448754048155692E-4</v>
      </c>
      <c r="D464">
        <f t="shared" si="29"/>
        <v>3.7448754048155692E-4</v>
      </c>
      <c r="E464" s="3">
        <f t="shared" si="31"/>
        <v>25614.204056604995</v>
      </c>
    </row>
    <row r="465" spans="1:5" x14ac:dyDescent="0.3">
      <c r="A465">
        <f t="shared" si="32"/>
        <v>4.6299999999999457</v>
      </c>
      <c r="B465">
        <f t="shared" si="32"/>
        <v>34.629999999999789</v>
      </c>
      <c r="C465">
        <f t="shared" si="30"/>
        <v>3.7466823235135938E-4</v>
      </c>
      <c r="D465">
        <f t="shared" si="29"/>
        <v>3.7466823235135938E-4</v>
      </c>
      <c r="E465" s="3">
        <f t="shared" si="31"/>
        <v>25649.171172689941</v>
      </c>
    </row>
    <row r="466" spans="1:5" x14ac:dyDescent="0.3">
      <c r="A466">
        <f t="shared" si="32"/>
        <v>4.6399999999999455</v>
      </c>
      <c r="B466">
        <f t="shared" si="32"/>
        <v>34.639999999999787</v>
      </c>
      <c r="C466">
        <f t="shared" si="30"/>
        <v>3.7484913556216524E-4</v>
      </c>
      <c r="D466">
        <f t="shared" si="29"/>
        <v>3.7484913556216524E-4</v>
      </c>
      <c r="E466" s="3">
        <f t="shared" si="31"/>
        <v>25684.152272222909</v>
      </c>
    </row>
    <row r="467" spans="1:5" x14ac:dyDescent="0.3">
      <c r="A467">
        <f t="shared" si="32"/>
        <v>4.6499999999999453</v>
      </c>
      <c r="B467">
        <f t="shared" si="32"/>
        <v>34.649999999999785</v>
      </c>
      <c r="C467">
        <f t="shared" si="30"/>
        <v>3.7503025036116333E-4</v>
      </c>
      <c r="D467">
        <f t="shared" si="29"/>
        <v>3.7503025036116333E-4</v>
      </c>
      <c r="E467" s="3">
        <f t="shared" si="31"/>
        <v>25719.147360819003</v>
      </c>
    </row>
    <row r="468" spans="1:5" x14ac:dyDescent="0.3">
      <c r="A468">
        <f t="shared" si="32"/>
        <v>4.6599999999999451</v>
      </c>
      <c r="B468">
        <f t="shared" si="32"/>
        <v>34.659999999999783</v>
      </c>
      <c r="C468">
        <f t="shared" si="30"/>
        <v>3.7521157699583162E-4</v>
      </c>
      <c r="D468">
        <f t="shared" si="29"/>
        <v>3.7521157699583162E-4</v>
      </c>
      <c r="E468" s="3">
        <f t="shared" si="31"/>
        <v>25754.156444095708</v>
      </c>
    </row>
    <row r="469" spans="1:5" x14ac:dyDescent="0.3">
      <c r="A469">
        <f t="shared" si="32"/>
        <v>4.6699999999999449</v>
      </c>
      <c r="B469">
        <f t="shared" si="32"/>
        <v>34.669999999999781</v>
      </c>
      <c r="C469">
        <f t="shared" si="30"/>
        <v>3.753931157139378E-4</v>
      </c>
      <c r="D469">
        <f t="shared" si="29"/>
        <v>3.753931157139378E-4</v>
      </c>
      <c r="E469" s="3">
        <f t="shared" si="31"/>
        <v>25789.179527672881</v>
      </c>
    </row>
    <row r="470" spans="1:5" x14ac:dyDescent="0.3">
      <c r="A470">
        <f t="shared" si="32"/>
        <v>4.6799999999999446</v>
      </c>
      <c r="B470">
        <f t="shared" si="32"/>
        <v>34.679999999999779</v>
      </c>
      <c r="C470">
        <f t="shared" si="30"/>
        <v>3.755748667635387E-4</v>
      </c>
      <c r="D470">
        <f t="shared" si="29"/>
        <v>3.755748667635387E-4</v>
      </c>
      <c r="E470" s="3">
        <f t="shared" si="31"/>
        <v>25824.216617172777</v>
      </c>
    </row>
    <row r="471" spans="1:5" x14ac:dyDescent="0.3">
      <c r="A471">
        <f t="shared" si="32"/>
        <v>4.6899999999999444</v>
      </c>
      <c r="B471">
        <f t="shared" si="32"/>
        <v>34.689999999999777</v>
      </c>
      <c r="C471">
        <f t="shared" si="30"/>
        <v>3.757568303929819E-4</v>
      </c>
      <c r="D471">
        <f t="shared" ref="D471:D534" si="33">IF(A471&lt;=2, (0.9)^(2-A471)*C471, C471)</f>
        <v>3.757568303929819E-4</v>
      </c>
      <c r="E471" s="3">
        <f t="shared" si="31"/>
        <v>25859.267718220031</v>
      </c>
    </row>
    <row r="472" spans="1:5" x14ac:dyDescent="0.3">
      <c r="A472">
        <f t="shared" si="32"/>
        <v>4.6999999999999442</v>
      </c>
      <c r="B472">
        <f t="shared" si="32"/>
        <v>34.699999999999775</v>
      </c>
      <c r="C472">
        <f t="shared" si="30"/>
        <v>3.759390068509052E-4</v>
      </c>
      <c r="D472">
        <f t="shared" si="33"/>
        <v>3.759390068509052E-4</v>
      </c>
      <c r="E472" s="3">
        <f t="shared" si="31"/>
        <v>25894.332836441667</v>
      </c>
    </row>
    <row r="473" spans="1:5" x14ac:dyDescent="0.3">
      <c r="A473">
        <f t="shared" si="32"/>
        <v>4.709999999999944</v>
      </c>
      <c r="B473">
        <f t="shared" si="32"/>
        <v>34.709999999999773</v>
      </c>
      <c r="C473">
        <f t="shared" si="30"/>
        <v>3.761213963862373E-4</v>
      </c>
      <c r="D473">
        <f t="shared" si="33"/>
        <v>3.761213963862373E-4</v>
      </c>
      <c r="E473" s="3">
        <f t="shared" si="31"/>
        <v>25929.411977467087</v>
      </c>
    </row>
    <row r="474" spans="1:5" x14ac:dyDescent="0.3">
      <c r="A474">
        <f t="shared" si="32"/>
        <v>4.7199999999999438</v>
      </c>
      <c r="B474">
        <f t="shared" si="32"/>
        <v>34.719999999999771</v>
      </c>
      <c r="C474">
        <f t="shared" si="30"/>
        <v>3.7630399924819811E-4</v>
      </c>
      <c r="D474">
        <f t="shared" si="33"/>
        <v>3.7630399924819811E-4</v>
      </c>
      <c r="E474" s="3">
        <f t="shared" si="31"/>
        <v>25964.505146928088</v>
      </c>
    </row>
    <row r="475" spans="1:5" x14ac:dyDescent="0.3">
      <c r="A475">
        <f t="shared" si="32"/>
        <v>4.7299999999999436</v>
      </c>
      <c r="B475">
        <f t="shared" si="32"/>
        <v>34.729999999999769</v>
      </c>
      <c r="C475">
        <f t="shared" si="30"/>
        <v>3.7648681568629877E-4</v>
      </c>
      <c r="D475">
        <f t="shared" si="33"/>
        <v>3.7648681568629877E-4</v>
      </c>
      <c r="E475" s="3">
        <f t="shared" si="31"/>
        <v>25999.612350458865</v>
      </c>
    </row>
    <row r="476" spans="1:5" x14ac:dyDescent="0.3">
      <c r="A476">
        <f t="shared" si="32"/>
        <v>4.7399999999999434</v>
      </c>
      <c r="B476">
        <f t="shared" si="32"/>
        <v>34.739999999999768</v>
      </c>
      <c r="C476">
        <f t="shared" si="30"/>
        <v>3.7666984595034238E-4</v>
      </c>
      <c r="D476">
        <f t="shared" si="33"/>
        <v>3.7666984595034238E-4</v>
      </c>
      <c r="E476" s="3">
        <f t="shared" si="31"/>
        <v>26034.733593695986</v>
      </c>
    </row>
    <row r="477" spans="1:5" x14ac:dyDescent="0.3">
      <c r="A477">
        <f t="shared" si="32"/>
        <v>4.7499999999999432</v>
      </c>
      <c r="B477">
        <f t="shared" si="32"/>
        <v>34.749999999999766</v>
      </c>
      <c r="C477">
        <f t="shared" si="30"/>
        <v>3.7685309029042441E-4</v>
      </c>
      <c r="D477">
        <f t="shared" si="33"/>
        <v>3.7685309029042441E-4</v>
      </c>
      <c r="E477" s="3">
        <f t="shared" si="31"/>
        <v>26069.868882278435</v>
      </c>
    </row>
    <row r="478" spans="1:5" x14ac:dyDescent="0.3">
      <c r="A478">
        <f t="shared" si="32"/>
        <v>4.7599999999999429</v>
      </c>
      <c r="B478">
        <f t="shared" si="32"/>
        <v>34.759999999999764</v>
      </c>
      <c r="C478">
        <f t="shared" si="30"/>
        <v>3.7703654895693262E-4</v>
      </c>
      <c r="D478">
        <f t="shared" si="33"/>
        <v>3.7703654895693262E-4</v>
      </c>
      <c r="E478" s="3">
        <f t="shared" si="31"/>
        <v>26105.018221847575</v>
      </c>
    </row>
    <row r="479" spans="1:5" x14ac:dyDescent="0.3">
      <c r="A479">
        <f t="shared" si="32"/>
        <v>4.7699999999999427</v>
      </c>
      <c r="B479">
        <f t="shared" si="32"/>
        <v>34.769999999999762</v>
      </c>
      <c r="C479">
        <f t="shared" si="30"/>
        <v>3.7722022220054778E-4</v>
      </c>
      <c r="D479">
        <f t="shared" si="33"/>
        <v>3.7722022220054778E-4</v>
      </c>
      <c r="E479" s="3">
        <f t="shared" si="31"/>
        <v>26140.181618047165</v>
      </c>
    </row>
    <row r="480" spans="1:5" x14ac:dyDescent="0.3">
      <c r="A480">
        <f t="shared" si="32"/>
        <v>4.7799999999999425</v>
      </c>
      <c r="B480">
        <f t="shared" si="32"/>
        <v>34.77999999999976</v>
      </c>
      <c r="C480">
        <f t="shared" si="30"/>
        <v>3.7740411027224356E-4</v>
      </c>
      <c r="D480">
        <f t="shared" si="33"/>
        <v>3.7740411027224356E-4</v>
      </c>
      <c r="E480" s="3">
        <f t="shared" si="31"/>
        <v>26175.359076523364</v>
      </c>
    </row>
    <row r="481" spans="1:5" x14ac:dyDescent="0.3">
      <c r="A481">
        <f t="shared" si="32"/>
        <v>4.7899999999999423</v>
      </c>
      <c r="B481">
        <f t="shared" si="32"/>
        <v>34.789999999999758</v>
      </c>
      <c r="C481">
        <f t="shared" si="30"/>
        <v>3.775882134232875E-4</v>
      </c>
      <c r="D481">
        <f t="shared" si="33"/>
        <v>3.775882134232875E-4</v>
      </c>
      <c r="E481" s="3">
        <f t="shared" si="31"/>
        <v>26210.550602924734</v>
      </c>
    </row>
    <row r="482" spans="1:5" x14ac:dyDescent="0.3">
      <c r="A482">
        <f t="shared" si="32"/>
        <v>4.7999999999999421</v>
      </c>
      <c r="B482">
        <f t="shared" si="32"/>
        <v>34.799999999999756</v>
      </c>
      <c r="C482">
        <f t="shared" si="30"/>
        <v>3.77772531905241E-4</v>
      </c>
      <c r="D482">
        <f t="shared" si="33"/>
        <v>3.77772531905241E-4</v>
      </c>
      <c r="E482" s="3">
        <f t="shared" si="31"/>
        <v>26245.75620290223</v>
      </c>
    </row>
    <row r="483" spans="1:5" x14ac:dyDescent="0.3">
      <c r="A483">
        <f t="shared" si="32"/>
        <v>4.8099999999999419</v>
      </c>
      <c r="B483">
        <f t="shared" si="32"/>
        <v>34.809999999999754</v>
      </c>
      <c r="C483">
        <f t="shared" si="30"/>
        <v>3.7795706596995953E-4</v>
      </c>
      <c r="D483">
        <f t="shared" si="33"/>
        <v>3.7795706596995953E-4</v>
      </c>
      <c r="E483" s="3">
        <f t="shared" si="31"/>
        <v>26280.975882109207</v>
      </c>
    </row>
    <row r="484" spans="1:5" x14ac:dyDescent="0.3">
      <c r="A484">
        <f t="shared" si="32"/>
        <v>4.8199999999999417</v>
      </c>
      <c r="B484">
        <f t="shared" si="32"/>
        <v>34.819999999999752</v>
      </c>
      <c r="C484">
        <f t="shared" si="30"/>
        <v>3.7814181586959337E-4</v>
      </c>
      <c r="D484">
        <f t="shared" si="33"/>
        <v>3.7814181586959337E-4</v>
      </c>
      <c r="E484" s="3">
        <f t="shared" si="31"/>
        <v>26316.209646201434</v>
      </c>
    </row>
    <row r="485" spans="1:5" x14ac:dyDescent="0.3">
      <c r="A485">
        <f t="shared" si="32"/>
        <v>4.8299999999999415</v>
      </c>
      <c r="B485">
        <f t="shared" si="32"/>
        <v>34.82999999999975</v>
      </c>
      <c r="C485">
        <f t="shared" si="30"/>
        <v>3.783267818565873E-4</v>
      </c>
      <c r="D485">
        <f t="shared" si="33"/>
        <v>3.783267818565873E-4</v>
      </c>
      <c r="E485" s="3">
        <f t="shared" si="31"/>
        <v>26351.457500837067</v>
      </c>
    </row>
    <row r="486" spans="1:5" x14ac:dyDescent="0.3">
      <c r="A486">
        <f t="shared" si="32"/>
        <v>4.8399999999999412</v>
      </c>
      <c r="B486">
        <f t="shared" si="32"/>
        <v>34.839999999999748</v>
      </c>
      <c r="C486">
        <f t="shared" si="30"/>
        <v>3.7851196418368178E-4</v>
      </c>
      <c r="D486">
        <f t="shared" si="33"/>
        <v>3.7851196418368178E-4</v>
      </c>
      <c r="E486" s="3">
        <f t="shared" si="31"/>
        <v>26386.719451676679</v>
      </c>
    </row>
    <row r="487" spans="1:5" x14ac:dyDescent="0.3">
      <c r="A487">
        <f t="shared" si="32"/>
        <v>4.849999999999941</v>
      </c>
      <c r="B487">
        <f t="shared" si="32"/>
        <v>34.849999999999746</v>
      </c>
      <c r="C487">
        <f t="shared" si="30"/>
        <v>3.7869736310391271E-4</v>
      </c>
      <c r="D487">
        <f t="shared" si="33"/>
        <v>3.7869736310391271E-4</v>
      </c>
      <c r="E487" s="3">
        <f t="shared" si="31"/>
        <v>26421.995504383249</v>
      </c>
    </row>
    <row r="488" spans="1:5" x14ac:dyDescent="0.3">
      <c r="A488">
        <f t="shared" si="32"/>
        <v>4.8599999999999408</v>
      </c>
      <c r="B488">
        <f t="shared" si="32"/>
        <v>34.859999999999744</v>
      </c>
      <c r="C488">
        <f t="shared" si="30"/>
        <v>3.7888297887061199E-4</v>
      </c>
      <c r="D488">
        <f t="shared" si="33"/>
        <v>3.7888297887061199E-4</v>
      </c>
      <c r="E488" s="3">
        <f t="shared" si="31"/>
        <v>26457.285664622155</v>
      </c>
    </row>
    <row r="489" spans="1:5" x14ac:dyDescent="0.3">
      <c r="A489">
        <f t="shared" si="32"/>
        <v>4.8699999999999406</v>
      </c>
      <c r="B489">
        <f t="shared" si="32"/>
        <v>34.869999999999742</v>
      </c>
      <c r="C489">
        <f t="shared" si="30"/>
        <v>3.7906881173740796E-4</v>
      </c>
      <c r="D489">
        <f t="shared" si="33"/>
        <v>3.7906881173740796E-4</v>
      </c>
      <c r="E489" s="3">
        <f t="shared" si="31"/>
        <v>26492.589938061188</v>
      </c>
    </row>
    <row r="490" spans="1:5" x14ac:dyDescent="0.3">
      <c r="A490">
        <f t="shared" si="32"/>
        <v>4.8799999999999404</v>
      </c>
      <c r="B490">
        <f t="shared" si="32"/>
        <v>34.87999999999974</v>
      </c>
      <c r="C490">
        <f t="shared" si="30"/>
        <v>3.792548619582251E-4</v>
      </c>
      <c r="D490">
        <f t="shared" si="33"/>
        <v>3.792548619582251E-4</v>
      </c>
      <c r="E490" s="3">
        <f t="shared" si="31"/>
        <v>26527.908330370552</v>
      </c>
    </row>
    <row r="491" spans="1:5" x14ac:dyDescent="0.3">
      <c r="A491">
        <f t="shared" si="32"/>
        <v>4.8899999999999402</v>
      </c>
      <c r="B491">
        <f t="shared" si="32"/>
        <v>34.889999999999738</v>
      </c>
      <c r="C491">
        <f t="shared" si="30"/>
        <v>3.7944112978728541E-4</v>
      </c>
      <c r="D491">
        <f t="shared" si="33"/>
        <v>3.7944112978728541E-4</v>
      </c>
      <c r="E491" s="3">
        <f t="shared" si="31"/>
        <v>26563.24084722286</v>
      </c>
    </row>
    <row r="492" spans="1:5" x14ac:dyDescent="0.3">
      <c r="A492">
        <f t="shared" si="32"/>
        <v>4.89999999999994</v>
      </c>
      <c r="B492">
        <f t="shared" si="32"/>
        <v>34.899999999999736</v>
      </c>
      <c r="C492">
        <f t="shared" si="30"/>
        <v>3.7962761547910806E-4</v>
      </c>
      <c r="D492">
        <f t="shared" si="33"/>
        <v>3.7962761547910806E-4</v>
      </c>
      <c r="E492" s="3">
        <f t="shared" si="31"/>
        <v>26598.58749429314</v>
      </c>
    </row>
    <row r="493" spans="1:5" x14ac:dyDescent="0.3">
      <c r="A493">
        <f t="shared" si="32"/>
        <v>4.9099999999999397</v>
      </c>
      <c r="B493">
        <f t="shared" si="32"/>
        <v>34.909999999999734</v>
      </c>
      <c r="C493">
        <f t="shared" si="30"/>
        <v>3.7981431928850993E-4</v>
      </c>
      <c r="D493">
        <f t="shared" si="33"/>
        <v>3.7981431928850993E-4</v>
      </c>
      <c r="E493" s="3">
        <f t="shared" si="31"/>
        <v>26633.948277258834</v>
      </c>
    </row>
    <row r="494" spans="1:5" x14ac:dyDescent="0.3">
      <c r="A494">
        <f t="shared" si="32"/>
        <v>4.9199999999999395</v>
      </c>
      <c r="B494">
        <f t="shared" si="32"/>
        <v>34.919999999999732</v>
      </c>
      <c r="C494">
        <f t="shared" si="30"/>
        <v>3.8000124147060603E-4</v>
      </c>
      <c r="D494">
        <f t="shared" si="33"/>
        <v>3.8000124147060603E-4</v>
      </c>
      <c r="E494" s="3">
        <f t="shared" si="31"/>
        <v>26669.323201799798</v>
      </c>
    </row>
    <row r="495" spans="1:5" x14ac:dyDescent="0.3">
      <c r="A495">
        <f t="shared" si="32"/>
        <v>4.9299999999999393</v>
      </c>
      <c r="B495">
        <f t="shared" si="32"/>
        <v>34.92999999999973</v>
      </c>
      <c r="C495">
        <f t="shared" si="30"/>
        <v>3.8018838228080938E-4</v>
      </c>
      <c r="D495">
        <f t="shared" si="33"/>
        <v>3.8018838228080938E-4</v>
      </c>
      <c r="E495" s="3">
        <f t="shared" si="31"/>
        <v>26704.712273598303</v>
      </c>
    </row>
    <row r="496" spans="1:5" x14ac:dyDescent="0.3">
      <c r="A496">
        <f t="shared" si="32"/>
        <v>4.9399999999999391</v>
      </c>
      <c r="B496">
        <f t="shared" si="32"/>
        <v>34.939999999999728</v>
      </c>
      <c r="C496">
        <f t="shared" si="30"/>
        <v>3.8037574197483218E-4</v>
      </c>
      <c r="D496">
        <f t="shared" si="33"/>
        <v>3.8037574197483218E-4</v>
      </c>
      <c r="E496" s="3">
        <f t="shared" si="31"/>
        <v>26740.115498339048</v>
      </c>
    </row>
    <row r="497" spans="1:5" x14ac:dyDescent="0.3">
      <c r="A497">
        <f t="shared" si="32"/>
        <v>4.9499999999999389</v>
      </c>
      <c r="B497">
        <f t="shared" si="32"/>
        <v>34.949999999999726</v>
      </c>
      <c r="C497">
        <f t="shared" si="30"/>
        <v>3.8056332080868549E-4</v>
      </c>
      <c r="D497">
        <f t="shared" si="33"/>
        <v>3.8056332080868549E-4</v>
      </c>
      <c r="E497" s="3">
        <f t="shared" si="31"/>
        <v>26775.532881709139</v>
      </c>
    </row>
    <row r="498" spans="1:5" x14ac:dyDescent="0.3">
      <c r="A498">
        <f t="shared" si="32"/>
        <v>4.9599999999999387</v>
      </c>
      <c r="B498">
        <f t="shared" si="32"/>
        <v>34.959999999999724</v>
      </c>
      <c r="C498">
        <f t="shared" si="30"/>
        <v>3.8075111903867982E-4</v>
      </c>
      <c r="D498">
        <f t="shared" si="33"/>
        <v>3.8075111903867982E-4</v>
      </c>
      <c r="E498" s="3">
        <f t="shared" si="31"/>
        <v>26810.964429398111</v>
      </c>
    </row>
    <row r="499" spans="1:5" x14ac:dyDescent="0.3">
      <c r="A499">
        <f t="shared" si="32"/>
        <v>4.9699999999999385</v>
      </c>
      <c r="B499">
        <f t="shared" si="32"/>
        <v>34.969999999999722</v>
      </c>
      <c r="C499">
        <f t="shared" si="30"/>
        <v>3.809391369214257E-4</v>
      </c>
      <c r="D499">
        <f t="shared" si="33"/>
        <v>3.809391369214257E-4</v>
      </c>
      <c r="E499" s="3">
        <f t="shared" si="31"/>
        <v>26846.410147097919</v>
      </c>
    </row>
    <row r="500" spans="1:5" x14ac:dyDescent="0.3">
      <c r="A500">
        <f t="shared" si="32"/>
        <v>4.9799999999999383</v>
      </c>
      <c r="B500">
        <f t="shared" si="32"/>
        <v>34.97999999999972</v>
      </c>
      <c r="C500">
        <f t="shared" si="30"/>
        <v>3.811273747138333E-4</v>
      </c>
      <c r="D500">
        <f t="shared" si="33"/>
        <v>3.811273747138333E-4</v>
      </c>
      <c r="E500" s="3">
        <f t="shared" si="31"/>
        <v>26881.870040502945</v>
      </c>
    </row>
    <row r="501" spans="1:5" x14ac:dyDescent="0.3">
      <c r="A501">
        <f t="shared" si="32"/>
        <v>4.989999999999938</v>
      </c>
      <c r="B501">
        <f t="shared" si="32"/>
        <v>34.989999999999718</v>
      </c>
      <c r="C501">
        <f t="shared" si="30"/>
        <v>3.8131583267311375E-4</v>
      </c>
      <c r="D501">
        <f t="shared" si="33"/>
        <v>3.8131583267311375E-4</v>
      </c>
      <c r="E501" s="3">
        <f t="shared" si="31"/>
        <v>26917.344115309988</v>
      </c>
    </row>
    <row r="502" spans="1:5" x14ac:dyDescent="0.3">
      <c r="A502">
        <f t="shared" si="32"/>
        <v>4.9999999999999378</v>
      </c>
      <c r="B502">
        <f t="shared" si="32"/>
        <v>34.999999999999716</v>
      </c>
      <c r="C502">
        <f t="shared" si="30"/>
        <v>3.8150451105677878E-4</v>
      </c>
      <c r="D502">
        <f t="shared" si="33"/>
        <v>3.8150451105677878E-4</v>
      </c>
      <c r="E502" s="3">
        <f t="shared" si="31"/>
        <v>26952.832377218281</v>
      </c>
    </row>
    <row r="503" spans="1:5" x14ac:dyDescent="0.3">
      <c r="A503">
        <f t="shared" si="32"/>
        <v>5.0099999999999376</v>
      </c>
      <c r="B503">
        <f t="shared" si="32"/>
        <v>35.009999999999714</v>
      </c>
      <c r="C503">
        <f t="shared" si="30"/>
        <v>3.8169341012264147E-4</v>
      </c>
      <c r="D503">
        <f t="shared" si="33"/>
        <v>3.8169341012264147E-4</v>
      </c>
      <c r="E503" s="3">
        <f t="shared" si="31"/>
        <v>26988.334831929486</v>
      </c>
    </row>
    <row r="504" spans="1:5" x14ac:dyDescent="0.3">
      <c r="A504">
        <f t="shared" si="32"/>
        <v>5.0199999999999374</v>
      </c>
      <c r="B504">
        <f t="shared" si="32"/>
        <v>35.019999999999712</v>
      </c>
      <c r="C504">
        <f t="shared" si="30"/>
        <v>3.8188253012881639E-4</v>
      </c>
      <c r="D504">
        <f t="shared" si="33"/>
        <v>3.8188253012881639E-4</v>
      </c>
      <c r="E504" s="3">
        <f t="shared" si="31"/>
        <v>27023.851485147687</v>
      </c>
    </row>
    <row r="505" spans="1:5" x14ac:dyDescent="0.3">
      <c r="A505">
        <f t="shared" si="32"/>
        <v>5.0299999999999372</v>
      </c>
      <c r="B505">
        <f t="shared" si="32"/>
        <v>35.02999999999971</v>
      </c>
      <c r="C505">
        <f t="shared" si="30"/>
        <v>3.8207187133371974E-4</v>
      </c>
      <c r="D505">
        <f t="shared" si="33"/>
        <v>3.8207187133371974E-4</v>
      </c>
      <c r="E505" s="3">
        <f t="shared" si="31"/>
        <v>27059.382342579407</v>
      </c>
    </row>
    <row r="506" spans="1:5" x14ac:dyDescent="0.3">
      <c r="A506">
        <f t="shared" si="32"/>
        <v>5.039999999999937</v>
      </c>
      <c r="B506">
        <f t="shared" si="32"/>
        <v>35.039999999999708</v>
      </c>
      <c r="C506">
        <f t="shared" si="30"/>
        <v>3.8226143399607031E-4</v>
      </c>
      <c r="D506">
        <f t="shared" si="33"/>
        <v>3.8226143399607031E-4</v>
      </c>
      <c r="E506" s="3">
        <f t="shared" si="31"/>
        <v>27094.927409933596</v>
      </c>
    </row>
    <row r="507" spans="1:5" x14ac:dyDescent="0.3">
      <c r="A507">
        <f t="shared" si="32"/>
        <v>5.0499999999999368</v>
      </c>
      <c r="B507">
        <f t="shared" si="32"/>
        <v>35.049999999999706</v>
      </c>
      <c r="C507">
        <f t="shared" si="30"/>
        <v>3.8245121837488942E-4</v>
      </c>
      <c r="D507">
        <f t="shared" si="33"/>
        <v>3.8245121837488942E-4</v>
      </c>
      <c r="E507" s="3">
        <f t="shared" si="31"/>
        <v>27130.48669292163</v>
      </c>
    </row>
    <row r="508" spans="1:5" x14ac:dyDescent="0.3">
      <c r="A508">
        <f t="shared" si="32"/>
        <v>5.0599999999999365</v>
      </c>
      <c r="B508">
        <f t="shared" si="32"/>
        <v>35.059999999999704</v>
      </c>
      <c r="C508">
        <f t="shared" si="30"/>
        <v>3.8264122472950125E-4</v>
      </c>
      <c r="D508">
        <f t="shared" si="33"/>
        <v>3.8264122472950125E-4</v>
      </c>
      <c r="E508" s="3">
        <f t="shared" si="31"/>
        <v>27166.060197257331</v>
      </c>
    </row>
    <row r="509" spans="1:5" x14ac:dyDescent="0.3">
      <c r="A509">
        <f t="shared" si="32"/>
        <v>5.0699999999999363</v>
      </c>
      <c r="B509">
        <f t="shared" si="32"/>
        <v>35.069999999999702</v>
      </c>
      <c r="C509">
        <f t="shared" si="30"/>
        <v>3.8283145331953353E-4</v>
      </c>
      <c r="D509">
        <f t="shared" si="33"/>
        <v>3.8283145331953353E-4</v>
      </c>
      <c r="E509" s="3">
        <f t="shared" si="31"/>
        <v>27201.647928656952</v>
      </c>
    </row>
    <row r="510" spans="1:5" x14ac:dyDescent="0.3">
      <c r="A510">
        <f t="shared" si="32"/>
        <v>5.0799999999999361</v>
      </c>
      <c r="B510">
        <f t="shared" si="32"/>
        <v>35.0799999999997</v>
      </c>
      <c r="C510">
        <f t="shared" si="30"/>
        <v>3.8302190440491721E-4</v>
      </c>
      <c r="D510">
        <f t="shared" si="33"/>
        <v>3.8302190440491721E-4</v>
      </c>
      <c r="E510" s="3">
        <f t="shared" si="31"/>
        <v>27237.249892839183</v>
      </c>
    </row>
    <row r="511" spans="1:5" x14ac:dyDescent="0.3">
      <c r="A511">
        <f t="shared" si="32"/>
        <v>5.0899999999999359</v>
      </c>
      <c r="B511">
        <f t="shared" si="32"/>
        <v>35.089999999999698</v>
      </c>
      <c r="C511">
        <f t="shared" si="30"/>
        <v>3.8321257824588755E-4</v>
      </c>
      <c r="D511">
        <f t="shared" si="33"/>
        <v>3.8321257824588755E-4</v>
      </c>
      <c r="E511" s="3">
        <f t="shared" si="31"/>
        <v>27272.866095525162</v>
      </c>
    </row>
    <row r="512" spans="1:5" x14ac:dyDescent="0.3">
      <c r="A512">
        <f t="shared" si="32"/>
        <v>5.0999999999999357</v>
      </c>
      <c r="B512">
        <f t="shared" si="32"/>
        <v>35.099999999999696</v>
      </c>
      <c r="C512">
        <f t="shared" si="30"/>
        <v>3.8340347510298434E-4</v>
      </c>
      <c r="D512">
        <f t="shared" si="33"/>
        <v>3.8340347510298434E-4</v>
      </c>
      <c r="E512" s="3">
        <f t="shared" si="31"/>
        <v>27308.49654243845</v>
      </c>
    </row>
    <row r="513" spans="1:5" x14ac:dyDescent="0.3">
      <c r="A513">
        <f t="shared" si="32"/>
        <v>5.1099999999999355</v>
      </c>
      <c r="B513">
        <f t="shared" si="32"/>
        <v>35.109999999999694</v>
      </c>
      <c r="C513">
        <f t="shared" si="30"/>
        <v>3.8359459523705172E-4</v>
      </c>
      <c r="D513">
        <f t="shared" si="33"/>
        <v>3.8359459523705172E-4</v>
      </c>
      <c r="E513" s="3">
        <f t="shared" si="31"/>
        <v>27344.141239305063</v>
      </c>
    </row>
    <row r="514" spans="1:5" x14ac:dyDescent="0.3">
      <c r="A514">
        <f t="shared" si="32"/>
        <v>5.1199999999999353</v>
      </c>
      <c r="B514">
        <f t="shared" si="32"/>
        <v>35.119999999999692</v>
      </c>
      <c r="C514">
        <f t="shared" si="30"/>
        <v>3.837859389092394E-4</v>
      </c>
      <c r="D514">
        <f t="shared" si="33"/>
        <v>3.837859389092394E-4</v>
      </c>
      <c r="E514" s="3">
        <f t="shared" si="31"/>
        <v>27379.800191853457</v>
      </c>
    </row>
    <row r="515" spans="1:5" x14ac:dyDescent="0.3">
      <c r="A515">
        <f t="shared" si="32"/>
        <v>5.1299999999999351</v>
      </c>
      <c r="B515">
        <f t="shared" si="32"/>
        <v>35.12999999999969</v>
      </c>
      <c r="C515">
        <f t="shared" ref="C515:C578" si="34">$N$2 + $N$3*$N$4^(B515)</f>
        <v>3.8397750638100199E-4</v>
      </c>
      <c r="D515">
        <f t="shared" si="33"/>
        <v>3.8397750638100199E-4</v>
      </c>
      <c r="E515" s="3">
        <f t="shared" ref="E515:E578" si="35">IF(ROUND(A515, 2)=$N$10,$N$6,(E516-$N$5*($N$7-$N$8-($N$6+$N$9)*D515))/(1+$N$5*$N$11+$N$5*D515))</f>
        <v>27415.47340581453</v>
      </c>
    </row>
    <row r="516" spans="1:5" x14ac:dyDescent="0.3">
      <c r="A516">
        <f t="shared" ref="A516:B579" si="36">A515+$N$5</f>
        <v>5.1399999999999348</v>
      </c>
      <c r="B516">
        <f t="shared" si="36"/>
        <v>35.139999999999688</v>
      </c>
      <c r="C516">
        <f t="shared" si="34"/>
        <v>3.841692979141002E-4</v>
      </c>
      <c r="D516">
        <f t="shared" si="33"/>
        <v>3.841692979141002E-4</v>
      </c>
      <c r="E516" s="3">
        <f t="shared" si="35"/>
        <v>27451.160886921622</v>
      </c>
    </row>
    <row r="517" spans="1:5" x14ac:dyDescent="0.3">
      <c r="A517">
        <f t="shared" si="36"/>
        <v>5.1499999999999346</v>
      </c>
      <c r="B517">
        <f t="shared" si="36"/>
        <v>35.149999999999686</v>
      </c>
      <c r="C517">
        <f t="shared" si="34"/>
        <v>3.8436131377060092E-4</v>
      </c>
      <c r="D517">
        <f t="shared" si="33"/>
        <v>3.8436131377060092E-4</v>
      </c>
      <c r="E517" s="3">
        <f t="shared" si="35"/>
        <v>27486.86264091052</v>
      </c>
    </row>
    <row r="518" spans="1:5" x14ac:dyDescent="0.3">
      <c r="A518">
        <f t="shared" si="36"/>
        <v>5.1599999999999344</v>
      </c>
      <c r="B518">
        <f t="shared" si="36"/>
        <v>35.159999999999684</v>
      </c>
      <c r="C518">
        <f t="shared" si="34"/>
        <v>3.8455355421287757E-4</v>
      </c>
      <c r="D518">
        <f t="shared" si="33"/>
        <v>3.8455355421287757E-4</v>
      </c>
      <c r="E518" s="3">
        <f t="shared" si="35"/>
        <v>27522.578673519474</v>
      </c>
    </row>
    <row r="519" spans="1:5" x14ac:dyDescent="0.3">
      <c r="A519">
        <f t="shared" si="36"/>
        <v>5.1699999999999342</v>
      </c>
      <c r="B519">
        <f t="shared" si="36"/>
        <v>35.169999999999682</v>
      </c>
      <c r="C519">
        <f t="shared" si="34"/>
        <v>3.8474601950361047E-4</v>
      </c>
      <c r="D519">
        <f t="shared" si="33"/>
        <v>3.8474601950361047E-4</v>
      </c>
      <c r="E519" s="3">
        <f t="shared" si="35"/>
        <v>27558.308990489171</v>
      </c>
    </row>
    <row r="520" spans="1:5" x14ac:dyDescent="0.3">
      <c r="A520">
        <f t="shared" si="36"/>
        <v>5.179999999999934</v>
      </c>
      <c r="B520">
        <f t="shared" si="36"/>
        <v>35.17999999999968</v>
      </c>
      <c r="C520">
        <f t="shared" si="34"/>
        <v>3.8493870990578675E-4</v>
      </c>
      <c r="D520">
        <f t="shared" si="33"/>
        <v>3.8493870990578675E-4</v>
      </c>
      <c r="E520" s="3">
        <f t="shared" si="35"/>
        <v>27594.05359756275</v>
      </c>
    </row>
    <row r="521" spans="1:5" x14ac:dyDescent="0.3">
      <c r="A521">
        <f t="shared" si="36"/>
        <v>5.1899999999999338</v>
      </c>
      <c r="B521">
        <f t="shared" si="36"/>
        <v>35.189999999999678</v>
      </c>
      <c r="C521">
        <f t="shared" si="34"/>
        <v>3.8513162568270176E-4</v>
      </c>
      <c r="D521">
        <f t="shared" si="33"/>
        <v>3.8513162568270176E-4</v>
      </c>
      <c r="E521" s="3">
        <f t="shared" si="35"/>
        <v>27629.812500485798</v>
      </c>
    </row>
    <row r="522" spans="1:5" x14ac:dyDescent="0.3">
      <c r="A522">
        <f t="shared" si="36"/>
        <v>5.1999999999999336</v>
      </c>
      <c r="B522">
        <f t="shared" si="36"/>
        <v>35.199999999999676</v>
      </c>
      <c r="C522">
        <f t="shared" si="34"/>
        <v>3.8532476709795844E-4</v>
      </c>
      <c r="D522">
        <f t="shared" si="33"/>
        <v>3.8532476709795844E-4</v>
      </c>
      <c r="E522" s="3">
        <f t="shared" si="35"/>
        <v>27665.585705006361</v>
      </c>
    </row>
    <row r="523" spans="1:5" x14ac:dyDescent="0.3">
      <c r="A523">
        <f t="shared" si="36"/>
        <v>5.2099999999999334</v>
      </c>
      <c r="B523">
        <f t="shared" si="36"/>
        <v>35.209999999999674</v>
      </c>
      <c r="C523">
        <f t="shared" si="34"/>
        <v>3.8551813441546818E-4</v>
      </c>
      <c r="D523">
        <f t="shared" si="33"/>
        <v>3.8551813441546818E-4</v>
      </c>
      <c r="E523" s="3">
        <f t="shared" si="35"/>
        <v>27701.373216874945</v>
      </c>
    </row>
    <row r="524" spans="1:5" x14ac:dyDescent="0.3">
      <c r="A524">
        <f t="shared" si="36"/>
        <v>5.2199999999999331</v>
      </c>
      <c r="B524">
        <f t="shared" si="36"/>
        <v>35.219999999999672</v>
      </c>
      <c r="C524">
        <f t="shared" si="34"/>
        <v>3.8571172789945106E-4</v>
      </c>
      <c r="D524">
        <f t="shared" si="33"/>
        <v>3.8571172789945106E-4</v>
      </c>
      <c r="E524" s="3">
        <f t="shared" si="35"/>
        <v>27737.175041844512</v>
      </c>
    </row>
    <row r="525" spans="1:5" x14ac:dyDescent="0.3">
      <c r="A525">
        <f t="shared" si="36"/>
        <v>5.2299999999999329</v>
      </c>
      <c r="B525">
        <f t="shared" si="36"/>
        <v>35.22999999999967</v>
      </c>
      <c r="C525">
        <f t="shared" si="34"/>
        <v>3.8590554781443593E-4</v>
      </c>
      <c r="D525">
        <f t="shared" si="33"/>
        <v>3.8590554781443593E-4</v>
      </c>
      <c r="E525" s="3">
        <f t="shared" si="35"/>
        <v>27772.991185670471</v>
      </c>
    </row>
    <row r="526" spans="1:5" x14ac:dyDescent="0.3">
      <c r="A526">
        <f t="shared" si="36"/>
        <v>5.2399999999999327</v>
      </c>
      <c r="B526">
        <f t="shared" si="36"/>
        <v>35.239999999999668</v>
      </c>
      <c r="C526">
        <f t="shared" si="34"/>
        <v>3.8609959442526128E-4</v>
      </c>
      <c r="D526">
        <f t="shared" si="33"/>
        <v>3.8609959442526128E-4</v>
      </c>
      <c r="E526" s="3">
        <f t="shared" si="35"/>
        <v>27808.821654110703</v>
      </c>
    </row>
    <row r="527" spans="1:5" x14ac:dyDescent="0.3">
      <c r="A527">
        <f t="shared" si="36"/>
        <v>5.2499999999999325</v>
      </c>
      <c r="B527">
        <f t="shared" si="36"/>
        <v>35.249999999999666</v>
      </c>
      <c r="C527">
        <f t="shared" si="34"/>
        <v>3.8629386799707543E-4</v>
      </c>
      <c r="D527">
        <f t="shared" si="33"/>
        <v>3.8629386799707543E-4</v>
      </c>
      <c r="E527" s="3">
        <f t="shared" si="35"/>
        <v>27844.666452925543</v>
      </c>
    </row>
    <row r="528" spans="1:5" x14ac:dyDescent="0.3">
      <c r="A528">
        <f t="shared" si="36"/>
        <v>5.2599999999999323</v>
      </c>
      <c r="B528">
        <f t="shared" si="36"/>
        <v>35.259999999999664</v>
      </c>
      <c r="C528">
        <f t="shared" si="34"/>
        <v>3.8648836879533665E-4</v>
      </c>
      <c r="D528">
        <f t="shared" si="33"/>
        <v>3.8648836879533665E-4</v>
      </c>
      <c r="E528" s="3">
        <f t="shared" si="35"/>
        <v>27880.52558787779</v>
      </c>
    </row>
    <row r="529" spans="1:5" x14ac:dyDescent="0.3">
      <c r="A529">
        <f t="shared" si="36"/>
        <v>5.2699999999999321</v>
      </c>
      <c r="B529">
        <f t="shared" si="36"/>
        <v>35.269999999999662</v>
      </c>
      <c r="C529">
        <f t="shared" si="34"/>
        <v>3.8668309708581397E-4</v>
      </c>
      <c r="D529">
        <f t="shared" si="33"/>
        <v>3.8668309708581397E-4</v>
      </c>
      <c r="E529" s="3">
        <f t="shared" si="35"/>
        <v>27916.399064732701</v>
      </c>
    </row>
    <row r="530" spans="1:5" x14ac:dyDescent="0.3">
      <c r="A530">
        <f t="shared" si="36"/>
        <v>5.2799999999999319</v>
      </c>
      <c r="B530">
        <f t="shared" si="36"/>
        <v>35.27999999999966</v>
      </c>
      <c r="C530">
        <f t="shared" si="34"/>
        <v>3.8687805313458669E-4</v>
      </c>
      <c r="D530">
        <f t="shared" si="33"/>
        <v>3.8687805313458669E-4</v>
      </c>
      <c r="E530" s="3">
        <f t="shared" si="35"/>
        <v>27952.286889258001</v>
      </c>
    </row>
    <row r="531" spans="1:5" x14ac:dyDescent="0.3">
      <c r="A531">
        <f t="shared" si="36"/>
        <v>5.2899999999999316</v>
      </c>
      <c r="B531">
        <f t="shared" si="36"/>
        <v>35.289999999999658</v>
      </c>
      <c r="C531">
        <f t="shared" si="34"/>
        <v>3.8707323720804594E-4</v>
      </c>
      <c r="D531">
        <f t="shared" si="33"/>
        <v>3.8707323720804594E-4</v>
      </c>
      <c r="E531" s="3">
        <f t="shared" si="35"/>
        <v>27988.189067223891</v>
      </c>
    </row>
    <row r="532" spans="1:5" x14ac:dyDescent="0.3">
      <c r="A532">
        <f t="shared" si="36"/>
        <v>5.2999999999999314</v>
      </c>
      <c r="B532">
        <f t="shared" si="36"/>
        <v>35.299999999999656</v>
      </c>
      <c r="C532">
        <f t="shared" si="34"/>
        <v>3.8726864957289414E-4</v>
      </c>
      <c r="D532">
        <f t="shared" si="33"/>
        <v>3.8726864957289414E-4</v>
      </c>
      <c r="E532" s="3">
        <f t="shared" si="35"/>
        <v>28024.105604403034</v>
      </c>
    </row>
    <row r="533" spans="1:5" x14ac:dyDescent="0.3">
      <c r="A533">
        <f t="shared" si="36"/>
        <v>5.3099999999999312</v>
      </c>
      <c r="B533">
        <f t="shared" si="36"/>
        <v>35.309999999999654</v>
      </c>
      <c r="C533">
        <f t="shared" si="34"/>
        <v>3.874642904961456E-4</v>
      </c>
      <c r="D533">
        <f t="shared" si="33"/>
        <v>3.874642904961456E-4</v>
      </c>
      <c r="E533" s="3">
        <f t="shared" si="35"/>
        <v>28060.036506570548</v>
      </c>
    </row>
    <row r="534" spans="1:5" x14ac:dyDescent="0.3">
      <c r="A534">
        <f t="shared" si="36"/>
        <v>5.319999999999931</v>
      </c>
      <c r="B534">
        <f t="shared" si="36"/>
        <v>35.319999999999652</v>
      </c>
      <c r="C534">
        <f t="shared" si="34"/>
        <v>3.8766016024512724E-4</v>
      </c>
      <c r="D534">
        <f t="shared" si="33"/>
        <v>3.8766016024512724E-4</v>
      </c>
      <c r="E534" s="3">
        <f t="shared" si="35"/>
        <v>28095.981779504044</v>
      </c>
    </row>
    <row r="535" spans="1:5" x14ac:dyDescent="0.3">
      <c r="A535">
        <f t="shared" si="36"/>
        <v>5.3299999999999308</v>
      </c>
      <c r="B535">
        <f t="shared" si="36"/>
        <v>35.32999999999965</v>
      </c>
      <c r="C535">
        <f t="shared" si="34"/>
        <v>3.8785625908747815E-4</v>
      </c>
      <c r="D535">
        <f t="shared" ref="D535:D598" si="37">IF(A535&lt;=2, (0.9)^(2-A535)*C535, C535)</f>
        <v>3.8785625908747815E-4</v>
      </c>
      <c r="E535" s="3">
        <f t="shared" si="35"/>
        <v>28131.941428983584</v>
      </c>
    </row>
    <row r="536" spans="1:5" x14ac:dyDescent="0.3">
      <c r="A536">
        <f t="shared" si="36"/>
        <v>5.3399999999999306</v>
      </c>
      <c r="B536">
        <f t="shared" si="36"/>
        <v>35.339999999999648</v>
      </c>
      <c r="C536">
        <f t="shared" si="34"/>
        <v>3.8805258729115094E-4</v>
      </c>
      <c r="D536">
        <f t="shared" si="37"/>
        <v>3.8805258729115094E-4</v>
      </c>
      <c r="E536" s="3">
        <f t="shared" si="35"/>
        <v>28167.915460791723</v>
      </c>
    </row>
    <row r="537" spans="1:5" x14ac:dyDescent="0.3">
      <c r="A537">
        <f t="shared" si="36"/>
        <v>5.3499999999999304</v>
      </c>
      <c r="B537">
        <f t="shared" si="36"/>
        <v>35.349999999999646</v>
      </c>
      <c r="C537">
        <f t="shared" si="34"/>
        <v>3.8824914512441131E-4</v>
      </c>
      <c r="D537">
        <f t="shared" si="37"/>
        <v>3.8824914512441131E-4</v>
      </c>
      <c r="E537" s="3">
        <f t="shared" si="35"/>
        <v>28203.903880713475</v>
      </c>
    </row>
    <row r="538" spans="1:5" x14ac:dyDescent="0.3">
      <c r="A538">
        <f t="shared" si="36"/>
        <v>5.3599999999999302</v>
      </c>
      <c r="B538">
        <f t="shared" si="36"/>
        <v>35.359999999999644</v>
      </c>
      <c r="C538">
        <f t="shared" si="34"/>
        <v>3.8844593285583897E-4</v>
      </c>
      <c r="D538">
        <f t="shared" si="37"/>
        <v>3.8844593285583897E-4</v>
      </c>
      <c r="E538" s="3">
        <f t="shared" si="35"/>
        <v>28239.906694536341</v>
      </c>
    </row>
    <row r="539" spans="1:5" x14ac:dyDescent="0.3">
      <c r="A539">
        <f t="shared" si="36"/>
        <v>5.3699999999999299</v>
      </c>
      <c r="B539">
        <f t="shared" si="36"/>
        <v>35.369999999999642</v>
      </c>
      <c r="C539">
        <f t="shared" si="34"/>
        <v>3.8864295075432767E-4</v>
      </c>
      <c r="D539">
        <f t="shared" si="37"/>
        <v>3.8864295075432767E-4</v>
      </c>
      <c r="E539" s="3">
        <f t="shared" si="35"/>
        <v>28275.923908050299</v>
      </c>
    </row>
    <row r="540" spans="1:5" x14ac:dyDescent="0.3">
      <c r="A540">
        <f t="shared" si="36"/>
        <v>5.3799999999999297</v>
      </c>
      <c r="B540">
        <f t="shared" si="36"/>
        <v>35.37999999999964</v>
      </c>
      <c r="C540">
        <f t="shared" si="34"/>
        <v>3.8884019908908538E-4</v>
      </c>
      <c r="D540">
        <f t="shared" si="37"/>
        <v>3.8884019908908538E-4</v>
      </c>
      <c r="E540" s="3">
        <f t="shared" si="35"/>
        <v>28311.955527047794</v>
      </c>
    </row>
    <row r="541" spans="1:5" x14ac:dyDescent="0.3">
      <c r="A541">
        <f t="shared" si="36"/>
        <v>5.3899999999999295</v>
      </c>
      <c r="B541">
        <f t="shared" si="36"/>
        <v>35.389999999999638</v>
      </c>
      <c r="C541">
        <f t="shared" si="34"/>
        <v>3.8903767812963541E-4</v>
      </c>
      <c r="D541">
        <f t="shared" si="37"/>
        <v>3.8903767812963541E-4</v>
      </c>
      <c r="E541" s="3">
        <f t="shared" si="35"/>
        <v>28348.001557323762</v>
      </c>
    </row>
    <row r="542" spans="1:5" x14ac:dyDescent="0.3">
      <c r="A542">
        <f t="shared" si="36"/>
        <v>5.3999999999999293</v>
      </c>
      <c r="B542">
        <f t="shared" si="36"/>
        <v>35.399999999999636</v>
      </c>
      <c r="C542">
        <f t="shared" si="34"/>
        <v>3.8923538814581609E-4</v>
      </c>
      <c r="D542">
        <f t="shared" si="37"/>
        <v>3.8923538814581609E-4</v>
      </c>
      <c r="E542" s="3">
        <f t="shared" si="35"/>
        <v>28384.062004675616</v>
      </c>
    </row>
    <row r="543" spans="1:5" x14ac:dyDescent="0.3">
      <c r="A543">
        <f t="shared" si="36"/>
        <v>5.4099999999999291</v>
      </c>
      <c r="B543">
        <f t="shared" si="36"/>
        <v>35.409999999999634</v>
      </c>
      <c r="C543">
        <f t="shared" si="34"/>
        <v>3.8943332940778123E-4</v>
      </c>
      <c r="D543">
        <f t="shared" si="37"/>
        <v>3.8943332940778123E-4</v>
      </c>
      <c r="E543" s="3">
        <f t="shared" si="35"/>
        <v>28420.136874903255</v>
      </c>
    </row>
    <row r="544" spans="1:5" x14ac:dyDescent="0.3">
      <c r="A544">
        <f t="shared" si="36"/>
        <v>5.4199999999999289</v>
      </c>
      <c r="B544">
        <f t="shared" si="36"/>
        <v>35.419999999999632</v>
      </c>
      <c r="C544">
        <f t="shared" si="34"/>
        <v>3.896315021860011E-4</v>
      </c>
      <c r="D544">
        <f t="shared" si="37"/>
        <v>3.896315021860011E-4</v>
      </c>
      <c r="E544" s="3">
        <f t="shared" si="35"/>
        <v>28456.22617380906</v>
      </c>
    </row>
    <row r="545" spans="1:5" x14ac:dyDescent="0.3">
      <c r="A545">
        <f t="shared" si="36"/>
        <v>5.4299999999999287</v>
      </c>
      <c r="B545">
        <f t="shared" si="36"/>
        <v>35.42999999999963</v>
      </c>
      <c r="C545">
        <f t="shared" si="34"/>
        <v>3.8982990675126149E-4</v>
      </c>
      <c r="D545">
        <f t="shared" si="37"/>
        <v>3.8982990675126149E-4</v>
      </c>
      <c r="E545" s="3">
        <f t="shared" si="35"/>
        <v>28492.329907197905</v>
      </c>
    </row>
    <row r="546" spans="1:5" x14ac:dyDescent="0.3">
      <c r="A546">
        <f t="shared" si="36"/>
        <v>5.4399999999999284</v>
      </c>
      <c r="B546">
        <f t="shared" si="36"/>
        <v>35.439999999999628</v>
      </c>
      <c r="C546">
        <f t="shared" si="34"/>
        <v>3.9002854337466563E-4</v>
      </c>
      <c r="D546">
        <f t="shared" si="37"/>
        <v>3.9002854337466563E-4</v>
      </c>
      <c r="E546" s="3">
        <f t="shared" si="35"/>
        <v>28528.44808087714</v>
      </c>
    </row>
    <row r="547" spans="1:5" x14ac:dyDescent="0.3">
      <c r="A547">
        <f t="shared" si="36"/>
        <v>5.4499999999999282</v>
      </c>
      <c r="B547">
        <f t="shared" si="36"/>
        <v>35.449999999999626</v>
      </c>
      <c r="C547">
        <f t="shared" si="34"/>
        <v>3.9022741232763356E-4</v>
      </c>
      <c r="D547">
        <f t="shared" si="37"/>
        <v>3.9022741232763356E-4</v>
      </c>
      <c r="E547" s="3">
        <f t="shared" si="35"/>
        <v>28564.580700656614</v>
      </c>
    </row>
    <row r="548" spans="1:5" x14ac:dyDescent="0.3">
      <c r="A548">
        <f t="shared" si="36"/>
        <v>5.459999999999928</v>
      </c>
      <c r="B548">
        <f t="shared" si="36"/>
        <v>35.459999999999624</v>
      </c>
      <c r="C548">
        <f t="shared" si="34"/>
        <v>3.9042651388190288E-4</v>
      </c>
      <c r="D548">
        <f t="shared" si="37"/>
        <v>3.9042651388190288E-4</v>
      </c>
      <c r="E548" s="3">
        <f t="shared" si="35"/>
        <v>28600.727772348655</v>
      </c>
    </row>
    <row r="549" spans="1:5" x14ac:dyDescent="0.3">
      <c r="A549">
        <f t="shared" si="36"/>
        <v>5.4699999999999278</v>
      </c>
      <c r="B549">
        <f t="shared" si="36"/>
        <v>35.469999999999622</v>
      </c>
      <c r="C549">
        <f t="shared" si="34"/>
        <v>3.9062584830952898E-4</v>
      </c>
      <c r="D549">
        <f t="shared" si="37"/>
        <v>3.9062584830952898E-4</v>
      </c>
      <c r="E549" s="3">
        <f t="shared" si="35"/>
        <v>28636.889301768097</v>
      </c>
    </row>
    <row r="550" spans="1:5" x14ac:dyDescent="0.3">
      <c r="A550">
        <f t="shared" si="36"/>
        <v>5.4799999999999276</v>
      </c>
      <c r="B550">
        <f t="shared" si="36"/>
        <v>35.47999999999962</v>
      </c>
      <c r="C550">
        <f t="shared" si="34"/>
        <v>3.9082541588288529E-4</v>
      </c>
      <c r="D550">
        <f t="shared" si="37"/>
        <v>3.9082541588288529E-4</v>
      </c>
      <c r="E550" s="3">
        <f t="shared" si="35"/>
        <v>28673.065294732256</v>
      </c>
    </row>
    <row r="551" spans="1:5" x14ac:dyDescent="0.3">
      <c r="A551">
        <f t="shared" si="36"/>
        <v>5.4899999999999274</v>
      </c>
      <c r="B551">
        <f t="shared" si="36"/>
        <v>35.489999999999618</v>
      </c>
      <c r="C551">
        <f t="shared" si="34"/>
        <v>3.9102521687466398E-4</v>
      </c>
      <c r="D551">
        <f t="shared" si="37"/>
        <v>3.9102521687466398E-4</v>
      </c>
      <c r="E551" s="3">
        <f t="shared" si="35"/>
        <v>28709.25575706095</v>
      </c>
    </row>
    <row r="552" spans="1:5" x14ac:dyDescent="0.3">
      <c r="A552">
        <f t="shared" si="36"/>
        <v>5.4999999999999272</v>
      </c>
      <c r="B552">
        <f t="shared" si="36"/>
        <v>35.499999999999616</v>
      </c>
      <c r="C552">
        <f t="shared" si="34"/>
        <v>3.9122525155787613E-4</v>
      </c>
      <c r="D552">
        <f t="shared" si="37"/>
        <v>3.9122525155787613E-4</v>
      </c>
      <c r="E552" s="3">
        <f t="shared" si="35"/>
        <v>28745.460694576483</v>
      </c>
    </row>
    <row r="553" spans="1:5" x14ac:dyDescent="0.3">
      <c r="A553">
        <f t="shared" si="36"/>
        <v>5.509999999999927</v>
      </c>
      <c r="B553">
        <f t="shared" si="36"/>
        <v>35.509999999999614</v>
      </c>
      <c r="C553">
        <f t="shared" si="34"/>
        <v>3.9142552020585229E-4</v>
      </c>
      <c r="D553">
        <f t="shared" si="37"/>
        <v>3.9142552020585229E-4</v>
      </c>
      <c r="E553" s="3">
        <f t="shared" si="35"/>
        <v>28781.680113103666</v>
      </c>
    </row>
    <row r="554" spans="1:5" x14ac:dyDescent="0.3">
      <c r="A554">
        <f t="shared" si="36"/>
        <v>5.5199999999999267</v>
      </c>
      <c r="B554">
        <f t="shared" si="36"/>
        <v>35.519999999999612</v>
      </c>
      <c r="C554">
        <f t="shared" si="34"/>
        <v>3.9162602309224248E-4</v>
      </c>
      <c r="D554">
        <f t="shared" si="37"/>
        <v>3.9162602309224248E-4</v>
      </c>
      <c r="E554" s="3">
        <f t="shared" si="35"/>
        <v>28817.914018469804</v>
      </c>
    </row>
    <row r="555" spans="1:5" x14ac:dyDescent="0.3">
      <c r="A555">
        <f t="shared" si="36"/>
        <v>5.5299999999999265</v>
      </c>
      <c r="B555">
        <f t="shared" si="36"/>
        <v>35.52999999999961</v>
      </c>
      <c r="C555">
        <f t="shared" si="34"/>
        <v>3.918267604910168E-4</v>
      </c>
      <c r="D555">
        <f t="shared" si="37"/>
        <v>3.918267604910168E-4</v>
      </c>
      <c r="E555" s="3">
        <f t="shared" si="35"/>
        <v>28854.162416504711</v>
      </c>
    </row>
    <row r="556" spans="1:5" x14ac:dyDescent="0.3">
      <c r="A556">
        <f t="shared" si="36"/>
        <v>5.5399999999999263</v>
      </c>
      <c r="B556">
        <f t="shared" si="36"/>
        <v>35.539999999999608</v>
      </c>
      <c r="C556">
        <f t="shared" si="34"/>
        <v>3.9202773267646581E-4</v>
      </c>
      <c r="D556">
        <f t="shared" si="37"/>
        <v>3.9202773267646581E-4</v>
      </c>
      <c r="E556" s="3">
        <f t="shared" si="35"/>
        <v>28890.425313040683</v>
      </c>
    </row>
    <row r="557" spans="1:5" x14ac:dyDescent="0.3">
      <c r="A557">
        <f t="shared" si="36"/>
        <v>5.5499999999999261</v>
      </c>
      <c r="B557">
        <f t="shared" si="36"/>
        <v>35.549999999999606</v>
      </c>
      <c r="C557">
        <f t="shared" si="34"/>
        <v>3.9222893992320101E-4</v>
      </c>
      <c r="D557">
        <f t="shared" si="37"/>
        <v>3.9222893992320101E-4</v>
      </c>
      <c r="E557" s="3">
        <f t="shared" si="35"/>
        <v>28926.702713912538</v>
      </c>
    </row>
    <row r="558" spans="1:5" x14ac:dyDescent="0.3">
      <c r="A558">
        <f t="shared" si="36"/>
        <v>5.5599999999999259</v>
      </c>
      <c r="B558">
        <f t="shared" si="36"/>
        <v>35.559999999999604</v>
      </c>
      <c r="C558">
        <f t="shared" si="34"/>
        <v>3.924303825061551E-4</v>
      </c>
      <c r="D558">
        <f t="shared" si="37"/>
        <v>3.924303825061551E-4</v>
      </c>
      <c r="E558" s="3">
        <f t="shared" si="35"/>
        <v>28962.994624957588</v>
      </c>
    </row>
    <row r="559" spans="1:5" x14ac:dyDescent="0.3">
      <c r="A559">
        <f t="shared" si="36"/>
        <v>5.5699999999999257</v>
      </c>
      <c r="B559">
        <f t="shared" si="36"/>
        <v>35.569999999999602</v>
      </c>
      <c r="C559">
        <f t="shared" si="34"/>
        <v>3.9263206070058227E-4</v>
      </c>
      <c r="D559">
        <f t="shared" si="37"/>
        <v>3.9263206070058227E-4</v>
      </c>
      <c r="E559" s="3">
        <f t="shared" si="35"/>
        <v>28999.301052015653</v>
      </c>
    </row>
    <row r="560" spans="1:5" x14ac:dyDescent="0.3">
      <c r="A560">
        <f t="shared" si="36"/>
        <v>5.5799999999999255</v>
      </c>
      <c r="B560">
        <f t="shared" si="36"/>
        <v>35.5799999999996</v>
      </c>
      <c r="C560">
        <f t="shared" si="34"/>
        <v>3.9283397478205844E-4</v>
      </c>
      <c r="D560">
        <f t="shared" si="37"/>
        <v>3.9283397478205844E-4</v>
      </c>
      <c r="E560" s="3">
        <f t="shared" si="35"/>
        <v>29035.62200092907</v>
      </c>
    </row>
    <row r="561" spans="1:5" x14ac:dyDescent="0.3">
      <c r="A561">
        <f t="shared" si="36"/>
        <v>5.5899999999999253</v>
      </c>
      <c r="B561">
        <f t="shared" si="36"/>
        <v>35.589999999999598</v>
      </c>
      <c r="C561">
        <f t="shared" si="34"/>
        <v>3.9303612502648215E-4</v>
      </c>
      <c r="D561">
        <f t="shared" si="37"/>
        <v>3.9303612502648215E-4</v>
      </c>
      <c r="E561" s="3">
        <f t="shared" si="35"/>
        <v>29071.957477542663</v>
      </c>
    </row>
    <row r="562" spans="1:5" x14ac:dyDescent="0.3">
      <c r="A562">
        <f t="shared" si="36"/>
        <v>5.599999999999925</v>
      </c>
      <c r="B562">
        <f t="shared" si="36"/>
        <v>35.599999999999596</v>
      </c>
      <c r="C562">
        <f t="shared" si="34"/>
        <v>3.9323851171007456E-4</v>
      </c>
      <c r="D562">
        <f t="shared" si="37"/>
        <v>3.9323851171007456E-4</v>
      </c>
      <c r="E562" s="3">
        <f t="shared" si="35"/>
        <v>29108.307487703791</v>
      </c>
    </row>
    <row r="563" spans="1:5" x14ac:dyDescent="0.3">
      <c r="A563">
        <f t="shared" si="36"/>
        <v>5.6099999999999248</v>
      </c>
      <c r="B563">
        <f t="shared" si="36"/>
        <v>35.609999999999594</v>
      </c>
      <c r="C563">
        <f t="shared" si="34"/>
        <v>3.9344113510937986E-4</v>
      </c>
      <c r="D563">
        <f t="shared" si="37"/>
        <v>3.9344113510937986E-4</v>
      </c>
      <c r="E563" s="3">
        <f t="shared" si="35"/>
        <v>29144.672037262309</v>
      </c>
    </row>
    <row r="564" spans="1:5" x14ac:dyDescent="0.3">
      <c r="A564">
        <f t="shared" si="36"/>
        <v>5.6199999999999246</v>
      </c>
      <c r="B564">
        <f t="shared" si="36"/>
        <v>35.619999999999592</v>
      </c>
      <c r="C564">
        <f t="shared" si="34"/>
        <v>3.9364399550126595E-4</v>
      </c>
      <c r="D564">
        <f t="shared" si="37"/>
        <v>3.9364399550126595E-4</v>
      </c>
      <c r="E564" s="3">
        <f t="shared" si="35"/>
        <v>29181.051132070592</v>
      </c>
    </row>
    <row r="565" spans="1:5" x14ac:dyDescent="0.3">
      <c r="A565">
        <f t="shared" si="36"/>
        <v>5.6299999999999244</v>
      </c>
      <c r="B565">
        <f t="shared" si="36"/>
        <v>35.62999999999959</v>
      </c>
      <c r="C565">
        <f t="shared" si="34"/>
        <v>3.9384709316292395E-4</v>
      </c>
      <c r="D565">
        <f t="shared" si="37"/>
        <v>3.9384709316292395E-4</v>
      </c>
      <c r="E565" s="3">
        <f t="shared" si="35"/>
        <v>29217.444777983528</v>
      </c>
    </row>
    <row r="566" spans="1:5" x14ac:dyDescent="0.3">
      <c r="A566">
        <f t="shared" si="36"/>
        <v>5.6399999999999242</v>
      </c>
      <c r="B566">
        <f t="shared" si="36"/>
        <v>35.639999999999588</v>
      </c>
      <c r="C566">
        <f t="shared" si="34"/>
        <v>3.9405042837186972E-4</v>
      </c>
      <c r="D566">
        <f t="shared" si="37"/>
        <v>3.9405042837186972E-4</v>
      </c>
      <c r="E566" s="3">
        <f t="shared" si="35"/>
        <v>29253.852980858508</v>
      </c>
    </row>
    <row r="567" spans="1:5" x14ac:dyDescent="0.3">
      <c r="A567">
        <f t="shared" si="36"/>
        <v>5.649999999999924</v>
      </c>
      <c r="B567">
        <f t="shared" si="36"/>
        <v>35.649999999999586</v>
      </c>
      <c r="C567">
        <f t="shared" si="34"/>
        <v>3.9425400140594353E-4</v>
      </c>
      <c r="D567">
        <f t="shared" si="37"/>
        <v>3.9425400140594353E-4</v>
      </c>
      <c r="E567" s="3">
        <f t="shared" si="35"/>
        <v>29290.275746555468</v>
      </c>
    </row>
    <row r="568" spans="1:5" x14ac:dyDescent="0.3">
      <c r="A568">
        <f t="shared" si="36"/>
        <v>5.6599999999999238</v>
      </c>
      <c r="B568">
        <f t="shared" si="36"/>
        <v>35.659999999999584</v>
      </c>
      <c r="C568">
        <f t="shared" si="34"/>
        <v>3.9445781254331071E-4</v>
      </c>
      <c r="D568">
        <f t="shared" si="37"/>
        <v>3.9445781254331071E-4</v>
      </c>
      <c r="E568" s="3">
        <f t="shared" si="35"/>
        <v>29326.713080936835</v>
      </c>
    </row>
    <row r="569" spans="1:5" x14ac:dyDescent="0.3">
      <c r="A569">
        <f t="shared" si="36"/>
        <v>5.6699999999999235</v>
      </c>
      <c r="B569">
        <f t="shared" si="36"/>
        <v>35.669999999999582</v>
      </c>
      <c r="C569">
        <f t="shared" si="34"/>
        <v>3.9466186206246203E-4</v>
      </c>
      <c r="D569">
        <f t="shared" si="37"/>
        <v>3.9466186206246203E-4</v>
      </c>
      <c r="E569" s="3">
        <f t="shared" si="35"/>
        <v>29363.164989867575</v>
      </c>
    </row>
    <row r="570" spans="1:5" x14ac:dyDescent="0.3">
      <c r="A570">
        <f t="shared" si="36"/>
        <v>5.6799999999999233</v>
      </c>
      <c r="B570">
        <f t="shared" si="36"/>
        <v>35.67999999999958</v>
      </c>
      <c r="C570">
        <f t="shared" si="34"/>
        <v>3.9486615024221343E-4</v>
      </c>
      <c r="D570">
        <f t="shared" si="37"/>
        <v>3.9486615024221343E-4</v>
      </c>
      <c r="E570" s="3">
        <f t="shared" si="35"/>
        <v>29399.631479215168</v>
      </c>
    </row>
    <row r="571" spans="1:5" x14ac:dyDescent="0.3">
      <c r="A571">
        <f t="shared" si="36"/>
        <v>5.6899999999999231</v>
      </c>
      <c r="B571">
        <f t="shared" si="36"/>
        <v>35.689999999999579</v>
      </c>
      <c r="C571">
        <f t="shared" si="34"/>
        <v>3.950706773617076E-4</v>
      </c>
      <c r="D571">
        <f t="shared" si="37"/>
        <v>3.950706773617076E-4</v>
      </c>
      <c r="E571" s="3">
        <f t="shared" si="35"/>
        <v>29436.112554849617</v>
      </c>
    </row>
    <row r="572" spans="1:5" x14ac:dyDescent="0.3">
      <c r="A572">
        <f t="shared" si="36"/>
        <v>5.6999999999999229</v>
      </c>
      <c r="B572">
        <f t="shared" si="36"/>
        <v>35.699999999999577</v>
      </c>
      <c r="C572">
        <f t="shared" si="34"/>
        <v>3.9527544370041338E-4</v>
      </c>
      <c r="D572">
        <f t="shared" si="37"/>
        <v>3.9527544370041338E-4</v>
      </c>
      <c r="E572" s="3">
        <f t="shared" si="35"/>
        <v>29472.608222643456</v>
      </c>
    </row>
    <row r="573" spans="1:5" x14ac:dyDescent="0.3">
      <c r="A573">
        <f t="shared" si="36"/>
        <v>5.7099999999999227</v>
      </c>
      <c r="B573">
        <f t="shared" si="36"/>
        <v>35.709999999999575</v>
      </c>
      <c r="C573">
        <f t="shared" si="34"/>
        <v>3.954804495381267E-4</v>
      </c>
      <c r="D573">
        <f t="shared" si="37"/>
        <v>3.954804495381267E-4</v>
      </c>
      <c r="E573" s="3">
        <f t="shared" si="35"/>
        <v>29509.118488471737</v>
      </c>
    </row>
    <row r="574" spans="1:5" x14ac:dyDescent="0.3">
      <c r="A574">
        <f t="shared" si="36"/>
        <v>5.7199999999999225</v>
      </c>
      <c r="B574">
        <f t="shared" si="36"/>
        <v>35.719999999999573</v>
      </c>
      <c r="C574">
        <f t="shared" si="34"/>
        <v>3.956856951549707E-4</v>
      </c>
      <c r="D574">
        <f t="shared" si="37"/>
        <v>3.956856951549707E-4</v>
      </c>
      <c r="E574" s="3">
        <f t="shared" si="35"/>
        <v>29545.643358212041</v>
      </c>
    </row>
    <row r="575" spans="1:5" x14ac:dyDescent="0.3">
      <c r="A575">
        <f t="shared" si="36"/>
        <v>5.7299999999999223</v>
      </c>
      <c r="B575">
        <f t="shared" si="36"/>
        <v>35.729999999999571</v>
      </c>
      <c r="C575">
        <f t="shared" si="34"/>
        <v>3.9589118083139575E-4</v>
      </c>
      <c r="D575">
        <f t="shared" si="37"/>
        <v>3.9589118083139575E-4</v>
      </c>
      <c r="E575" s="3">
        <f t="shared" si="35"/>
        <v>29582.18283774448</v>
      </c>
    </row>
    <row r="576" spans="1:5" x14ac:dyDescent="0.3">
      <c r="A576">
        <f t="shared" si="36"/>
        <v>5.7399999999999221</v>
      </c>
      <c r="B576">
        <f t="shared" si="36"/>
        <v>35.739999999999569</v>
      </c>
      <c r="C576">
        <f t="shared" si="34"/>
        <v>3.9609690684818083E-4</v>
      </c>
      <c r="D576">
        <f t="shared" si="37"/>
        <v>3.9609690684818083E-4</v>
      </c>
      <c r="E576" s="3">
        <f t="shared" si="35"/>
        <v>29618.736932951699</v>
      </c>
    </row>
    <row r="577" spans="1:5" x14ac:dyDescent="0.3">
      <c r="A577">
        <f t="shared" si="36"/>
        <v>5.7499999999999218</v>
      </c>
      <c r="B577">
        <f t="shared" si="36"/>
        <v>35.749999999999567</v>
      </c>
      <c r="C577">
        <f t="shared" si="34"/>
        <v>3.9630287348643299E-4</v>
      </c>
      <c r="D577">
        <f t="shared" si="37"/>
        <v>3.9630287348643299E-4</v>
      </c>
      <c r="E577" s="3">
        <f t="shared" si="35"/>
        <v>29655.30564971887</v>
      </c>
    </row>
    <row r="578" spans="1:5" x14ac:dyDescent="0.3">
      <c r="A578">
        <f t="shared" si="36"/>
        <v>5.7599999999999216</v>
      </c>
      <c r="B578">
        <f t="shared" si="36"/>
        <v>35.759999999999565</v>
      </c>
      <c r="C578">
        <f t="shared" si="34"/>
        <v>3.9650908102758814E-4</v>
      </c>
      <c r="D578">
        <f t="shared" si="37"/>
        <v>3.9650908102758814E-4</v>
      </c>
      <c r="E578" s="3">
        <f t="shared" si="35"/>
        <v>29691.888993933702</v>
      </c>
    </row>
    <row r="579" spans="1:5" x14ac:dyDescent="0.3">
      <c r="A579">
        <f t="shared" si="36"/>
        <v>5.7699999999999214</v>
      </c>
      <c r="B579">
        <f t="shared" si="36"/>
        <v>35.769999999999563</v>
      </c>
      <c r="C579">
        <f t="shared" ref="C579:C642" si="38">$N$2 + $N$3*$N$4^(B579)</f>
        <v>3.9671552975341167E-4</v>
      </c>
      <c r="D579">
        <f t="shared" si="37"/>
        <v>3.9671552975341167E-4</v>
      </c>
      <c r="E579" s="3">
        <f t="shared" ref="E579:E642" si="39">IF(ROUND(A579, 2)=$N$10,$N$6,(E580-$N$5*($N$7-$N$8-($N$6+$N$9)*D579))/(1+$N$5*$N$11+$N$5*D579))</f>
        <v>29728.48697148644</v>
      </c>
    </row>
    <row r="580" spans="1:5" x14ac:dyDescent="0.3">
      <c r="A580">
        <f t="shared" ref="A580:B643" si="40">A579+$N$5</f>
        <v>5.7799999999999212</v>
      </c>
      <c r="B580">
        <f t="shared" si="40"/>
        <v>35.779999999999561</v>
      </c>
      <c r="C580">
        <f t="shared" si="38"/>
        <v>3.9692221994599769E-4</v>
      </c>
      <c r="D580">
        <f t="shared" si="37"/>
        <v>3.9692221994599769E-4</v>
      </c>
      <c r="E580" s="3">
        <f t="shared" si="39"/>
        <v>29765.099588269859</v>
      </c>
    </row>
    <row r="581" spans="1:5" x14ac:dyDescent="0.3">
      <c r="A581">
        <f t="shared" si="40"/>
        <v>5.789999999999921</v>
      </c>
      <c r="B581">
        <f t="shared" si="40"/>
        <v>35.789999999999559</v>
      </c>
      <c r="C581">
        <f t="shared" si="38"/>
        <v>3.971291518877711E-4</v>
      </c>
      <c r="D581">
        <f t="shared" si="37"/>
        <v>3.971291518877711E-4</v>
      </c>
      <c r="E581" s="3">
        <f t="shared" si="39"/>
        <v>29801.726850179271</v>
      </c>
    </row>
    <row r="582" spans="1:5" x14ac:dyDescent="0.3">
      <c r="A582">
        <f t="shared" si="40"/>
        <v>5.7999999999999208</v>
      </c>
      <c r="B582">
        <f t="shared" si="40"/>
        <v>35.799999999999557</v>
      </c>
      <c r="C582">
        <f t="shared" si="38"/>
        <v>3.9733632586148675E-4</v>
      </c>
      <c r="D582">
        <f t="shared" si="37"/>
        <v>3.9733632586148675E-4</v>
      </c>
      <c r="E582" s="3">
        <f t="shared" si="39"/>
        <v>29838.368763112547</v>
      </c>
    </row>
    <row r="583" spans="1:5" x14ac:dyDescent="0.3">
      <c r="A583">
        <f t="shared" si="40"/>
        <v>5.8099999999999206</v>
      </c>
      <c r="B583">
        <f t="shared" si="40"/>
        <v>35.809999999999555</v>
      </c>
      <c r="C583">
        <f t="shared" si="38"/>
        <v>3.9754374215023042E-4</v>
      </c>
      <c r="D583">
        <f t="shared" si="37"/>
        <v>3.9754374215023042E-4</v>
      </c>
      <c r="E583" s="3">
        <f t="shared" si="39"/>
        <v>29875.025332970068</v>
      </c>
    </row>
    <row r="584" spans="1:5" x14ac:dyDescent="0.3">
      <c r="A584">
        <f t="shared" si="40"/>
        <v>5.8199999999999203</v>
      </c>
      <c r="B584">
        <f t="shared" si="40"/>
        <v>35.819999999999553</v>
      </c>
      <c r="C584">
        <f t="shared" si="38"/>
        <v>3.9775140103741888E-4</v>
      </c>
      <c r="D584">
        <f t="shared" si="37"/>
        <v>3.9775140103741888E-4</v>
      </c>
      <c r="E584" s="3">
        <f t="shared" si="39"/>
        <v>29911.69656565478</v>
      </c>
    </row>
    <row r="585" spans="1:5" x14ac:dyDescent="0.3">
      <c r="A585">
        <f t="shared" si="40"/>
        <v>5.8299999999999201</v>
      </c>
      <c r="B585">
        <f t="shared" si="40"/>
        <v>35.829999999999551</v>
      </c>
      <c r="C585">
        <f t="shared" si="38"/>
        <v>3.9795930280680006E-4</v>
      </c>
      <c r="D585">
        <f t="shared" si="37"/>
        <v>3.9795930280680006E-4</v>
      </c>
      <c r="E585" s="3">
        <f t="shared" si="39"/>
        <v>29948.38246707217</v>
      </c>
    </row>
    <row r="586" spans="1:5" x14ac:dyDescent="0.3">
      <c r="A586">
        <f t="shared" si="40"/>
        <v>5.8399999999999199</v>
      </c>
      <c r="B586">
        <f t="shared" si="40"/>
        <v>35.839999999999549</v>
      </c>
      <c r="C586">
        <f t="shared" si="38"/>
        <v>3.9816744774245428E-4</v>
      </c>
      <c r="D586">
        <f t="shared" si="37"/>
        <v>3.9816744774245428E-4</v>
      </c>
      <c r="E586" s="3">
        <f t="shared" si="39"/>
        <v>29985.083043130257</v>
      </c>
    </row>
    <row r="587" spans="1:5" x14ac:dyDescent="0.3">
      <c r="A587">
        <f t="shared" si="40"/>
        <v>5.8499999999999197</v>
      </c>
      <c r="B587">
        <f t="shared" si="40"/>
        <v>35.849999999999547</v>
      </c>
      <c r="C587">
        <f t="shared" si="38"/>
        <v>3.9837583612879383E-4</v>
      </c>
      <c r="D587">
        <f t="shared" si="37"/>
        <v>3.9837583612879383E-4</v>
      </c>
      <c r="E587" s="3">
        <f t="shared" si="39"/>
        <v>30021.798299739621</v>
      </c>
    </row>
    <row r="588" spans="1:5" x14ac:dyDescent="0.3">
      <c r="A588">
        <f t="shared" si="40"/>
        <v>5.8599999999999195</v>
      </c>
      <c r="B588">
        <f t="shared" si="40"/>
        <v>35.859999999999545</v>
      </c>
      <c r="C588">
        <f t="shared" si="38"/>
        <v>3.9858446825056376E-4</v>
      </c>
      <c r="D588">
        <f t="shared" si="37"/>
        <v>3.9858446825056376E-4</v>
      </c>
      <c r="E588" s="3">
        <f t="shared" si="39"/>
        <v>30058.528242813383</v>
      </c>
    </row>
    <row r="589" spans="1:5" x14ac:dyDescent="0.3">
      <c r="A589">
        <f t="shared" si="40"/>
        <v>5.8699999999999193</v>
      </c>
      <c r="B589">
        <f t="shared" si="40"/>
        <v>35.869999999999543</v>
      </c>
      <c r="C589">
        <f t="shared" si="38"/>
        <v>3.9879334439284241E-4</v>
      </c>
      <c r="D589">
        <f t="shared" si="37"/>
        <v>3.9879334439284241E-4</v>
      </c>
      <c r="E589" s="3">
        <f t="shared" si="39"/>
        <v>30095.272878267217</v>
      </c>
    </row>
    <row r="590" spans="1:5" x14ac:dyDescent="0.3">
      <c r="A590">
        <f t="shared" si="40"/>
        <v>5.8799999999999191</v>
      </c>
      <c r="B590">
        <f t="shared" si="40"/>
        <v>35.879999999999541</v>
      </c>
      <c r="C590">
        <f t="shared" si="38"/>
        <v>3.9900246484104085E-4</v>
      </c>
      <c r="D590">
        <f t="shared" si="37"/>
        <v>3.9900246484104085E-4</v>
      </c>
      <c r="E590" s="3">
        <f t="shared" si="39"/>
        <v>30132.032212019345</v>
      </c>
    </row>
    <row r="591" spans="1:5" x14ac:dyDescent="0.3">
      <c r="A591">
        <f t="shared" si="40"/>
        <v>5.8899999999999189</v>
      </c>
      <c r="B591">
        <f t="shared" si="40"/>
        <v>35.889999999999539</v>
      </c>
      <c r="C591">
        <f t="shared" si="38"/>
        <v>3.9921182988090467E-4</v>
      </c>
      <c r="D591">
        <f t="shared" si="37"/>
        <v>3.9921182988090467E-4</v>
      </c>
      <c r="E591" s="3">
        <f t="shared" si="39"/>
        <v>30168.806249990543</v>
      </c>
    </row>
    <row r="592" spans="1:5" x14ac:dyDescent="0.3">
      <c r="A592">
        <f t="shared" si="40"/>
        <v>5.8999999999999186</v>
      </c>
      <c r="B592">
        <f t="shared" si="40"/>
        <v>35.899999999999537</v>
      </c>
      <c r="C592">
        <f t="shared" si="38"/>
        <v>3.9942143979851332E-4</v>
      </c>
      <c r="D592">
        <f t="shared" si="37"/>
        <v>3.9942143979851332E-4</v>
      </c>
      <c r="E592" s="3">
        <f t="shared" si="39"/>
        <v>30205.594998104141</v>
      </c>
    </row>
    <row r="593" spans="1:5" x14ac:dyDescent="0.3">
      <c r="A593">
        <f t="shared" si="40"/>
        <v>5.9099999999999184</v>
      </c>
      <c r="B593">
        <f t="shared" si="40"/>
        <v>35.909999999999535</v>
      </c>
      <c r="C593">
        <f t="shared" si="38"/>
        <v>3.9963129488028101E-4</v>
      </c>
      <c r="D593">
        <f t="shared" si="37"/>
        <v>3.9963129488028101E-4</v>
      </c>
      <c r="E593" s="3">
        <f t="shared" si="39"/>
        <v>30242.398462286023</v>
      </c>
    </row>
    <row r="594" spans="1:5" x14ac:dyDescent="0.3">
      <c r="A594">
        <f t="shared" si="40"/>
        <v>5.9199999999999182</v>
      </c>
      <c r="B594">
        <f t="shared" si="40"/>
        <v>35.919999999999533</v>
      </c>
      <c r="C594">
        <f t="shared" si="38"/>
        <v>3.9984139541295705E-4</v>
      </c>
      <c r="D594">
        <f t="shared" si="37"/>
        <v>3.9984139541295705E-4</v>
      </c>
      <c r="E594" s="3">
        <f t="shared" si="39"/>
        <v>30279.216648464633</v>
      </c>
    </row>
    <row r="595" spans="1:5" x14ac:dyDescent="0.3">
      <c r="A595">
        <f t="shared" si="40"/>
        <v>5.929999999999918</v>
      </c>
      <c r="B595">
        <f t="shared" si="40"/>
        <v>35.929999999999531</v>
      </c>
      <c r="C595">
        <f t="shared" si="38"/>
        <v>4.0005174168362566E-4</v>
      </c>
      <c r="D595">
        <f t="shared" si="37"/>
        <v>4.0005174168362566E-4</v>
      </c>
      <c r="E595" s="3">
        <f t="shared" si="39"/>
        <v>30316.04956257097</v>
      </c>
    </row>
    <row r="596" spans="1:5" x14ac:dyDescent="0.3">
      <c r="A596">
        <f t="shared" si="40"/>
        <v>5.9399999999999178</v>
      </c>
      <c r="B596">
        <f t="shared" si="40"/>
        <v>35.939999999999529</v>
      </c>
      <c r="C596">
        <f t="shared" si="38"/>
        <v>4.002623339797072E-4</v>
      </c>
      <c r="D596">
        <f t="shared" si="37"/>
        <v>4.002623339797072E-4</v>
      </c>
      <c r="E596" s="3">
        <f t="shared" si="39"/>
        <v>30352.897210538602</v>
      </c>
    </row>
    <row r="597" spans="1:5" x14ac:dyDescent="0.3">
      <c r="A597">
        <f t="shared" si="40"/>
        <v>5.9499999999999176</v>
      </c>
      <c r="B597">
        <f t="shared" si="40"/>
        <v>35.949999999999527</v>
      </c>
      <c r="C597">
        <f t="shared" si="38"/>
        <v>4.004731725889583E-4</v>
      </c>
      <c r="D597">
        <f t="shared" si="37"/>
        <v>4.004731725889583E-4</v>
      </c>
      <c r="E597" s="3">
        <f t="shared" si="39"/>
        <v>30389.759598303644</v>
      </c>
    </row>
    <row r="598" spans="1:5" x14ac:dyDescent="0.3">
      <c r="A598">
        <f t="shared" si="40"/>
        <v>5.9599999999999174</v>
      </c>
      <c r="B598">
        <f t="shared" si="40"/>
        <v>35.959999999999525</v>
      </c>
      <c r="C598">
        <f t="shared" si="38"/>
        <v>4.0068425779947193E-4</v>
      </c>
      <c r="D598">
        <f t="shared" si="37"/>
        <v>4.0068425779947193E-4</v>
      </c>
      <c r="E598" s="3">
        <f t="shared" si="39"/>
        <v>30426.636731804781</v>
      </c>
    </row>
    <row r="599" spans="1:5" x14ac:dyDescent="0.3">
      <c r="A599">
        <f t="shared" si="40"/>
        <v>5.9699999999999172</v>
      </c>
      <c r="B599">
        <f t="shared" si="40"/>
        <v>35.969999999999523</v>
      </c>
      <c r="C599">
        <f t="shared" si="38"/>
        <v>4.0089558989967833E-4</v>
      </c>
      <c r="D599">
        <f t="shared" ref="D599:D662" si="41">IF(A599&lt;=2, (0.9)^(2-A599)*C599, C599)</f>
        <v>4.0089558989967833E-4</v>
      </c>
      <c r="E599" s="3">
        <f t="shared" si="39"/>
        <v>30463.528616983265</v>
      </c>
    </row>
    <row r="600" spans="1:5" x14ac:dyDescent="0.3">
      <c r="A600">
        <f t="shared" si="40"/>
        <v>5.9799999999999169</v>
      </c>
      <c r="B600">
        <f t="shared" si="40"/>
        <v>35.979999999999521</v>
      </c>
      <c r="C600">
        <f t="shared" si="38"/>
        <v>4.0110716917834445E-4</v>
      </c>
      <c r="D600">
        <f t="shared" si="41"/>
        <v>4.0110716917834445E-4</v>
      </c>
      <c r="E600" s="3">
        <f t="shared" si="39"/>
        <v>30500.435259782909</v>
      </c>
    </row>
    <row r="601" spans="1:5" x14ac:dyDescent="0.3">
      <c r="A601">
        <f t="shared" si="40"/>
        <v>5.9899999999999167</v>
      </c>
      <c r="B601">
        <f t="shared" si="40"/>
        <v>35.989999999999519</v>
      </c>
      <c r="C601">
        <f t="shared" si="38"/>
        <v>4.0131899592457567E-4</v>
      </c>
      <c r="D601">
        <f t="shared" si="41"/>
        <v>4.0131899592457567E-4</v>
      </c>
      <c r="E601" s="3">
        <f t="shared" si="39"/>
        <v>30537.356666150095</v>
      </c>
    </row>
    <row r="602" spans="1:5" x14ac:dyDescent="0.3">
      <c r="A602">
        <f t="shared" si="40"/>
        <v>5.9999999999999165</v>
      </c>
      <c r="B602">
        <f t="shared" si="40"/>
        <v>35.999999999999517</v>
      </c>
      <c r="C602">
        <f t="shared" si="38"/>
        <v>4.0153107042781517E-4</v>
      </c>
      <c r="D602">
        <f t="shared" si="41"/>
        <v>4.0153107042781517E-4</v>
      </c>
      <c r="E602" s="3">
        <f t="shared" si="39"/>
        <v>30574.292842033781</v>
      </c>
    </row>
    <row r="603" spans="1:5" x14ac:dyDescent="0.3">
      <c r="A603">
        <f t="shared" si="40"/>
        <v>6.0099999999999163</v>
      </c>
      <c r="B603">
        <f t="shared" si="40"/>
        <v>36.009999999999515</v>
      </c>
      <c r="C603">
        <f t="shared" si="38"/>
        <v>4.017433929778448E-4</v>
      </c>
      <c r="D603">
        <f t="shared" si="41"/>
        <v>4.017433929778448E-4</v>
      </c>
      <c r="E603" s="3">
        <f t="shared" si="39"/>
        <v>30611.243793385493</v>
      </c>
    </row>
    <row r="604" spans="1:5" x14ac:dyDescent="0.3">
      <c r="A604">
        <f t="shared" si="40"/>
        <v>6.0199999999999161</v>
      </c>
      <c r="B604">
        <f t="shared" si="40"/>
        <v>36.019999999999513</v>
      </c>
      <c r="C604">
        <f t="shared" si="38"/>
        <v>4.0195596386478525E-4</v>
      </c>
      <c r="D604">
        <f t="shared" si="41"/>
        <v>4.0195596386478525E-4</v>
      </c>
      <c r="E604" s="3">
        <f t="shared" si="39"/>
        <v>30648.209526159317</v>
      </c>
    </row>
    <row r="605" spans="1:5" x14ac:dyDescent="0.3">
      <c r="A605">
        <f t="shared" si="40"/>
        <v>6.0299999999999159</v>
      </c>
      <c r="B605">
        <f t="shared" si="40"/>
        <v>36.029999999999511</v>
      </c>
      <c r="C605">
        <f t="shared" si="38"/>
        <v>4.0216878337909678E-4</v>
      </c>
      <c r="D605">
        <f t="shared" si="41"/>
        <v>4.0216878337909678E-4</v>
      </c>
      <c r="E605" s="3">
        <f t="shared" si="39"/>
        <v>30685.190046311924</v>
      </c>
    </row>
    <row r="606" spans="1:5" x14ac:dyDescent="0.3">
      <c r="A606">
        <f t="shared" si="40"/>
        <v>6.0399999999999157</v>
      </c>
      <c r="B606">
        <f t="shared" si="40"/>
        <v>36.039999999999509</v>
      </c>
      <c r="C606">
        <f t="shared" si="38"/>
        <v>4.0238185181157879E-4</v>
      </c>
      <c r="D606">
        <f t="shared" si="41"/>
        <v>4.0238185181157879E-4</v>
      </c>
      <c r="E606" s="3">
        <f t="shared" si="39"/>
        <v>30722.185359802559</v>
      </c>
    </row>
    <row r="607" spans="1:5" x14ac:dyDescent="0.3">
      <c r="A607">
        <f t="shared" si="40"/>
        <v>6.0499999999999154</v>
      </c>
      <c r="B607">
        <f t="shared" si="40"/>
        <v>36.049999999999507</v>
      </c>
      <c r="C607">
        <f t="shared" si="38"/>
        <v>4.0259516945337153E-4</v>
      </c>
      <c r="D607">
        <f t="shared" si="41"/>
        <v>4.0259516945337153E-4</v>
      </c>
      <c r="E607" s="3">
        <f t="shared" si="39"/>
        <v>30759.195472593037</v>
      </c>
    </row>
    <row r="608" spans="1:5" x14ac:dyDescent="0.3">
      <c r="A608">
        <f t="shared" si="40"/>
        <v>6.0599999999999152</v>
      </c>
      <c r="B608">
        <f t="shared" si="40"/>
        <v>36.059999999999505</v>
      </c>
      <c r="C608">
        <f t="shared" si="38"/>
        <v>4.0280873659595518E-4</v>
      </c>
      <c r="D608">
        <f t="shared" si="41"/>
        <v>4.0280873659595518E-4</v>
      </c>
      <c r="E608" s="3">
        <f t="shared" si="39"/>
        <v>30796.220390647752</v>
      </c>
    </row>
    <row r="609" spans="1:5" x14ac:dyDescent="0.3">
      <c r="A609">
        <f t="shared" si="40"/>
        <v>6.069999999999915</v>
      </c>
      <c r="B609">
        <f t="shared" si="40"/>
        <v>36.069999999999503</v>
      </c>
      <c r="C609">
        <f t="shared" si="38"/>
        <v>4.0302255353115131E-4</v>
      </c>
      <c r="D609">
        <f t="shared" si="41"/>
        <v>4.0302255353115131E-4</v>
      </c>
      <c r="E609" s="3">
        <f t="shared" si="39"/>
        <v>30833.260119933686</v>
      </c>
    </row>
    <row r="610" spans="1:5" x14ac:dyDescent="0.3">
      <c r="A610">
        <f t="shared" si="40"/>
        <v>6.0799999999999148</v>
      </c>
      <c r="B610">
        <f t="shared" si="40"/>
        <v>36.079999999999501</v>
      </c>
      <c r="C610">
        <f t="shared" si="38"/>
        <v>4.0323662055112271E-4</v>
      </c>
      <c r="D610">
        <f t="shared" si="41"/>
        <v>4.0323662055112271E-4</v>
      </c>
      <c r="E610" s="3">
        <f t="shared" si="39"/>
        <v>30870.3146664204</v>
      </c>
    </row>
    <row r="611" spans="1:5" x14ac:dyDescent="0.3">
      <c r="A611">
        <f t="shared" si="40"/>
        <v>6.0899999999999146</v>
      </c>
      <c r="B611">
        <f t="shared" si="40"/>
        <v>36.089999999999499</v>
      </c>
      <c r="C611">
        <f t="shared" si="38"/>
        <v>4.034509379483734E-4</v>
      </c>
      <c r="D611">
        <f t="shared" si="41"/>
        <v>4.034509379483734E-4</v>
      </c>
      <c r="E611" s="3">
        <f t="shared" si="39"/>
        <v>30907.384036080035</v>
      </c>
    </row>
    <row r="612" spans="1:5" x14ac:dyDescent="0.3">
      <c r="A612">
        <f t="shared" si="40"/>
        <v>6.0999999999999144</v>
      </c>
      <c r="B612">
        <f t="shared" si="40"/>
        <v>36.099999999999497</v>
      </c>
      <c r="C612">
        <f t="shared" si="38"/>
        <v>4.0366550601575013E-4</v>
      </c>
      <c r="D612">
        <f t="shared" si="41"/>
        <v>4.0366550601575013E-4</v>
      </c>
      <c r="E612" s="3">
        <f t="shared" si="39"/>
        <v>30944.468234887307</v>
      </c>
    </row>
    <row r="613" spans="1:5" x14ac:dyDescent="0.3">
      <c r="A613">
        <f t="shared" si="40"/>
        <v>6.1099999999999142</v>
      </c>
      <c r="B613">
        <f t="shared" si="40"/>
        <v>36.109999999999495</v>
      </c>
      <c r="C613">
        <f t="shared" si="38"/>
        <v>4.0388032504644193E-4</v>
      </c>
      <c r="D613">
        <f t="shared" si="41"/>
        <v>4.0388032504644193E-4</v>
      </c>
      <c r="E613" s="3">
        <f t="shared" si="39"/>
        <v>30981.56726881953</v>
      </c>
    </row>
    <row r="614" spans="1:5" x14ac:dyDescent="0.3">
      <c r="A614">
        <f t="shared" si="40"/>
        <v>6.119999999999914</v>
      </c>
      <c r="B614">
        <f t="shared" si="40"/>
        <v>36.119999999999493</v>
      </c>
      <c r="C614">
        <f t="shared" si="38"/>
        <v>4.0409539533398071E-4</v>
      </c>
      <c r="D614">
        <f t="shared" si="41"/>
        <v>4.0409539533398071E-4</v>
      </c>
      <c r="E614" s="3">
        <f t="shared" si="39"/>
        <v>31018.6811438566</v>
      </c>
    </row>
    <row r="615" spans="1:5" x14ac:dyDescent="0.3">
      <c r="A615">
        <f t="shared" si="40"/>
        <v>6.1299999999999137</v>
      </c>
      <c r="B615">
        <f t="shared" si="40"/>
        <v>36.129999999999491</v>
      </c>
      <c r="C615">
        <f t="shared" si="38"/>
        <v>4.0431071717224201E-4</v>
      </c>
      <c r="D615">
        <f t="shared" si="41"/>
        <v>4.0431071717224201E-4</v>
      </c>
      <c r="E615" s="3">
        <f t="shared" si="39"/>
        <v>31055.809865980998</v>
      </c>
    </row>
    <row r="616" spans="1:5" x14ac:dyDescent="0.3">
      <c r="A616">
        <f t="shared" si="40"/>
        <v>6.1399999999999135</v>
      </c>
      <c r="B616">
        <f t="shared" si="40"/>
        <v>36.139999999999489</v>
      </c>
      <c r="C616">
        <f t="shared" si="38"/>
        <v>4.0452629085544438E-4</v>
      </c>
      <c r="D616">
        <f t="shared" si="41"/>
        <v>4.0452629085544438E-4</v>
      </c>
      <c r="E616" s="3">
        <f t="shared" si="39"/>
        <v>31092.953441177811</v>
      </c>
    </row>
    <row r="617" spans="1:5" x14ac:dyDescent="0.3">
      <c r="A617">
        <f t="shared" si="40"/>
        <v>6.1499999999999133</v>
      </c>
      <c r="B617">
        <f t="shared" si="40"/>
        <v>36.149999999999487</v>
      </c>
      <c r="C617">
        <f t="shared" si="38"/>
        <v>4.0474211667815123E-4</v>
      </c>
      <c r="D617">
        <f t="shared" si="41"/>
        <v>4.0474211667815123E-4</v>
      </c>
      <c r="E617" s="3">
        <f t="shared" si="39"/>
        <v>31130.111875434701</v>
      </c>
    </row>
    <row r="618" spans="1:5" x14ac:dyDescent="0.3">
      <c r="A618">
        <f t="shared" si="40"/>
        <v>6.1599999999999131</v>
      </c>
      <c r="B618">
        <f t="shared" si="40"/>
        <v>36.159999999999485</v>
      </c>
      <c r="C618">
        <f t="shared" si="38"/>
        <v>4.0495819493527015E-4</v>
      </c>
      <c r="D618">
        <f t="shared" si="41"/>
        <v>4.0495819493527015E-4</v>
      </c>
      <c r="E618" s="3">
        <f t="shared" si="39"/>
        <v>31167.285174741926</v>
      </c>
    </row>
    <row r="619" spans="1:5" x14ac:dyDescent="0.3">
      <c r="A619">
        <f t="shared" si="40"/>
        <v>6.1699999999999129</v>
      </c>
      <c r="B619">
        <f t="shared" si="40"/>
        <v>36.169999999999483</v>
      </c>
      <c r="C619">
        <f t="shared" si="38"/>
        <v>4.0517452592205369E-4</v>
      </c>
      <c r="D619">
        <f t="shared" si="41"/>
        <v>4.0517452592205369E-4</v>
      </c>
      <c r="E619" s="3">
        <f t="shared" si="39"/>
        <v>31204.473345092338</v>
      </c>
    </row>
    <row r="620" spans="1:5" x14ac:dyDescent="0.3">
      <c r="A620">
        <f t="shared" si="40"/>
        <v>6.1799999999999127</v>
      </c>
      <c r="B620">
        <f t="shared" si="40"/>
        <v>36.179999999999481</v>
      </c>
      <c r="C620">
        <f t="shared" si="38"/>
        <v>4.0539110993410008E-4</v>
      </c>
      <c r="D620">
        <f t="shared" si="41"/>
        <v>4.0539110993410008E-4</v>
      </c>
      <c r="E620" s="3">
        <f t="shared" si="39"/>
        <v>31241.676392481397</v>
      </c>
    </row>
    <row r="621" spans="1:5" x14ac:dyDescent="0.3">
      <c r="A621">
        <f t="shared" si="40"/>
        <v>6.1899999999999125</v>
      </c>
      <c r="B621">
        <f t="shared" si="40"/>
        <v>36.189999999999479</v>
      </c>
      <c r="C621">
        <f t="shared" si="38"/>
        <v>4.0560794726735255E-4</v>
      </c>
      <c r="D621">
        <f t="shared" si="41"/>
        <v>4.0560794726735255E-4</v>
      </c>
      <c r="E621" s="3">
        <f t="shared" si="39"/>
        <v>31278.894322907141</v>
      </c>
    </row>
    <row r="622" spans="1:5" x14ac:dyDescent="0.3">
      <c r="A622">
        <f t="shared" si="40"/>
        <v>6.1999999999999122</v>
      </c>
      <c r="B622">
        <f t="shared" si="40"/>
        <v>36.199999999999477</v>
      </c>
      <c r="C622">
        <f t="shared" si="38"/>
        <v>4.05825038218101E-4</v>
      </c>
      <c r="D622">
        <f t="shared" si="41"/>
        <v>4.05825038218101E-4</v>
      </c>
      <c r="E622" s="3">
        <f t="shared" si="39"/>
        <v>31316.127142370227</v>
      </c>
    </row>
    <row r="623" spans="1:5" x14ac:dyDescent="0.3">
      <c r="A623">
        <f t="shared" si="40"/>
        <v>6.209999999999912</v>
      </c>
      <c r="B623">
        <f t="shared" si="40"/>
        <v>36.209999999999475</v>
      </c>
      <c r="C623">
        <f t="shared" si="38"/>
        <v>4.0604238308298191E-4</v>
      </c>
      <c r="D623">
        <f t="shared" si="41"/>
        <v>4.0604238308298191E-4</v>
      </c>
      <c r="E623" s="3">
        <f t="shared" si="39"/>
        <v>31353.374856873899</v>
      </c>
    </row>
    <row r="624" spans="1:5" x14ac:dyDescent="0.3">
      <c r="A624">
        <f t="shared" si="40"/>
        <v>6.2199999999999118</v>
      </c>
      <c r="B624">
        <f t="shared" si="40"/>
        <v>36.219999999999473</v>
      </c>
      <c r="C624">
        <f t="shared" si="38"/>
        <v>4.0625998215897856E-4</v>
      </c>
      <c r="D624">
        <f t="shared" si="41"/>
        <v>4.0625998215897856E-4</v>
      </c>
      <c r="E624" s="3">
        <f t="shared" si="39"/>
        <v>31390.637472424009</v>
      </c>
    </row>
    <row r="625" spans="1:5" x14ac:dyDescent="0.3">
      <c r="A625">
        <f t="shared" si="40"/>
        <v>6.2299999999999116</v>
      </c>
      <c r="B625">
        <f t="shared" si="40"/>
        <v>36.229999999999471</v>
      </c>
      <c r="C625">
        <f t="shared" si="38"/>
        <v>4.0647783574342166E-4</v>
      </c>
      <c r="D625">
        <f t="shared" si="41"/>
        <v>4.0647783574342166E-4</v>
      </c>
      <c r="E625" s="3">
        <f t="shared" si="39"/>
        <v>31427.914995029016</v>
      </c>
    </row>
    <row r="626" spans="1:5" x14ac:dyDescent="0.3">
      <c r="A626">
        <f t="shared" si="40"/>
        <v>6.2399999999999114</v>
      </c>
      <c r="B626">
        <f t="shared" si="40"/>
        <v>36.239999999999469</v>
      </c>
      <c r="C626">
        <f t="shared" si="38"/>
        <v>4.0669594413398941E-4</v>
      </c>
      <c r="D626">
        <f t="shared" si="41"/>
        <v>4.0669594413398941E-4</v>
      </c>
      <c r="E626" s="3">
        <f t="shared" si="39"/>
        <v>31465.207430699975</v>
      </c>
    </row>
    <row r="627" spans="1:5" x14ac:dyDescent="0.3">
      <c r="A627">
        <f t="shared" si="40"/>
        <v>6.2499999999999112</v>
      </c>
      <c r="B627">
        <f t="shared" si="40"/>
        <v>36.249999999999467</v>
      </c>
      <c r="C627">
        <f t="shared" si="38"/>
        <v>4.0691430762870845E-4</v>
      </c>
      <c r="D627">
        <f t="shared" si="41"/>
        <v>4.0691430762870845E-4</v>
      </c>
      <c r="E627" s="3">
        <f t="shared" si="39"/>
        <v>31502.514785450556</v>
      </c>
    </row>
    <row r="628" spans="1:5" x14ac:dyDescent="0.3">
      <c r="A628">
        <f t="shared" si="40"/>
        <v>6.259999999999911</v>
      </c>
      <c r="B628">
        <f t="shared" si="40"/>
        <v>36.259999999999465</v>
      </c>
      <c r="C628">
        <f t="shared" si="38"/>
        <v>4.0713292652595409E-4</v>
      </c>
      <c r="D628">
        <f t="shared" si="41"/>
        <v>4.0713292652595409E-4</v>
      </c>
      <c r="E628" s="3">
        <f t="shared" si="39"/>
        <v>31539.83706529703</v>
      </c>
    </row>
    <row r="629" spans="1:5" x14ac:dyDescent="0.3">
      <c r="A629">
        <f t="shared" si="40"/>
        <v>6.2699999999999108</v>
      </c>
      <c r="B629">
        <f t="shared" si="40"/>
        <v>36.269999999999463</v>
      </c>
      <c r="C629">
        <f t="shared" si="38"/>
        <v>4.0735180112445044E-4</v>
      </c>
      <c r="D629">
        <f t="shared" si="41"/>
        <v>4.0735180112445044E-4</v>
      </c>
      <c r="E629" s="3">
        <f t="shared" si="39"/>
        <v>31577.174276258287</v>
      </c>
    </row>
    <row r="630" spans="1:5" x14ac:dyDescent="0.3">
      <c r="A630">
        <f t="shared" si="40"/>
        <v>6.2799999999999105</v>
      </c>
      <c r="B630">
        <f t="shared" si="40"/>
        <v>36.279999999999461</v>
      </c>
      <c r="C630">
        <f t="shared" si="38"/>
        <v>4.0757093172327113E-4</v>
      </c>
      <c r="D630">
        <f t="shared" si="41"/>
        <v>4.0757093172327113E-4</v>
      </c>
      <c r="E630" s="3">
        <f t="shared" si="39"/>
        <v>31614.526424355827</v>
      </c>
    </row>
    <row r="631" spans="1:5" x14ac:dyDescent="0.3">
      <c r="A631">
        <f t="shared" si="40"/>
        <v>6.2899999999999103</v>
      </c>
      <c r="B631">
        <f t="shared" si="40"/>
        <v>36.289999999999459</v>
      </c>
      <c r="C631">
        <f t="shared" si="38"/>
        <v>4.077903186218393E-4</v>
      </c>
      <c r="D631">
        <f t="shared" si="41"/>
        <v>4.077903186218393E-4</v>
      </c>
      <c r="E631" s="3">
        <f t="shared" si="39"/>
        <v>31651.893515613752</v>
      </c>
    </row>
    <row r="632" spans="1:5" x14ac:dyDescent="0.3">
      <c r="A632">
        <f t="shared" si="40"/>
        <v>6.2999999999999101</v>
      </c>
      <c r="B632">
        <f t="shared" si="40"/>
        <v>36.299999999999457</v>
      </c>
      <c r="C632">
        <f t="shared" si="38"/>
        <v>4.0800996211992862E-4</v>
      </c>
      <c r="D632">
        <f t="shared" si="41"/>
        <v>4.0800996211992862E-4</v>
      </c>
      <c r="E632" s="3">
        <f t="shared" si="39"/>
        <v>31689.27555605879</v>
      </c>
    </row>
    <row r="633" spans="1:5" x14ac:dyDescent="0.3">
      <c r="A633">
        <f t="shared" si="40"/>
        <v>6.3099999999999099</v>
      </c>
      <c r="B633">
        <f t="shared" si="40"/>
        <v>36.309999999999455</v>
      </c>
      <c r="C633">
        <f t="shared" si="38"/>
        <v>4.0822986251766327E-4</v>
      </c>
      <c r="D633">
        <f t="shared" si="41"/>
        <v>4.0822986251766327E-4</v>
      </c>
      <c r="E633" s="3">
        <f t="shared" si="39"/>
        <v>31726.672551720287</v>
      </c>
    </row>
    <row r="634" spans="1:5" x14ac:dyDescent="0.3">
      <c r="A634">
        <f t="shared" si="40"/>
        <v>6.3199999999999097</v>
      </c>
      <c r="B634">
        <f t="shared" si="40"/>
        <v>36.319999999999453</v>
      </c>
      <c r="C634">
        <f t="shared" si="38"/>
        <v>4.084500201155185E-4</v>
      </c>
      <c r="D634">
        <f t="shared" si="41"/>
        <v>4.084500201155185E-4</v>
      </c>
      <c r="E634" s="3">
        <f t="shared" si="39"/>
        <v>31764.084508630192</v>
      </c>
    </row>
    <row r="635" spans="1:5" x14ac:dyDescent="0.3">
      <c r="A635">
        <f t="shared" si="40"/>
        <v>6.3299999999999095</v>
      </c>
      <c r="B635">
        <f t="shared" si="40"/>
        <v>36.329999999999451</v>
      </c>
      <c r="C635">
        <f t="shared" si="38"/>
        <v>4.086704352143211E-4</v>
      </c>
      <c r="D635">
        <f t="shared" si="41"/>
        <v>4.086704352143211E-4</v>
      </c>
      <c r="E635" s="3">
        <f t="shared" si="39"/>
        <v>31801.511432823092</v>
      </c>
    </row>
    <row r="636" spans="1:5" x14ac:dyDescent="0.3">
      <c r="A636">
        <f t="shared" si="40"/>
        <v>6.3399999999999093</v>
      </c>
      <c r="B636">
        <f t="shared" si="40"/>
        <v>36.339999999999449</v>
      </c>
      <c r="C636">
        <f t="shared" si="38"/>
        <v>4.0889110811524927E-4</v>
      </c>
      <c r="D636">
        <f t="shared" si="41"/>
        <v>4.0889110811524927E-4</v>
      </c>
      <c r="E636" s="3">
        <f t="shared" si="39"/>
        <v>31838.953330336179</v>
      </c>
    </row>
    <row r="637" spans="1:5" x14ac:dyDescent="0.3">
      <c r="A637">
        <f t="shared" si="40"/>
        <v>6.3499999999999091</v>
      </c>
      <c r="B637">
        <f t="shared" si="40"/>
        <v>36.349999999999447</v>
      </c>
      <c r="C637">
        <f t="shared" si="38"/>
        <v>4.09112039119834E-4</v>
      </c>
      <c r="D637">
        <f t="shared" si="41"/>
        <v>4.09112039119834E-4</v>
      </c>
      <c r="E637" s="3">
        <f t="shared" si="39"/>
        <v>31876.410207209276</v>
      </c>
    </row>
    <row r="638" spans="1:5" x14ac:dyDescent="0.3">
      <c r="A638">
        <f t="shared" si="40"/>
        <v>6.3599999999999088</v>
      </c>
      <c r="B638">
        <f t="shared" si="40"/>
        <v>36.359999999999445</v>
      </c>
      <c r="C638">
        <f t="shared" si="38"/>
        <v>4.0933322852995863E-4</v>
      </c>
      <c r="D638">
        <f t="shared" si="41"/>
        <v>4.0933322852995863E-4</v>
      </c>
      <c r="E638" s="3">
        <f t="shared" si="39"/>
        <v>31913.882069484833</v>
      </c>
    </row>
    <row r="639" spans="1:5" x14ac:dyDescent="0.3">
      <c r="A639">
        <f t="shared" si="40"/>
        <v>6.3699999999999086</v>
      </c>
      <c r="B639">
        <f t="shared" si="40"/>
        <v>36.369999999999443</v>
      </c>
      <c r="C639">
        <f t="shared" si="38"/>
        <v>4.0955467664785978E-4</v>
      </c>
      <c r="D639">
        <f t="shared" si="41"/>
        <v>4.0955467664785978E-4</v>
      </c>
      <c r="E639" s="3">
        <f t="shared" si="39"/>
        <v>31951.36892320792</v>
      </c>
    </row>
    <row r="640" spans="1:5" x14ac:dyDescent="0.3">
      <c r="A640">
        <f t="shared" si="40"/>
        <v>6.3799999999999084</v>
      </c>
      <c r="B640">
        <f t="shared" si="40"/>
        <v>36.379999999999441</v>
      </c>
      <c r="C640">
        <f t="shared" si="38"/>
        <v>4.0977638377612767E-4</v>
      </c>
      <c r="D640">
        <f t="shared" si="41"/>
        <v>4.0977638377612767E-4</v>
      </c>
      <c r="E640" s="3">
        <f t="shared" si="39"/>
        <v>31988.870774426228</v>
      </c>
    </row>
    <row r="641" spans="1:5" x14ac:dyDescent="0.3">
      <c r="A641">
        <f t="shared" si="40"/>
        <v>6.3899999999999082</v>
      </c>
      <c r="B641">
        <f t="shared" si="40"/>
        <v>36.389999999999439</v>
      </c>
      <c r="C641">
        <f t="shared" si="38"/>
        <v>4.0999835021770587E-4</v>
      </c>
      <c r="D641">
        <f t="shared" si="41"/>
        <v>4.0999835021770587E-4</v>
      </c>
      <c r="E641" s="3">
        <f t="shared" si="39"/>
        <v>32026.387629190096</v>
      </c>
    </row>
    <row r="642" spans="1:5" x14ac:dyDescent="0.3">
      <c r="A642">
        <f t="shared" si="40"/>
        <v>6.399999999999908</v>
      </c>
      <c r="B642">
        <f t="shared" si="40"/>
        <v>36.399999999999437</v>
      </c>
      <c r="C642">
        <f t="shared" si="38"/>
        <v>4.1022057627589288E-4</v>
      </c>
      <c r="D642">
        <f t="shared" si="41"/>
        <v>4.1022057627589288E-4</v>
      </c>
      <c r="E642" s="3">
        <f t="shared" si="39"/>
        <v>32063.919493552472</v>
      </c>
    </row>
    <row r="643" spans="1:5" x14ac:dyDescent="0.3">
      <c r="A643">
        <f t="shared" si="40"/>
        <v>6.4099999999999078</v>
      </c>
      <c r="B643">
        <f t="shared" si="40"/>
        <v>36.409999999999435</v>
      </c>
      <c r="C643">
        <f t="shared" ref="C643:C706" si="42">$N$2 + $N$3*$N$4^(B643)</f>
        <v>4.1044306225434174E-4</v>
      </c>
      <c r="D643">
        <f t="shared" si="41"/>
        <v>4.1044306225434174E-4</v>
      </c>
      <c r="E643" s="3">
        <f t="shared" ref="E643:E706" si="43">IF(ROUND(A643, 2)=$N$10,$N$6,(E644-$N$5*($N$7-$N$8-($N$6+$N$9)*D643))/(1+$N$5*$N$11+$N$5*D643))</f>
        <v>32101.466373568943</v>
      </c>
    </row>
    <row r="644" spans="1:5" x14ac:dyDescent="0.3">
      <c r="A644">
        <f t="shared" ref="A644:B707" si="44">A643+$N$5</f>
        <v>6.4199999999999076</v>
      </c>
      <c r="B644">
        <f t="shared" si="44"/>
        <v>36.419999999999433</v>
      </c>
      <c r="C644">
        <f t="shared" si="42"/>
        <v>4.1066580845706068E-4</v>
      </c>
      <c r="D644">
        <f t="shared" si="41"/>
        <v>4.1066580845706068E-4</v>
      </c>
      <c r="E644" s="3">
        <f t="shared" si="43"/>
        <v>32139.028275297725</v>
      </c>
    </row>
    <row r="645" spans="1:5" x14ac:dyDescent="0.3">
      <c r="A645">
        <f t="shared" si="44"/>
        <v>6.4299999999999073</v>
      </c>
      <c r="B645">
        <f t="shared" si="44"/>
        <v>36.429999999999431</v>
      </c>
      <c r="C645">
        <f t="shared" si="42"/>
        <v>4.108888151884135E-4</v>
      </c>
      <c r="D645">
        <f t="shared" si="41"/>
        <v>4.108888151884135E-4</v>
      </c>
      <c r="E645" s="3">
        <f t="shared" si="43"/>
        <v>32176.605204799682</v>
      </c>
    </row>
    <row r="646" spans="1:5" x14ac:dyDescent="0.3">
      <c r="A646">
        <f t="shared" si="44"/>
        <v>6.4399999999999071</v>
      </c>
      <c r="B646">
        <f t="shared" si="44"/>
        <v>36.439999999999429</v>
      </c>
      <c r="C646">
        <f t="shared" si="42"/>
        <v>4.1111208275311972E-4</v>
      </c>
      <c r="D646">
        <f t="shared" si="41"/>
        <v>4.1111208275311972E-4</v>
      </c>
      <c r="E646" s="3">
        <f t="shared" si="43"/>
        <v>32214.197168138307</v>
      </c>
    </row>
    <row r="647" spans="1:5" x14ac:dyDescent="0.3">
      <c r="A647">
        <f t="shared" si="44"/>
        <v>6.4499999999999069</v>
      </c>
      <c r="B647">
        <f t="shared" si="44"/>
        <v>36.449999999999427</v>
      </c>
      <c r="C647">
        <f t="shared" si="42"/>
        <v>4.1133561145625572E-4</v>
      </c>
      <c r="D647">
        <f t="shared" si="41"/>
        <v>4.1133561145625572E-4</v>
      </c>
      <c r="E647" s="3">
        <f t="shared" si="43"/>
        <v>32251.804171379728</v>
      </c>
    </row>
    <row r="648" spans="1:5" x14ac:dyDescent="0.3">
      <c r="A648">
        <f t="shared" si="44"/>
        <v>6.4599999999999067</v>
      </c>
      <c r="B648">
        <f t="shared" si="44"/>
        <v>36.459999999999425</v>
      </c>
      <c r="C648">
        <f t="shared" si="42"/>
        <v>4.1155940160325438E-4</v>
      </c>
      <c r="D648">
        <f t="shared" si="41"/>
        <v>4.1155940160325438E-4</v>
      </c>
      <c r="E648" s="3">
        <f t="shared" si="43"/>
        <v>32289.426220592715</v>
      </c>
    </row>
    <row r="649" spans="1:5" x14ac:dyDescent="0.3">
      <c r="A649">
        <f t="shared" si="44"/>
        <v>6.4699999999999065</v>
      </c>
      <c r="B649">
        <f t="shared" si="44"/>
        <v>36.469999999999423</v>
      </c>
      <c r="C649">
        <f t="shared" si="42"/>
        <v>4.1178345349990601E-4</v>
      </c>
      <c r="D649">
        <f t="shared" si="41"/>
        <v>4.1178345349990601E-4</v>
      </c>
      <c r="E649" s="3">
        <f t="shared" si="43"/>
        <v>32327.06332184868</v>
      </c>
    </row>
    <row r="650" spans="1:5" x14ac:dyDescent="0.3">
      <c r="A650">
        <f t="shared" si="44"/>
        <v>6.4799999999999063</v>
      </c>
      <c r="B650">
        <f t="shared" si="44"/>
        <v>36.479999999999421</v>
      </c>
      <c r="C650">
        <f t="shared" si="42"/>
        <v>4.1200776745235865E-4</v>
      </c>
      <c r="D650">
        <f t="shared" si="41"/>
        <v>4.1200776745235865E-4</v>
      </c>
      <c r="E650" s="3">
        <f t="shared" si="43"/>
        <v>32364.71548122168</v>
      </c>
    </row>
    <row r="651" spans="1:5" x14ac:dyDescent="0.3">
      <c r="A651">
        <f t="shared" si="44"/>
        <v>6.4899999999999061</v>
      </c>
      <c r="B651">
        <f t="shared" si="44"/>
        <v>36.489999999999419</v>
      </c>
      <c r="C651">
        <f t="shared" si="42"/>
        <v>4.1223234376711786E-4</v>
      </c>
      <c r="D651">
        <f t="shared" si="41"/>
        <v>4.1223234376711786E-4</v>
      </c>
      <c r="E651" s="3">
        <f t="shared" si="43"/>
        <v>32402.382704788412</v>
      </c>
    </row>
    <row r="652" spans="1:5" x14ac:dyDescent="0.3">
      <c r="A652">
        <f t="shared" si="44"/>
        <v>6.4999999999999059</v>
      </c>
      <c r="B652">
        <f t="shared" si="44"/>
        <v>36.499999999999417</v>
      </c>
      <c r="C652">
        <f t="shared" si="42"/>
        <v>4.1245718275104832E-4</v>
      </c>
      <c r="D652">
        <f t="shared" si="41"/>
        <v>4.1245718275104832E-4</v>
      </c>
      <c r="E652" s="3">
        <f t="shared" si="43"/>
        <v>32440.064998628222</v>
      </c>
    </row>
    <row r="653" spans="1:5" x14ac:dyDescent="0.3">
      <c r="A653">
        <f t="shared" si="44"/>
        <v>6.5099999999999056</v>
      </c>
      <c r="B653">
        <f t="shared" si="44"/>
        <v>36.509999999999415</v>
      </c>
      <c r="C653">
        <f t="shared" si="42"/>
        <v>4.1268228471137345E-4</v>
      </c>
      <c r="D653">
        <f t="shared" si="41"/>
        <v>4.1268228471137345E-4</v>
      </c>
      <c r="E653" s="3">
        <f t="shared" si="43"/>
        <v>32477.762368823092</v>
      </c>
    </row>
    <row r="654" spans="1:5" x14ac:dyDescent="0.3">
      <c r="A654">
        <f t="shared" si="44"/>
        <v>6.5199999999999054</v>
      </c>
      <c r="B654">
        <f t="shared" si="44"/>
        <v>36.519999999999413</v>
      </c>
      <c r="C654">
        <f t="shared" si="42"/>
        <v>4.1290764995567599E-4</v>
      </c>
      <c r="D654">
        <f t="shared" si="41"/>
        <v>4.1290764995567599E-4</v>
      </c>
      <c r="E654" s="3">
        <f t="shared" si="43"/>
        <v>32515.474821457672</v>
      </c>
    </row>
    <row r="655" spans="1:5" x14ac:dyDescent="0.3">
      <c r="A655">
        <f t="shared" si="44"/>
        <v>6.5299999999999052</v>
      </c>
      <c r="B655">
        <f t="shared" si="44"/>
        <v>36.529999999999411</v>
      </c>
      <c r="C655">
        <f t="shared" si="42"/>
        <v>4.1313327879189841E-4</v>
      </c>
      <c r="D655">
        <f t="shared" si="41"/>
        <v>4.1313327879189841E-4</v>
      </c>
      <c r="E655" s="3">
        <f t="shared" si="43"/>
        <v>32553.202362619257</v>
      </c>
    </row>
    <row r="656" spans="1:5" x14ac:dyDescent="0.3">
      <c r="A656">
        <f t="shared" si="44"/>
        <v>6.539999999999905</v>
      </c>
      <c r="B656">
        <f t="shared" si="44"/>
        <v>36.539999999999409</v>
      </c>
      <c r="C656">
        <f t="shared" si="42"/>
        <v>4.1335917152834309E-4</v>
      </c>
      <c r="D656">
        <f t="shared" si="41"/>
        <v>4.1335917152834309E-4</v>
      </c>
      <c r="E656" s="3">
        <f t="shared" si="43"/>
        <v>32590.944998397783</v>
      </c>
    </row>
    <row r="657" spans="1:5" x14ac:dyDescent="0.3">
      <c r="A657">
        <f t="shared" si="44"/>
        <v>6.5499999999999048</v>
      </c>
      <c r="B657">
        <f t="shared" si="44"/>
        <v>36.549999999999407</v>
      </c>
      <c r="C657">
        <f t="shared" si="42"/>
        <v>4.135853284736735E-4</v>
      </c>
      <c r="D657">
        <f t="shared" si="41"/>
        <v>4.135853284736735E-4</v>
      </c>
      <c r="E657" s="3">
        <f t="shared" si="43"/>
        <v>32628.702734885854</v>
      </c>
    </row>
    <row r="658" spans="1:5" x14ac:dyDescent="0.3">
      <c r="A658">
        <f t="shared" si="44"/>
        <v>6.5599999999999046</v>
      </c>
      <c r="B658">
        <f t="shared" si="44"/>
        <v>36.559999999999405</v>
      </c>
      <c r="C658">
        <f t="shared" si="42"/>
        <v>4.1381174993691382E-4</v>
      </c>
      <c r="D658">
        <f t="shared" si="41"/>
        <v>4.1381174993691382E-4</v>
      </c>
      <c r="E658" s="3">
        <f t="shared" si="43"/>
        <v>32666.475578178713</v>
      </c>
    </row>
    <row r="659" spans="1:5" x14ac:dyDescent="0.3">
      <c r="A659">
        <f t="shared" si="44"/>
        <v>6.5699999999999044</v>
      </c>
      <c r="B659">
        <f t="shared" si="44"/>
        <v>36.569999999999403</v>
      </c>
      <c r="C659">
        <f t="shared" si="42"/>
        <v>4.1403843622744982E-4</v>
      </c>
      <c r="D659">
        <f t="shared" si="41"/>
        <v>4.1403843622744982E-4</v>
      </c>
      <c r="E659" s="3">
        <f t="shared" si="43"/>
        <v>32704.26353437428</v>
      </c>
    </row>
    <row r="660" spans="1:5" x14ac:dyDescent="0.3">
      <c r="A660">
        <f t="shared" si="44"/>
        <v>6.5799999999999041</v>
      </c>
      <c r="B660">
        <f t="shared" si="44"/>
        <v>36.579999999999401</v>
      </c>
      <c r="C660">
        <f t="shared" si="42"/>
        <v>4.142653876550292E-4</v>
      </c>
      <c r="D660">
        <f t="shared" si="41"/>
        <v>4.142653876550292E-4</v>
      </c>
      <c r="E660" s="3">
        <f t="shared" si="43"/>
        <v>32742.066609573118</v>
      </c>
    </row>
    <row r="661" spans="1:5" x14ac:dyDescent="0.3">
      <c r="A661">
        <f t="shared" si="44"/>
        <v>6.5899999999999039</v>
      </c>
      <c r="B661">
        <f t="shared" si="44"/>
        <v>36.589999999999399</v>
      </c>
      <c r="C661">
        <f t="shared" si="42"/>
        <v>4.1449260452976146E-4</v>
      </c>
      <c r="D661">
        <f t="shared" si="41"/>
        <v>4.1449260452976146E-4</v>
      </c>
      <c r="E661" s="3">
        <f t="shared" si="43"/>
        <v>32779.884809878458</v>
      </c>
    </row>
    <row r="662" spans="1:5" x14ac:dyDescent="0.3">
      <c r="A662">
        <f t="shared" si="44"/>
        <v>6.5999999999999037</v>
      </c>
      <c r="B662">
        <f t="shared" si="44"/>
        <v>36.599999999999397</v>
      </c>
      <c r="C662">
        <f t="shared" si="42"/>
        <v>4.1472008716211936E-4</v>
      </c>
      <c r="D662">
        <f t="shared" si="41"/>
        <v>4.1472008716211936E-4</v>
      </c>
      <c r="E662" s="3">
        <f t="shared" si="43"/>
        <v>32817.718141396188</v>
      </c>
    </row>
    <row r="663" spans="1:5" x14ac:dyDescent="0.3">
      <c r="A663">
        <f t="shared" si="44"/>
        <v>6.6099999999999035</v>
      </c>
      <c r="B663">
        <f t="shared" si="44"/>
        <v>36.609999999999395</v>
      </c>
      <c r="C663">
        <f t="shared" si="42"/>
        <v>4.1494783586293847E-4</v>
      </c>
      <c r="D663">
        <f t="shared" ref="D663:D726" si="45">IF(A663&lt;=2, (0.9)^(2-A663)*C663, C663)</f>
        <v>4.1494783586293847E-4</v>
      </c>
      <c r="E663" s="3">
        <f t="shared" si="43"/>
        <v>32855.566610234862</v>
      </c>
    </row>
    <row r="664" spans="1:5" x14ac:dyDescent="0.3">
      <c r="A664">
        <f t="shared" si="44"/>
        <v>6.6199999999999033</v>
      </c>
      <c r="B664">
        <f t="shared" si="44"/>
        <v>36.619999999999393</v>
      </c>
      <c r="C664">
        <f t="shared" si="42"/>
        <v>4.1517585094341826E-4</v>
      </c>
      <c r="D664">
        <f t="shared" si="45"/>
        <v>4.1517585094341826E-4</v>
      </c>
      <c r="E664" s="3">
        <f t="shared" si="43"/>
        <v>32893.430222505704</v>
      </c>
    </row>
    <row r="665" spans="1:5" x14ac:dyDescent="0.3">
      <c r="A665">
        <f t="shared" si="44"/>
        <v>6.6299999999999031</v>
      </c>
      <c r="B665">
        <f t="shared" si="44"/>
        <v>36.629999999999391</v>
      </c>
      <c r="C665">
        <f t="shared" si="42"/>
        <v>4.1540413271512206E-4</v>
      </c>
      <c r="D665">
        <f t="shared" si="45"/>
        <v>4.1540413271512206E-4</v>
      </c>
      <c r="E665" s="3">
        <f t="shared" si="43"/>
        <v>32931.30898432259</v>
      </c>
    </row>
    <row r="666" spans="1:5" x14ac:dyDescent="0.3">
      <c r="A666">
        <f t="shared" si="44"/>
        <v>6.6399999999999029</v>
      </c>
      <c r="B666">
        <f t="shared" si="44"/>
        <v>36.63999999999939</v>
      </c>
      <c r="C666">
        <f t="shared" si="42"/>
        <v>4.1563268148997706E-4</v>
      </c>
      <c r="D666">
        <f t="shared" si="45"/>
        <v>4.1563268148997706E-4</v>
      </c>
      <c r="E666" s="3">
        <f t="shared" si="43"/>
        <v>32969.202901802084</v>
      </c>
    </row>
    <row r="667" spans="1:5" x14ac:dyDescent="0.3">
      <c r="A667">
        <f t="shared" si="44"/>
        <v>6.6499999999999027</v>
      </c>
      <c r="B667">
        <f t="shared" si="44"/>
        <v>36.649999999999388</v>
      </c>
      <c r="C667">
        <f t="shared" si="42"/>
        <v>4.1586149758027604E-4</v>
      </c>
      <c r="D667">
        <f t="shared" si="45"/>
        <v>4.1586149758027604E-4</v>
      </c>
      <c r="E667" s="3">
        <f t="shared" si="43"/>
        <v>33007.111981063397</v>
      </c>
    </row>
    <row r="668" spans="1:5" x14ac:dyDescent="0.3">
      <c r="A668">
        <f t="shared" si="44"/>
        <v>6.6599999999999024</v>
      </c>
      <c r="B668">
        <f t="shared" si="44"/>
        <v>36.659999999999386</v>
      </c>
      <c r="C668">
        <f t="shared" si="42"/>
        <v>4.1609058129867676E-4</v>
      </c>
      <c r="D668">
        <f t="shared" si="45"/>
        <v>4.1609058129867676E-4</v>
      </c>
      <c r="E668" s="3">
        <f t="shared" si="43"/>
        <v>33045.036228228426</v>
      </c>
    </row>
    <row r="669" spans="1:5" x14ac:dyDescent="0.3">
      <c r="A669">
        <f t="shared" si="44"/>
        <v>6.6699999999999022</v>
      </c>
      <c r="B669">
        <f t="shared" si="44"/>
        <v>36.669999999999384</v>
      </c>
      <c r="C669">
        <f t="shared" si="42"/>
        <v>4.1631993295820262E-4</v>
      </c>
      <c r="D669">
        <f t="shared" si="45"/>
        <v>4.1631993295820262E-4</v>
      </c>
      <c r="E669" s="3">
        <f t="shared" si="43"/>
        <v>33082.975649421751</v>
      </c>
    </row>
    <row r="670" spans="1:5" x14ac:dyDescent="0.3">
      <c r="A670">
        <f t="shared" si="44"/>
        <v>6.679999999999902</v>
      </c>
      <c r="B670">
        <f t="shared" si="44"/>
        <v>36.679999999999382</v>
      </c>
      <c r="C670">
        <f t="shared" si="42"/>
        <v>4.1654955287224332E-4</v>
      </c>
      <c r="D670">
        <f t="shared" si="45"/>
        <v>4.1654955287224332E-4</v>
      </c>
      <c r="E670" s="3">
        <f t="shared" si="43"/>
        <v>33120.930250770602</v>
      </c>
    </row>
    <row r="671" spans="1:5" x14ac:dyDescent="0.3">
      <c r="A671">
        <f t="shared" si="44"/>
        <v>6.6899999999999018</v>
      </c>
      <c r="B671">
        <f t="shared" si="44"/>
        <v>36.68999999999938</v>
      </c>
      <c r="C671">
        <f t="shared" si="42"/>
        <v>4.1677944135455478E-4</v>
      </c>
      <c r="D671">
        <f t="shared" si="45"/>
        <v>4.1677944135455478E-4</v>
      </c>
      <c r="E671" s="3">
        <f t="shared" si="43"/>
        <v>33158.9000384049</v>
      </c>
    </row>
    <row r="672" spans="1:5" x14ac:dyDescent="0.3">
      <c r="A672">
        <f t="shared" si="44"/>
        <v>6.6999999999999016</v>
      </c>
      <c r="B672">
        <f t="shared" si="44"/>
        <v>36.699999999999378</v>
      </c>
      <c r="C672">
        <f t="shared" si="42"/>
        <v>4.1700959871926007E-4</v>
      </c>
      <c r="D672">
        <f t="shared" si="45"/>
        <v>4.1700959871926007E-4</v>
      </c>
      <c r="E672" s="3">
        <f t="shared" si="43"/>
        <v>33196.885018457251</v>
      </c>
    </row>
    <row r="673" spans="1:5" x14ac:dyDescent="0.3">
      <c r="A673">
        <f t="shared" si="44"/>
        <v>6.7099999999999014</v>
      </c>
      <c r="B673">
        <f t="shared" si="44"/>
        <v>36.709999999999376</v>
      </c>
      <c r="C673">
        <f t="shared" si="42"/>
        <v>4.1724002528084982E-4</v>
      </c>
      <c r="D673">
        <f t="shared" si="45"/>
        <v>4.1724002528084982E-4</v>
      </c>
      <c r="E673" s="3">
        <f t="shared" si="43"/>
        <v>33234.885197062911</v>
      </c>
    </row>
    <row r="674" spans="1:5" x14ac:dyDescent="0.3">
      <c r="A674">
        <f t="shared" si="44"/>
        <v>6.7199999999999012</v>
      </c>
      <c r="B674">
        <f t="shared" si="44"/>
        <v>36.719999999999374</v>
      </c>
      <c r="C674">
        <f t="shared" si="42"/>
        <v>4.1747072135418231E-4</v>
      </c>
      <c r="D674">
        <f t="shared" si="45"/>
        <v>4.1747072135418231E-4</v>
      </c>
      <c r="E674" s="3">
        <f t="shared" si="43"/>
        <v>33272.900580359856</v>
      </c>
    </row>
    <row r="675" spans="1:5" x14ac:dyDescent="0.3">
      <c r="A675">
        <f t="shared" si="44"/>
        <v>6.729999999999901</v>
      </c>
      <c r="B675">
        <f t="shared" si="44"/>
        <v>36.729999999999372</v>
      </c>
      <c r="C675">
        <f t="shared" si="42"/>
        <v>4.1770168725448426E-4</v>
      </c>
      <c r="D675">
        <f t="shared" si="45"/>
        <v>4.1770168725448426E-4</v>
      </c>
      <c r="E675" s="3">
        <f t="shared" si="43"/>
        <v>33310.931174488709</v>
      </c>
    </row>
    <row r="676" spans="1:5" x14ac:dyDescent="0.3">
      <c r="A676">
        <f t="shared" si="44"/>
        <v>6.7399999999999007</v>
      </c>
      <c r="B676">
        <f t="shared" si="44"/>
        <v>36.73999999999937</v>
      </c>
      <c r="C676">
        <f t="shared" si="42"/>
        <v>4.1793292329735067E-4</v>
      </c>
      <c r="D676">
        <f t="shared" si="45"/>
        <v>4.1793292329735067E-4</v>
      </c>
      <c r="E676" s="3">
        <f t="shared" si="43"/>
        <v>33348.976985592803</v>
      </c>
    </row>
    <row r="677" spans="1:5" x14ac:dyDescent="0.3">
      <c r="A677">
        <f t="shared" si="44"/>
        <v>6.7499999999999005</v>
      </c>
      <c r="B677">
        <f t="shared" si="44"/>
        <v>36.749999999999368</v>
      </c>
      <c r="C677">
        <f t="shared" si="42"/>
        <v>4.1816442979874608E-4</v>
      </c>
      <c r="D677">
        <f t="shared" si="45"/>
        <v>4.1816442979874608E-4</v>
      </c>
      <c r="E677" s="3">
        <f t="shared" si="43"/>
        <v>33387.038019818145</v>
      </c>
    </row>
    <row r="678" spans="1:5" x14ac:dyDescent="0.3">
      <c r="A678">
        <f t="shared" si="44"/>
        <v>6.7599999999999003</v>
      </c>
      <c r="B678">
        <f t="shared" si="44"/>
        <v>36.759999999999366</v>
      </c>
      <c r="C678">
        <f t="shared" si="42"/>
        <v>4.1839620707500452E-4</v>
      </c>
      <c r="D678">
        <f t="shared" si="45"/>
        <v>4.1839620707500452E-4</v>
      </c>
      <c r="E678" s="3">
        <f t="shared" si="43"/>
        <v>33425.114283313429</v>
      </c>
    </row>
    <row r="679" spans="1:5" x14ac:dyDescent="0.3">
      <c r="A679">
        <f t="shared" si="44"/>
        <v>6.7699999999999001</v>
      </c>
      <c r="B679">
        <f t="shared" si="44"/>
        <v>36.769999999999364</v>
      </c>
      <c r="C679">
        <f t="shared" si="42"/>
        <v>4.1862825544282996E-4</v>
      </c>
      <c r="D679">
        <f t="shared" si="45"/>
        <v>4.1862825544282996E-4</v>
      </c>
      <c r="E679" s="3">
        <f t="shared" si="43"/>
        <v>33463.205782230048</v>
      </c>
    </row>
    <row r="680" spans="1:5" x14ac:dyDescent="0.3">
      <c r="A680">
        <f t="shared" si="44"/>
        <v>6.7799999999998999</v>
      </c>
      <c r="B680">
        <f t="shared" si="44"/>
        <v>36.779999999999362</v>
      </c>
      <c r="C680">
        <f t="shared" si="42"/>
        <v>4.1886057521929685E-4</v>
      </c>
      <c r="D680">
        <f t="shared" si="45"/>
        <v>4.1886057521929685E-4</v>
      </c>
      <c r="E680" s="3">
        <f t="shared" si="43"/>
        <v>33501.312522722073</v>
      </c>
    </row>
    <row r="681" spans="1:5" x14ac:dyDescent="0.3">
      <c r="A681">
        <f t="shared" si="44"/>
        <v>6.7899999999998997</v>
      </c>
      <c r="B681">
        <f t="shared" si="44"/>
        <v>36.78999999999936</v>
      </c>
      <c r="C681">
        <f t="shared" si="42"/>
        <v>4.1909316672185013E-4</v>
      </c>
      <c r="D681">
        <f t="shared" si="45"/>
        <v>4.1909316672185013E-4</v>
      </c>
      <c r="E681" s="3">
        <f t="shared" si="43"/>
        <v>33539.434510946281</v>
      </c>
    </row>
    <row r="682" spans="1:5" x14ac:dyDescent="0.3">
      <c r="A682">
        <f t="shared" si="44"/>
        <v>6.7999999999998995</v>
      </c>
      <c r="B682">
        <f t="shared" si="44"/>
        <v>36.799999999999358</v>
      </c>
      <c r="C682">
        <f t="shared" si="42"/>
        <v>4.1932603026830655E-4</v>
      </c>
      <c r="D682">
        <f t="shared" si="45"/>
        <v>4.1932603026830655E-4</v>
      </c>
      <c r="E682" s="3">
        <f t="shared" si="43"/>
        <v>33577.571753062126</v>
      </c>
    </row>
    <row r="683" spans="1:5" x14ac:dyDescent="0.3">
      <c r="A683">
        <f t="shared" si="44"/>
        <v>6.8099999999998992</v>
      </c>
      <c r="B683">
        <f t="shared" si="44"/>
        <v>36.809999999999356</v>
      </c>
      <c r="C683">
        <f t="shared" si="42"/>
        <v>4.1955916617685441E-4</v>
      </c>
      <c r="D683">
        <f t="shared" si="45"/>
        <v>4.1955916617685441E-4</v>
      </c>
      <c r="E683" s="3">
        <f t="shared" si="43"/>
        <v>33615.724255231777</v>
      </c>
    </row>
    <row r="684" spans="1:5" x14ac:dyDescent="0.3">
      <c r="A684">
        <f t="shared" si="44"/>
        <v>6.819999999999899</v>
      </c>
      <c r="B684">
        <f t="shared" si="44"/>
        <v>36.819999999999354</v>
      </c>
      <c r="C684">
        <f t="shared" si="42"/>
        <v>4.1979257476605403E-4</v>
      </c>
      <c r="D684">
        <f t="shared" si="45"/>
        <v>4.1979257476605403E-4</v>
      </c>
      <c r="E684" s="3">
        <f t="shared" si="43"/>
        <v>33653.892023620087</v>
      </c>
    </row>
    <row r="685" spans="1:5" x14ac:dyDescent="0.3">
      <c r="A685">
        <f t="shared" si="44"/>
        <v>6.8299999999998988</v>
      </c>
      <c r="B685">
        <f t="shared" si="44"/>
        <v>36.829999999999352</v>
      </c>
      <c r="C685">
        <f t="shared" si="42"/>
        <v>4.2002625635483861E-4</v>
      </c>
      <c r="D685">
        <f t="shared" si="45"/>
        <v>4.2002625635483861E-4</v>
      </c>
      <c r="E685" s="3">
        <f t="shared" si="43"/>
        <v>33692.075064394601</v>
      </c>
    </row>
    <row r="686" spans="1:5" x14ac:dyDescent="0.3">
      <c r="A686">
        <f t="shared" si="44"/>
        <v>6.8399999999998986</v>
      </c>
      <c r="B686">
        <f t="shared" si="44"/>
        <v>36.83999999999935</v>
      </c>
      <c r="C686">
        <f t="shared" si="42"/>
        <v>4.2026021126251393E-4</v>
      </c>
      <c r="D686">
        <f t="shared" si="45"/>
        <v>4.2026021126251393E-4</v>
      </c>
      <c r="E686" s="3">
        <f t="shared" si="43"/>
        <v>33730.273383725587</v>
      </c>
    </row>
    <row r="687" spans="1:5" x14ac:dyDescent="0.3">
      <c r="A687">
        <f t="shared" si="44"/>
        <v>6.8499999999998984</v>
      </c>
      <c r="B687">
        <f t="shared" si="44"/>
        <v>36.849999999999348</v>
      </c>
      <c r="C687">
        <f t="shared" si="42"/>
        <v>4.204944398087596E-4</v>
      </c>
      <c r="D687">
        <f t="shared" si="45"/>
        <v>4.204944398087596E-4</v>
      </c>
      <c r="E687" s="3">
        <f t="shared" si="43"/>
        <v>33768.486987785989</v>
      </c>
    </row>
    <row r="688" spans="1:5" x14ac:dyDescent="0.3">
      <c r="A688">
        <f t="shared" si="44"/>
        <v>6.8599999999998982</v>
      </c>
      <c r="B688">
        <f t="shared" si="44"/>
        <v>36.859999999999346</v>
      </c>
      <c r="C688">
        <f t="shared" si="42"/>
        <v>4.2072894231362908E-4</v>
      </c>
      <c r="D688">
        <f t="shared" si="45"/>
        <v>4.2072894231362908E-4</v>
      </c>
      <c r="E688" s="3">
        <f t="shared" si="43"/>
        <v>33806.71588275148</v>
      </c>
    </row>
    <row r="689" spans="1:5" x14ac:dyDescent="0.3">
      <c r="A689">
        <f t="shared" si="44"/>
        <v>6.869999999999898</v>
      </c>
      <c r="B689">
        <f t="shared" si="44"/>
        <v>36.869999999999344</v>
      </c>
      <c r="C689">
        <f t="shared" si="42"/>
        <v>4.2096371909755006E-4</v>
      </c>
      <c r="D689">
        <f t="shared" si="45"/>
        <v>4.2096371909755006E-4</v>
      </c>
      <c r="E689" s="3">
        <f t="shared" si="43"/>
        <v>33844.96007480043</v>
      </c>
    </row>
    <row r="690" spans="1:5" x14ac:dyDescent="0.3">
      <c r="A690">
        <f t="shared" si="44"/>
        <v>6.8799999999998978</v>
      </c>
      <c r="B690">
        <f t="shared" si="44"/>
        <v>36.879999999999342</v>
      </c>
      <c r="C690">
        <f t="shared" si="42"/>
        <v>4.2119877048132535E-4</v>
      </c>
      <c r="D690">
        <f t="shared" si="45"/>
        <v>4.2119877048132535E-4</v>
      </c>
      <c r="E690" s="3">
        <f t="shared" si="43"/>
        <v>33883.219570113914</v>
      </c>
    </row>
    <row r="691" spans="1:5" x14ac:dyDescent="0.3">
      <c r="A691">
        <f t="shared" si="44"/>
        <v>6.8899999999998975</v>
      </c>
      <c r="B691">
        <f t="shared" si="44"/>
        <v>36.88999999999934</v>
      </c>
      <c r="C691">
        <f t="shared" si="42"/>
        <v>4.2143409678613221E-4</v>
      </c>
      <c r="D691">
        <f t="shared" si="45"/>
        <v>4.2143409678613221E-4</v>
      </c>
      <c r="E691" s="3">
        <f t="shared" si="43"/>
        <v>33921.494374875707</v>
      </c>
    </row>
    <row r="692" spans="1:5" x14ac:dyDescent="0.3">
      <c r="A692">
        <f t="shared" si="44"/>
        <v>6.8999999999998973</v>
      </c>
      <c r="B692">
        <f t="shared" si="44"/>
        <v>36.899999999999338</v>
      </c>
      <c r="C692">
        <f t="shared" si="42"/>
        <v>4.2166969833352431E-4</v>
      </c>
      <c r="D692">
        <f t="shared" si="45"/>
        <v>4.2166969833352431E-4</v>
      </c>
      <c r="E692" s="3">
        <f t="shared" si="43"/>
        <v>33959.784495272295</v>
      </c>
    </row>
    <row r="693" spans="1:5" x14ac:dyDescent="0.3">
      <c r="A693">
        <f t="shared" si="44"/>
        <v>6.9099999999998971</v>
      </c>
      <c r="B693">
        <f t="shared" si="44"/>
        <v>36.909999999999336</v>
      </c>
      <c r="C693">
        <f t="shared" si="42"/>
        <v>4.2190557544543125E-4</v>
      </c>
      <c r="D693">
        <f t="shared" si="45"/>
        <v>4.2190557544543125E-4</v>
      </c>
      <c r="E693" s="3">
        <f t="shared" si="43"/>
        <v>33998.089937492907</v>
      </c>
    </row>
    <row r="694" spans="1:5" x14ac:dyDescent="0.3">
      <c r="A694">
        <f t="shared" si="44"/>
        <v>6.9199999999998969</v>
      </c>
      <c r="B694">
        <f t="shared" si="44"/>
        <v>36.919999999999334</v>
      </c>
      <c r="C694">
        <f t="shared" si="42"/>
        <v>4.221417284441589E-4</v>
      </c>
      <c r="D694">
        <f t="shared" si="45"/>
        <v>4.221417284441589E-4</v>
      </c>
      <c r="E694" s="3">
        <f t="shared" si="43"/>
        <v>34036.410707729454</v>
      </c>
    </row>
    <row r="695" spans="1:5" x14ac:dyDescent="0.3">
      <c r="A695">
        <f t="shared" si="44"/>
        <v>6.9299999999998967</v>
      </c>
      <c r="B695">
        <f t="shared" si="44"/>
        <v>36.929999999999332</v>
      </c>
      <c r="C695">
        <f t="shared" si="42"/>
        <v>4.2237815765239055E-4</v>
      </c>
      <c r="D695">
        <f t="shared" si="45"/>
        <v>4.2237815765239055E-4</v>
      </c>
      <c r="E695" s="3">
        <f t="shared" si="43"/>
        <v>34074.746812176563</v>
      </c>
    </row>
    <row r="696" spans="1:5" x14ac:dyDescent="0.3">
      <c r="A696">
        <f t="shared" si="44"/>
        <v>6.9399999999998965</v>
      </c>
      <c r="B696">
        <f t="shared" si="44"/>
        <v>36.93999999999933</v>
      </c>
      <c r="C696">
        <f t="shared" si="42"/>
        <v>4.2261486339318624E-4</v>
      </c>
      <c r="D696">
        <f t="shared" si="45"/>
        <v>4.2261486339318624E-4</v>
      </c>
      <c r="E696" s="3">
        <f t="shared" si="43"/>
        <v>34113.09825703159</v>
      </c>
    </row>
    <row r="697" spans="1:5" x14ac:dyDescent="0.3">
      <c r="A697">
        <f t="shared" si="44"/>
        <v>6.9499999999998963</v>
      </c>
      <c r="B697">
        <f t="shared" si="44"/>
        <v>36.949999999999328</v>
      </c>
      <c r="C697">
        <f t="shared" si="42"/>
        <v>4.2285184598998447E-4</v>
      </c>
      <c r="D697">
        <f t="shared" si="45"/>
        <v>4.2285184598998447E-4</v>
      </c>
      <c r="E697" s="3">
        <f t="shared" si="43"/>
        <v>34151.465048494611</v>
      </c>
    </row>
    <row r="698" spans="1:5" x14ac:dyDescent="0.3">
      <c r="A698">
        <f t="shared" si="44"/>
        <v>6.959999999999896</v>
      </c>
      <c r="B698">
        <f t="shared" si="44"/>
        <v>36.959999999999326</v>
      </c>
      <c r="C698">
        <f t="shared" si="42"/>
        <v>4.2308910576660178E-4</v>
      </c>
      <c r="D698">
        <f t="shared" si="45"/>
        <v>4.2308910576660178E-4</v>
      </c>
      <c r="E698" s="3">
        <f t="shared" si="43"/>
        <v>34189.8471927684</v>
      </c>
    </row>
    <row r="699" spans="1:5" x14ac:dyDescent="0.3">
      <c r="A699">
        <f t="shared" si="44"/>
        <v>6.9699999999998958</v>
      </c>
      <c r="B699">
        <f t="shared" si="44"/>
        <v>36.969999999999324</v>
      </c>
      <c r="C699">
        <f t="shared" si="42"/>
        <v>4.2332664304723359E-4</v>
      </c>
      <c r="D699">
        <f t="shared" si="45"/>
        <v>4.2332664304723359E-4</v>
      </c>
      <c r="E699" s="3">
        <f t="shared" si="43"/>
        <v>34228.244696058493</v>
      </c>
    </row>
    <row r="700" spans="1:5" x14ac:dyDescent="0.3">
      <c r="A700">
        <f t="shared" si="44"/>
        <v>6.9799999999998956</v>
      </c>
      <c r="B700">
        <f t="shared" si="44"/>
        <v>36.979999999999322</v>
      </c>
      <c r="C700">
        <f t="shared" si="42"/>
        <v>4.2356445815645448E-4</v>
      </c>
      <c r="D700">
        <f t="shared" si="45"/>
        <v>4.2356445815645448E-4</v>
      </c>
      <c r="E700" s="3">
        <f t="shared" si="43"/>
        <v>34266.657564573114</v>
      </c>
    </row>
    <row r="701" spans="1:5" x14ac:dyDescent="0.3">
      <c r="A701">
        <f t="shared" si="44"/>
        <v>6.9899999999998954</v>
      </c>
      <c r="B701">
        <f t="shared" si="44"/>
        <v>36.98999999999932</v>
      </c>
      <c r="C701">
        <f t="shared" si="42"/>
        <v>4.2380255141921837E-4</v>
      </c>
      <c r="D701">
        <f t="shared" si="45"/>
        <v>4.2380255141921837E-4</v>
      </c>
      <c r="E701" s="3">
        <f t="shared" si="43"/>
        <v>34305.085804523223</v>
      </c>
    </row>
    <row r="702" spans="1:5" x14ac:dyDescent="0.3">
      <c r="A702">
        <f t="shared" si="44"/>
        <v>6.9999999999998952</v>
      </c>
      <c r="B702">
        <f t="shared" si="44"/>
        <v>36.999999999999318</v>
      </c>
      <c r="C702">
        <f t="shared" si="42"/>
        <v>4.2404092316085959E-4</v>
      </c>
      <c r="D702">
        <f t="shared" si="45"/>
        <v>4.2404092316085959E-4</v>
      </c>
      <c r="E702" s="3">
        <f t="shared" si="43"/>
        <v>34343.529422122519</v>
      </c>
    </row>
    <row r="703" spans="1:5" x14ac:dyDescent="0.3">
      <c r="A703">
        <f t="shared" si="44"/>
        <v>7.009999999999895</v>
      </c>
      <c r="B703">
        <f t="shared" si="44"/>
        <v>37.009999999999316</v>
      </c>
      <c r="C703">
        <f t="shared" si="42"/>
        <v>4.2427957370709285E-4</v>
      </c>
      <c r="D703">
        <f t="shared" si="45"/>
        <v>4.2427957370709285E-4</v>
      </c>
      <c r="E703" s="3">
        <f t="shared" si="43"/>
        <v>34381.988423587405</v>
      </c>
    </row>
    <row r="704" spans="1:5" x14ac:dyDescent="0.3">
      <c r="A704">
        <f t="shared" si="44"/>
        <v>7.0199999999998948</v>
      </c>
      <c r="B704">
        <f t="shared" si="44"/>
        <v>37.019999999999314</v>
      </c>
      <c r="C704">
        <f t="shared" si="42"/>
        <v>4.2451850338401392E-4</v>
      </c>
      <c r="D704">
        <f t="shared" si="45"/>
        <v>4.2451850338401392E-4</v>
      </c>
      <c r="E704" s="3">
        <f t="shared" si="43"/>
        <v>34420.462815137042</v>
      </c>
    </row>
    <row r="705" spans="1:5" x14ac:dyDescent="0.3">
      <c r="A705">
        <f t="shared" si="44"/>
        <v>7.0299999999998946</v>
      </c>
      <c r="B705">
        <f t="shared" si="44"/>
        <v>37.029999999999312</v>
      </c>
      <c r="C705">
        <f t="shared" si="42"/>
        <v>4.2475771251810008E-4</v>
      </c>
      <c r="D705">
        <f t="shared" si="45"/>
        <v>4.2475771251810008E-4</v>
      </c>
      <c r="E705" s="3">
        <f t="shared" si="43"/>
        <v>34458.952602993311</v>
      </c>
    </row>
    <row r="706" spans="1:5" x14ac:dyDescent="0.3">
      <c r="A706">
        <f t="shared" si="44"/>
        <v>7.0399999999998943</v>
      </c>
      <c r="B706">
        <f t="shared" si="44"/>
        <v>37.03999999999931</v>
      </c>
      <c r="C706">
        <f t="shared" si="42"/>
        <v>4.2499720143620987E-4</v>
      </c>
      <c r="D706">
        <f t="shared" si="45"/>
        <v>4.2499720143620987E-4</v>
      </c>
      <c r="E706" s="3">
        <f t="shared" si="43"/>
        <v>34497.457793380818</v>
      </c>
    </row>
    <row r="707" spans="1:5" x14ac:dyDescent="0.3">
      <c r="A707">
        <f t="shared" si="44"/>
        <v>7.0499999999998941</v>
      </c>
      <c r="B707">
        <f t="shared" si="44"/>
        <v>37.049999999999308</v>
      </c>
      <c r="C707">
        <f t="shared" ref="C707:C770" si="46">$N$2 + $N$3*$N$4^(B707)</f>
        <v>4.2523697046558485E-4</v>
      </c>
      <c r="D707">
        <f t="shared" si="45"/>
        <v>4.2523697046558485E-4</v>
      </c>
      <c r="E707" s="3">
        <f t="shared" ref="E707:E770" si="47">IF(ROUND(A707, 2)=$N$10,$N$6,(E708-$N$5*($N$7-$N$8-($N$6+$N$9)*D707))/(1+$N$5*$N$11+$N$5*D707))</f>
        <v>34535.978392526922</v>
      </c>
    </row>
    <row r="708" spans="1:5" x14ac:dyDescent="0.3">
      <c r="A708">
        <f t="shared" ref="A708:B771" si="48">A707+$N$5</f>
        <v>7.0599999999998939</v>
      </c>
      <c r="B708">
        <f t="shared" si="48"/>
        <v>37.059999999999306</v>
      </c>
      <c r="C708">
        <f t="shared" si="46"/>
        <v>4.254770199338489E-4</v>
      </c>
      <c r="D708">
        <f t="shared" si="45"/>
        <v>4.254770199338489E-4</v>
      </c>
      <c r="E708" s="3">
        <f t="shared" si="47"/>
        <v>34574.514406661707</v>
      </c>
    </row>
    <row r="709" spans="1:5" x14ac:dyDescent="0.3">
      <c r="A709">
        <f t="shared" si="48"/>
        <v>7.0699999999998937</v>
      </c>
      <c r="B709">
        <f t="shared" si="48"/>
        <v>37.069999999999304</v>
      </c>
      <c r="C709">
        <f t="shared" si="46"/>
        <v>4.2571735016900934E-4</v>
      </c>
      <c r="D709">
        <f t="shared" si="45"/>
        <v>4.2571735016900934E-4</v>
      </c>
      <c r="E709" s="3">
        <f t="shared" si="47"/>
        <v>34613.06584201799</v>
      </c>
    </row>
    <row r="710" spans="1:5" x14ac:dyDescent="0.3">
      <c r="A710">
        <f t="shared" si="48"/>
        <v>7.0799999999998935</v>
      </c>
      <c r="B710">
        <f t="shared" si="48"/>
        <v>37.079999999999302</v>
      </c>
      <c r="C710">
        <f t="shared" si="46"/>
        <v>4.2595796149945712E-4</v>
      </c>
      <c r="D710">
        <f t="shared" si="45"/>
        <v>4.2595796149945712E-4</v>
      </c>
      <c r="E710" s="3">
        <f t="shared" si="47"/>
        <v>34651.63270483134</v>
      </c>
    </row>
    <row r="711" spans="1:5" x14ac:dyDescent="0.3">
      <c r="A711">
        <f t="shared" si="48"/>
        <v>7.0899999999998933</v>
      </c>
      <c r="B711">
        <f t="shared" si="48"/>
        <v>37.0899999999993</v>
      </c>
      <c r="C711">
        <f t="shared" si="46"/>
        <v>4.2619885425396696E-4</v>
      </c>
      <c r="D711">
        <f t="shared" si="45"/>
        <v>4.2619885425396696E-4</v>
      </c>
      <c r="E711" s="3">
        <f t="shared" si="47"/>
        <v>34690.215001340068</v>
      </c>
    </row>
    <row r="712" spans="1:5" x14ac:dyDescent="0.3">
      <c r="A712">
        <f t="shared" si="48"/>
        <v>7.0999999999998931</v>
      </c>
      <c r="B712">
        <f t="shared" si="48"/>
        <v>37.099999999999298</v>
      </c>
      <c r="C712">
        <f t="shared" si="46"/>
        <v>4.2644002876169836E-4</v>
      </c>
      <c r="D712">
        <f t="shared" si="45"/>
        <v>4.2644002876169836E-4</v>
      </c>
      <c r="E712" s="3">
        <f t="shared" si="47"/>
        <v>34728.812737785222</v>
      </c>
    </row>
    <row r="713" spans="1:5" x14ac:dyDescent="0.3">
      <c r="A713">
        <f t="shared" si="48"/>
        <v>7.1099999999998929</v>
      </c>
      <c r="B713">
        <f t="shared" si="48"/>
        <v>37.109999999999296</v>
      </c>
      <c r="C713">
        <f t="shared" si="46"/>
        <v>4.2668148535219598E-4</v>
      </c>
      <c r="D713">
        <f t="shared" si="45"/>
        <v>4.2668148535219598E-4</v>
      </c>
      <c r="E713" s="3">
        <f t="shared" si="47"/>
        <v>34767.425920410598</v>
      </c>
    </row>
    <row r="714" spans="1:5" x14ac:dyDescent="0.3">
      <c r="A714">
        <f t="shared" si="48"/>
        <v>7.1199999999998926</v>
      </c>
      <c r="B714">
        <f t="shared" si="48"/>
        <v>37.119999999999294</v>
      </c>
      <c r="C714">
        <f t="shared" si="46"/>
        <v>4.2692322435538958E-4</v>
      </c>
      <c r="D714">
        <f t="shared" si="45"/>
        <v>4.2692322435538958E-4</v>
      </c>
      <c r="E714" s="3">
        <f t="shared" si="47"/>
        <v>34806.054555462739</v>
      </c>
    </row>
    <row r="715" spans="1:5" x14ac:dyDescent="0.3">
      <c r="A715">
        <f t="shared" si="48"/>
        <v>7.1299999999998924</v>
      </c>
      <c r="B715">
        <f t="shared" si="48"/>
        <v>37.129999999999292</v>
      </c>
      <c r="C715">
        <f t="shared" si="46"/>
        <v>4.2716524610159518E-4</v>
      </c>
      <c r="D715">
        <f t="shared" si="45"/>
        <v>4.2716524610159518E-4</v>
      </c>
      <c r="E715" s="3">
        <f t="shared" si="47"/>
        <v>34844.698649190948</v>
      </c>
    </row>
    <row r="716" spans="1:5" x14ac:dyDescent="0.3">
      <c r="A716">
        <f t="shared" si="48"/>
        <v>7.1399999999998922</v>
      </c>
      <c r="B716">
        <f t="shared" si="48"/>
        <v>37.13999999999929</v>
      </c>
      <c r="C716">
        <f t="shared" si="46"/>
        <v>4.2740755092151466E-4</v>
      </c>
      <c r="D716">
        <f t="shared" si="45"/>
        <v>4.2740755092151466E-4</v>
      </c>
      <c r="E716" s="3">
        <f t="shared" si="47"/>
        <v>34883.358207847261</v>
      </c>
    </row>
    <row r="717" spans="1:5" x14ac:dyDescent="0.3">
      <c r="A717">
        <f t="shared" si="48"/>
        <v>7.149999999999892</v>
      </c>
      <c r="B717">
        <f t="shared" si="48"/>
        <v>37.149999999999288</v>
      </c>
      <c r="C717">
        <f t="shared" si="46"/>
        <v>4.2765013914623719E-4</v>
      </c>
      <c r="D717">
        <f t="shared" si="45"/>
        <v>4.2765013914623719E-4</v>
      </c>
      <c r="E717" s="3">
        <f t="shared" si="47"/>
        <v>34922.033237686475</v>
      </c>
    </row>
    <row r="718" spans="1:5" x14ac:dyDescent="0.3">
      <c r="A718">
        <f t="shared" si="48"/>
        <v>7.1599999999998918</v>
      </c>
      <c r="B718">
        <f t="shared" si="48"/>
        <v>37.159999999999286</v>
      </c>
      <c r="C718">
        <f t="shared" si="46"/>
        <v>4.2789301110723887E-4</v>
      </c>
      <c r="D718">
        <f t="shared" si="45"/>
        <v>4.2789301110723887E-4</v>
      </c>
      <c r="E718" s="3">
        <f t="shared" si="47"/>
        <v>34960.723744966141</v>
      </c>
    </row>
    <row r="719" spans="1:5" x14ac:dyDescent="0.3">
      <c r="A719">
        <f t="shared" si="48"/>
        <v>7.1699999999998916</v>
      </c>
      <c r="B719">
        <f t="shared" si="48"/>
        <v>37.169999999999284</v>
      </c>
      <c r="C719">
        <f t="shared" si="46"/>
        <v>4.2813616713638359E-4</v>
      </c>
      <c r="D719">
        <f t="shared" si="45"/>
        <v>4.2813616713638359E-4</v>
      </c>
      <c r="E719" s="3">
        <f t="shared" si="47"/>
        <v>34999.429735946556</v>
      </c>
    </row>
    <row r="720" spans="1:5" x14ac:dyDescent="0.3">
      <c r="A720">
        <f t="shared" si="48"/>
        <v>7.1799999999998914</v>
      </c>
      <c r="B720">
        <f t="shared" si="48"/>
        <v>37.179999999999282</v>
      </c>
      <c r="C720">
        <f t="shared" si="46"/>
        <v>4.2837960756592368E-4</v>
      </c>
      <c r="D720">
        <f t="shared" si="45"/>
        <v>4.2837960756592368E-4</v>
      </c>
      <c r="E720" s="3">
        <f t="shared" si="47"/>
        <v>35038.151216890787</v>
      </c>
    </row>
    <row r="721" spans="1:5" x14ac:dyDescent="0.3">
      <c r="A721">
        <f t="shared" si="48"/>
        <v>7.1899999999998911</v>
      </c>
      <c r="B721">
        <f t="shared" si="48"/>
        <v>37.18999999999928</v>
      </c>
      <c r="C721">
        <f t="shared" si="46"/>
        <v>4.2862333272849942E-4</v>
      </c>
      <c r="D721">
        <f t="shared" si="45"/>
        <v>4.2862333272849942E-4</v>
      </c>
      <c r="E721" s="3">
        <f t="shared" si="47"/>
        <v>35076.888194064653</v>
      </c>
    </row>
    <row r="722" spans="1:5" x14ac:dyDescent="0.3">
      <c r="A722">
        <f t="shared" si="48"/>
        <v>7.1999999999998909</v>
      </c>
      <c r="B722">
        <f t="shared" si="48"/>
        <v>37.199999999999278</v>
      </c>
      <c r="C722">
        <f t="shared" si="46"/>
        <v>4.2886734295714075E-4</v>
      </c>
      <c r="D722">
        <f t="shared" si="45"/>
        <v>4.2886734295714075E-4</v>
      </c>
      <c r="E722" s="3">
        <f t="shared" si="47"/>
        <v>35115.640673736743</v>
      </c>
    </row>
    <row r="723" spans="1:5" x14ac:dyDescent="0.3">
      <c r="A723">
        <f t="shared" si="48"/>
        <v>7.2099999999998907</v>
      </c>
      <c r="B723">
        <f t="shared" si="48"/>
        <v>37.209999999999276</v>
      </c>
      <c r="C723">
        <f t="shared" si="46"/>
        <v>4.2911163858526684E-4</v>
      </c>
      <c r="D723">
        <f t="shared" si="45"/>
        <v>4.2911163858526684E-4</v>
      </c>
      <c r="E723" s="3">
        <f t="shared" si="47"/>
        <v>35154.408662178401</v>
      </c>
    </row>
    <row r="724" spans="1:5" x14ac:dyDescent="0.3">
      <c r="A724">
        <f t="shared" si="48"/>
        <v>7.2199999999998905</v>
      </c>
      <c r="B724">
        <f t="shared" si="48"/>
        <v>37.219999999999274</v>
      </c>
      <c r="C724">
        <f t="shared" si="46"/>
        <v>4.2935621994668704E-4</v>
      </c>
      <c r="D724">
        <f t="shared" si="45"/>
        <v>4.2935621994668704E-4</v>
      </c>
      <c r="E724" s="3">
        <f t="shared" si="47"/>
        <v>35193.192165663728</v>
      </c>
    </row>
    <row r="725" spans="1:5" x14ac:dyDescent="0.3">
      <c r="A725">
        <f t="shared" si="48"/>
        <v>7.2299999999998903</v>
      </c>
      <c r="B725">
        <f t="shared" si="48"/>
        <v>37.229999999999272</v>
      </c>
      <c r="C725">
        <f t="shared" si="46"/>
        <v>4.2960108737560105E-4</v>
      </c>
      <c r="D725">
        <f t="shared" si="45"/>
        <v>4.2960108737560105E-4</v>
      </c>
      <c r="E725" s="3">
        <f t="shared" si="47"/>
        <v>35231.991190469613</v>
      </c>
    </row>
    <row r="726" spans="1:5" x14ac:dyDescent="0.3">
      <c r="A726">
        <f t="shared" si="48"/>
        <v>7.2399999999998901</v>
      </c>
      <c r="B726">
        <f t="shared" si="48"/>
        <v>37.23999999999927</v>
      </c>
      <c r="C726">
        <f t="shared" si="46"/>
        <v>4.2984624120659919E-4</v>
      </c>
      <c r="D726">
        <f t="shared" si="45"/>
        <v>4.2984624120659919E-4</v>
      </c>
      <c r="E726" s="3">
        <f t="shared" si="47"/>
        <v>35270.80574287568</v>
      </c>
    </row>
    <row r="727" spans="1:5" x14ac:dyDescent="0.3">
      <c r="A727">
        <f t="shared" si="48"/>
        <v>7.2499999999998899</v>
      </c>
      <c r="B727">
        <f t="shared" si="48"/>
        <v>37.249999999999268</v>
      </c>
      <c r="C727">
        <f t="shared" si="46"/>
        <v>4.3009168177466348E-4</v>
      </c>
      <c r="D727">
        <f t="shared" ref="D727:D790" si="49">IF(A727&lt;=2, (0.9)^(2-A727)*C727, C727)</f>
        <v>4.3009168177466348E-4</v>
      </c>
      <c r="E727" s="3">
        <f t="shared" si="47"/>
        <v>35309.635829164348</v>
      </c>
    </row>
    <row r="728" spans="1:5" x14ac:dyDescent="0.3">
      <c r="A728">
        <f t="shared" si="48"/>
        <v>7.2599999999998897</v>
      </c>
      <c r="B728">
        <f t="shared" si="48"/>
        <v>37.259999999999266</v>
      </c>
      <c r="C728">
        <f t="shared" si="46"/>
        <v>4.3033740941516755E-4</v>
      </c>
      <c r="D728">
        <f t="shared" si="49"/>
        <v>4.3033740941516755E-4</v>
      </c>
      <c r="E728" s="3">
        <f t="shared" si="47"/>
        <v>35348.481455620808</v>
      </c>
    </row>
    <row r="729" spans="1:5" x14ac:dyDescent="0.3">
      <c r="A729">
        <f t="shared" si="48"/>
        <v>7.2699999999998894</v>
      </c>
      <c r="B729">
        <f t="shared" si="48"/>
        <v>37.269999999999264</v>
      </c>
      <c r="C729">
        <f t="shared" si="46"/>
        <v>4.3058342446387741E-4</v>
      </c>
      <c r="D729">
        <f t="shared" si="49"/>
        <v>4.3058342446387741E-4</v>
      </c>
      <c r="E729" s="3">
        <f t="shared" si="47"/>
        <v>35387.342628533006</v>
      </c>
    </row>
    <row r="730" spans="1:5" x14ac:dyDescent="0.3">
      <c r="A730">
        <f t="shared" si="48"/>
        <v>7.2799999999998892</v>
      </c>
      <c r="B730">
        <f t="shared" si="48"/>
        <v>37.279999999999262</v>
      </c>
      <c r="C730">
        <f t="shared" si="46"/>
        <v>4.308297272569519E-4</v>
      </c>
      <c r="D730">
        <f t="shared" si="49"/>
        <v>4.308297272569519E-4</v>
      </c>
      <c r="E730" s="3">
        <f t="shared" si="47"/>
        <v>35426.219354191671</v>
      </c>
    </row>
    <row r="731" spans="1:5" x14ac:dyDescent="0.3">
      <c r="A731">
        <f t="shared" si="48"/>
        <v>7.289999999999889</v>
      </c>
      <c r="B731">
        <f t="shared" si="48"/>
        <v>37.28999999999926</v>
      </c>
      <c r="C731">
        <f t="shared" si="46"/>
        <v>4.3107631813094256E-4</v>
      </c>
      <c r="D731">
        <f t="shared" si="49"/>
        <v>4.3107631813094256E-4</v>
      </c>
      <c r="E731" s="3">
        <f t="shared" si="47"/>
        <v>35465.11163889031</v>
      </c>
    </row>
    <row r="732" spans="1:5" x14ac:dyDescent="0.3">
      <c r="A732">
        <f t="shared" si="48"/>
        <v>7.2999999999998888</v>
      </c>
      <c r="B732">
        <f t="shared" si="48"/>
        <v>37.299999999999258</v>
      </c>
      <c r="C732">
        <f t="shared" si="46"/>
        <v>4.3132319742279491E-4</v>
      </c>
      <c r="D732">
        <f t="shared" si="49"/>
        <v>4.3132319742279491E-4</v>
      </c>
      <c r="E732" s="3">
        <f t="shared" si="47"/>
        <v>35504.019488925209</v>
      </c>
    </row>
    <row r="733" spans="1:5" x14ac:dyDescent="0.3">
      <c r="A733">
        <f t="shared" si="48"/>
        <v>7.3099999999998886</v>
      </c>
      <c r="B733">
        <f t="shared" si="48"/>
        <v>37.309999999999256</v>
      </c>
      <c r="C733">
        <f t="shared" si="46"/>
        <v>4.3157036546984866E-4</v>
      </c>
      <c r="D733">
        <f t="shared" si="49"/>
        <v>4.3157036546984866E-4</v>
      </c>
      <c r="E733" s="3">
        <f t="shared" si="47"/>
        <v>35542.942910595426</v>
      </c>
    </row>
    <row r="734" spans="1:5" x14ac:dyDescent="0.3">
      <c r="A734">
        <f t="shared" si="48"/>
        <v>7.3199999999998884</v>
      </c>
      <c r="B734">
        <f t="shared" si="48"/>
        <v>37.319999999999254</v>
      </c>
      <c r="C734">
        <f t="shared" si="46"/>
        <v>4.3181782260983792E-4</v>
      </c>
      <c r="D734">
        <f t="shared" si="49"/>
        <v>4.3181782260983792E-4</v>
      </c>
      <c r="E734" s="3">
        <f t="shared" si="47"/>
        <v>35581.881910202806</v>
      </c>
    </row>
    <row r="735" spans="1:5" x14ac:dyDescent="0.3">
      <c r="A735">
        <f t="shared" si="48"/>
        <v>7.3299999999998882</v>
      </c>
      <c r="B735">
        <f t="shared" si="48"/>
        <v>37.329999999999252</v>
      </c>
      <c r="C735">
        <f t="shared" si="46"/>
        <v>4.3206556918089201E-4</v>
      </c>
      <c r="D735">
        <f t="shared" si="49"/>
        <v>4.3206556918089201E-4</v>
      </c>
      <c r="E735" s="3">
        <f t="shared" si="47"/>
        <v>35620.836494051982</v>
      </c>
    </row>
    <row r="736" spans="1:5" x14ac:dyDescent="0.3">
      <c r="A736">
        <f t="shared" si="48"/>
        <v>7.3399999999998879</v>
      </c>
      <c r="B736">
        <f t="shared" si="48"/>
        <v>37.33999999999925</v>
      </c>
      <c r="C736">
        <f t="shared" si="46"/>
        <v>4.3231360552153529E-4</v>
      </c>
      <c r="D736">
        <f t="shared" si="49"/>
        <v>4.3231360552153529E-4</v>
      </c>
      <c r="E736" s="3">
        <f t="shared" si="47"/>
        <v>35659.806668450365</v>
      </c>
    </row>
    <row r="737" spans="1:5" x14ac:dyDescent="0.3">
      <c r="A737">
        <f t="shared" si="48"/>
        <v>7.3499999999998877</v>
      </c>
      <c r="B737">
        <f t="shared" si="48"/>
        <v>37.349999999999248</v>
      </c>
      <c r="C737">
        <f t="shared" si="46"/>
        <v>4.3256193197068848E-4</v>
      </c>
      <c r="D737">
        <f t="shared" si="49"/>
        <v>4.3256193197068848E-4</v>
      </c>
      <c r="E737" s="3">
        <f t="shared" si="47"/>
        <v>35698.792439708144</v>
      </c>
    </row>
    <row r="738" spans="1:5" x14ac:dyDescent="0.3">
      <c r="A738">
        <f t="shared" si="48"/>
        <v>7.3599999999998875</v>
      </c>
      <c r="B738">
        <f t="shared" si="48"/>
        <v>37.359999999999246</v>
      </c>
      <c r="C738">
        <f t="shared" si="46"/>
        <v>4.328105488676686E-4</v>
      </c>
      <c r="D738">
        <f t="shared" si="49"/>
        <v>4.328105488676686E-4</v>
      </c>
      <c r="E738" s="3">
        <f t="shared" si="47"/>
        <v>35737.79381413832</v>
      </c>
    </row>
    <row r="739" spans="1:5" x14ac:dyDescent="0.3">
      <c r="A739">
        <f t="shared" si="48"/>
        <v>7.3699999999998873</v>
      </c>
      <c r="B739">
        <f t="shared" si="48"/>
        <v>37.369999999999244</v>
      </c>
      <c r="C739">
        <f t="shared" si="46"/>
        <v>4.3305945655218946E-4</v>
      </c>
      <c r="D739">
        <f t="shared" si="49"/>
        <v>4.3305945655218946E-4</v>
      </c>
      <c r="E739" s="3">
        <f t="shared" si="47"/>
        <v>35776.810798056664</v>
      </c>
    </row>
    <row r="740" spans="1:5" x14ac:dyDescent="0.3">
      <c r="A740">
        <f t="shared" si="48"/>
        <v>7.3799999999998871</v>
      </c>
      <c r="B740">
        <f t="shared" si="48"/>
        <v>37.379999999999242</v>
      </c>
      <c r="C740">
        <f t="shared" si="46"/>
        <v>4.3330865536436258E-4</v>
      </c>
      <c r="D740">
        <f t="shared" si="49"/>
        <v>4.3330865536436258E-4</v>
      </c>
      <c r="E740" s="3">
        <f t="shared" si="47"/>
        <v>35815.843397781748</v>
      </c>
    </row>
    <row r="741" spans="1:5" x14ac:dyDescent="0.3">
      <c r="A741">
        <f t="shared" si="48"/>
        <v>7.3899999999998869</v>
      </c>
      <c r="B741">
        <f t="shared" si="48"/>
        <v>37.38999999999924</v>
      </c>
      <c r="C741">
        <f t="shared" si="46"/>
        <v>4.3355814564469651E-4</v>
      </c>
      <c r="D741">
        <f t="shared" si="49"/>
        <v>4.3355814564469651E-4</v>
      </c>
      <c r="E741" s="3">
        <f t="shared" si="47"/>
        <v>35854.891619634924</v>
      </c>
    </row>
    <row r="742" spans="1:5" x14ac:dyDescent="0.3">
      <c r="A742">
        <f t="shared" si="48"/>
        <v>7.3999999999998867</v>
      </c>
      <c r="B742">
        <f t="shared" si="48"/>
        <v>37.399999999999238</v>
      </c>
      <c r="C742">
        <f t="shared" si="46"/>
        <v>4.3380792773409867E-4</v>
      </c>
      <c r="D742">
        <f t="shared" si="49"/>
        <v>4.3380792773409867E-4</v>
      </c>
      <c r="E742" s="3">
        <f t="shared" si="47"/>
        <v>35893.95546994036</v>
      </c>
    </row>
    <row r="743" spans="1:5" x14ac:dyDescent="0.3">
      <c r="A743">
        <f t="shared" si="48"/>
        <v>7.4099999999998865</v>
      </c>
      <c r="B743">
        <f t="shared" si="48"/>
        <v>37.409999999999236</v>
      </c>
      <c r="C743">
        <f t="shared" si="46"/>
        <v>4.3405800197387519E-4</v>
      </c>
      <c r="D743">
        <f t="shared" si="49"/>
        <v>4.3405800197387519E-4</v>
      </c>
      <c r="E743" s="3">
        <f t="shared" si="47"/>
        <v>35933.034955025003</v>
      </c>
    </row>
    <row r="744" spans="1:5" x14ac:dyDescent="0.3">
      <c r="A744">
        <f t="shared" si="48"/>
        <v>7.4199999999998862</v>
      </c>
      <c r="B744">
        <f t="shared" si="48"/>
        <v>37.419999999999234</v>
      </c>
      <c r="C744">
        <f t="shared" si="46"/>
        <v>4.3430836870573121E-4</v>
      </c>
      <c r="D744">
        <f t="shared" si="49"/>
        <v>4.3430836870573121E-4</v>
      </c>
      <c r="E744" s="3">
        <f t="shared" si="47"/>
        <v>35972.130081218609</v>
      </c>
    </row>
    <row r="745" spans="1:5" x14ac:dyDescent="0.3">
      <c r="A745">
        <f t="shared" si="48"/>
        <v>7.429999999999886</v>
      </c>
      <c r="B745">
        <f t="shared" si="48"/>
        <v>37.429999999999232</v>
      </c>
      <c r="C745">
        <f t="shared" si="46"/>
        <v>4.345590282717718E-4</v>
      </c>
      <c r="D745">
        <f t="shared" si="49"/>
        <v>4.345590282717718E-4</v>
      </c>
      <c r="E745" s="3">
        <f t="shared" si="47"/>
        <v>36011.240854853735</v>
      </c>
    </row>
    <row r="746" spans="1:5" x14ac:dyDescent="0.3">
      <c r="A746">
        <f t="shared" si="48"/>
        <v>7.4399999999998858</v>
      </c>
      <c r="B746">
        <f t="shared" si="48"/>
        <v>37.43999999999923</v>
      </c>
      <c r="C746">
        <f t="shared" si="46"/>
        <v>4.3480998101450165E-4</v>
      </c>
      <c r="D746">
        <f t="shared" si="49"/>
        <v>4.3480998101450165E-4</v>
      </c>
      <c r="E746" s="3">
        <f t="shared" si="47"/>
        <v>36050.367282265732</v>
      </c>
    </row>
    <row r="747" spans="1:5" x14ac:dyDescent="0.3">
      <c r="A747">
        <f t="shared" si="48"/>
        <v>7.4499999999998856</v>
      </c>
      <c r="B747">
        <f t="shared" si="48"/>
        <v>37.449999999999228</v>
      </c>
      <c r="C747">
        <f t="shared" si="46"/>
        <v>4.3506122727682647E-4</v>
      </c>
      <c r="D747">
        <f t="shared" si="49"/>
        <v>4.3506122727682647E-4</v>
      </c>
      <c r="E747" s="3">
        <f t="shared" si="47"/>
        <v>36089.509369792759</v>
      </c>
    </row>
    <row r="748" spans="1:5" x14ac:dyDescent="0.3">
      <c r="A748">
        <f t="shared" si="48"/>
        <v>7.4599999999998854</v>
      </c>
      <c r="B748">
        <f t="shared" si="48"/>
        <v>37.459999999999226</v>
      </c>
      <c r="C748">
        <f t="shared" si="46"/>
        <v>4.3531276740205296E-4</v>
      </c>
      <c r="D748">
        <f t="shared" si="49"/>
        <v>4.3531276740205296E-4</v>
      </c>
      <c r="E748" s="3">
        <f t="shared" si="47"/>
        <v>36128.667123775776</v>
      </c>
    </row>
    <row r="749" spans="1:5" x14ac:dyDescent="0.3">
      <c r="A749">
        <f t="shared" si="48"/>
        <v>7.4699999999998852</v>
      </c>
      <c r="B749">
        <f t="shared" si="48"/>
        <v>37.469999999999224</v>
      </c>
      <c r="C749">
        <f t="shared" si="46"/>
        <v>4.3556460173388943E-4</v>
      </c>
      <c r="D749">
        <f t="shared" si="49"/>
        <v>4.3556460173388943E-4</v>
      </c>
      <c r="E749" s="3">
        <f t="shared" si="47"/>
        <v>36167.840550558569</v>
      </c>
    </row>
    <row r="750" spans="1:5" x14ac:dyDescent="0.3">
      <c r="A750">
        <f t="shared" si="48"/>
        <v>7.479999999999885</v>
      </c>
      <c r="B750">
        <f t="shared" si="48"/>
        <v>37.479999999999222</v>
      </c>
      <c r="C750">
        <f t="shared" si="46"/>
        <v>4.3581673061644593E-4</v>
      </c>
      <c r="D750">
        <f t="shared" si="49"/>
        <v>4.3581673061644593E-4</v>
      </c>
      <c r="E750" s="3">
        <f t="shared" si="47"/>
        <v>36207.029656487706</v>
      </c>
    </row>
    <row r="751" spans="1:5" x14ac:dyDescent="0.3">
      <c r="A751">
        <f t="shared" si="48"/>
        <v>7.4899999999998847</v>
      </c>
      <c r="B751">
        <f t="shared" si="48"/>
        <v>37.48999999999922</v>
      </c>
      <c r="C751">
        <f t="shared" si="46"/>
        <v>4.3606915439423554E-4</v>
      </c>
      <c r="D751">
        <f t="shared" si="49"/>
        <v>4.3606915439423554E-4</v>
      </c>
      <c r="E751" s="3">
        <f t="shared" si="47"/>
        <v>36246.234447912582</v>
      </c>
    </row>
    <row r="752" spans="1:5" x14ac:dyDescent="0.3">
      <c r="A752">
        <f t="shared" si="48"/>
        <v>7.4999999999998845</v>
      </c>
      <c r="B752">
        <f t="shared" si="48"/>
        <v>37.499999999999218</v>
      </c>
      <c r="C752">
        <f t="shared" si="46"/>
        <v>4.3632187341217335E-4</v>
      </c>
      <c r="D752">
        <f t="shared" si="49"/>
        <v>4.3632187341217335E-4</v>
      </c>
      <c r="E752" s="3">
        <f t="shared" si="47"/>
        <v>36285.454931185406</v>
      </c>
    </row>
    <row r="753" spans="1:5" x14ac:dyDescent="0.3">
      <c r="A753">
        <f t="shared" si="48"/>
        <v>7.5099999999998843</v>
      </c>
      <c r="B753">
        <f t="shared" si="48"/>
        <v>37.509999999999216</v>
      </c>
      <c r="C753">
        <f t="shared" si="46"/>
        <v>4.3657488801557883E-4</v>
      </c>
      <c r="D753">
        <f t="shared" si="49"/>
        <v>4.3657488801557883E-4</v>
      </c>
      <c r="E753" s="3">
        <f t="shared" si="47"/>
        <v>36324.691112661196</v>
      </c>
    </row>
    <row r="754" spans="1:5" x14ac:dyDescent="0.3">
      <c r="A754">
        <f t="shared" si="48"/>
        <v>7.5199999999998841</v>
      </c>
      <c r="B754">
        <f t="shared" si="48"/>
        <v>37.519999999999214</v>
      </c>
      <c r="C754">
        <f t="shared" si="46"/>
        <v>4.3682819855017478E-4</v>
      </c>
      <c r="D754">
        <f t="shared" si="49"/>
        <v>4.3682819855017478E-4</v>
      </c>
      <c r="E754" s="3">
        <f t="shared" si="47"/>
        <v>36363.942998697792</v>
      </c>
    </row>
    <row r="755" spans="1:5" x14ac:dyDescent="0.3">
      <c r="A755">
        <f t="shared" si="48"/>
        <v>7.5299999999998839</v>
      </c>
      <c r="B755">
        <f t="shared" si="48"/>
        <v>37.529999999999212</v>
      </c>
      <c r="C755">
        <f t="shared" si="46"/>
        <v>4.3708180536208862E-4</v>
      </c>
      <c r="D755">
        <f t="shared" si="49"/>
        <v>4.3708180536208862E-4</v>
      </c>
      <c r="E755" s="3">
        <f t="shared" si="47"/>
        <v>36403.210595655837</v>
      </c>
    </row>
    <row r="756" spans="1:5" x14ac:dyDescent="0.3">
      <c r="A756">
        <f t="shared" si="48"/>
        <v>7.5399999999998837</v>
      </c>
      <c r="B756">
        <f t="shared" si="48"/>
        <v>37.53999999999921</v>
      </c>
      <c r="C756">
        <f t="shared" si="46"/>
        <v>4.3733570879785262E-4</v>
      </c>
      <c r="D756">
        <f t="shared" si="49"/>
        <v>4.3733570879785262E-4</v>
      </c>
      <c r="E756" s="3">
        <f t="shared" si="47"/>
        <v>36442.493909898818</v>
      </c>
    </row>
    <row r="757" spans="1:5" x14ac:dyDescent="0.3">
      <c r="A757">
        <f t="shared" si="48"/>
        <v>7.5499999999998835</v>
      </c>
      <c r="B757">
        <f t="shared" si="48"/>
        <v>37.549999999999208</v>
      </c>
      <c r="C757">
        <f t="shared" si="46"/>
        <v>4.3758990920440399E-4</v>
      </c>
      <c r="D757">
        <f t="shared" si="49"/>
        <v>4.3758990920440399E-4</v>
      </c>
      <c r="E757" s="3">
        <f t="shared" si="47"/>
        <v>36481.792947793023</v>
      </c>
    </row>
    <row r="758" spans="1:5" x14ac:dyDescent="0.3">
      <c r="A758">
        <f t="shared" si="48"/>
        <v>7.5599999999998833</v>
      </c>
      <c r="B758">
        <f t="shared" si="48"/>
        <v>37.559999999999206</v>
      </c>
      <c r="C758">
        <f t="shared" si="46"/>
        <v>4.3784440692908614E-4</v>
      </c>
      <c r="D758">
        <f t="shared" si="49"/>
        <v>4.3784440692908614E-4</v>
      </c>
      <c r="E758" s="3">
        <f t="shared" si="47"/>
        <v>36521.107715707571</v>
      </c>
    </row>
    <row r="759" spans="1:5" x14ac:dyDescent="0.3">
      <c r="A759">
        <f t="shared" si="48"/>
        <v>7.569999999999883</v>
      </c>
      <c r="B759">
        <f t="shared" si="48"/>
        <v>37.569999999999204</v>
      </c>
      <c r="C759">
        <f t="shared" si="46"/>
        <v>4.3809920231964862E-4</v>
      </c>
      <c r="D759">
        <f t="shared" si="49"/>
        <v>4.3809920231964862E-4</v>
      </c>
      <c r="E759" s="3">
        <f t="shared" si="47"/>
        <v>36560.438220014403</v>
      </c>
    </row>
    <row r="760" spans="1:5" x14ac:dyDescent="0.3">
      <c r="A760">
        <f t="shared" si="48"/>
        <v>7.5799999999998828</v>
      </c>
      <c r="B760">
        <f t="shared" si="48"/>
        <v>37.579999999999202</v>
      </c>
      <c r="C760">
        <f t="shared" si="46"/>
        <v>4.3835429572424762E-4</v>
      </c>
      <c r="D760">
        <f t="shared" si="49"/>
        <v>4.3835429572424762E-4</v>
      </c>
      <c r="E760" s="3">
        <f t="shared" si="47"/>
        <v>36599.784467088291</v>
      </c>
    </row>
    <row r="761" spans="1:5" x14ac:dyDescent="0.3">
      <c r="A761">
        <f t="shared" si="48"/>
        <v>7.5899999999998826</v>
      </c>
      <c r="B761">
        <f t="shared" si="48"/>
        <v>37.5899999999992</v>
      </c>
      <c r="C761">
        <f t="shared" si="46"/>
        <v>4.3860968749144687E-4</v>
      </c>
      <c r="D761">
        <f t="shared" si="49"/>
        <v>4.3860968749144687E-4</v>
      </c>
      <c r="E761" s="3">
        <f t="shared" si="47"/>
        <v>36639.146463306839</v>
      </c>
    </row>
    <row r="762" spans="1:5" x14ac:dyDescent="0.3">
      <c r="A762">
        <f t="shared" si="48"/>
        <v>7.5999999999998824</v>
      </c>
      <c r="B762">
        <f t="shared" si="48"/>
        <v>37.599999999999199</v>
      </c>
      <c r="C762">
        <f t="shared" si="46"/>
        <v>4.3886537797021706E-4</v>
      </c>
      <c r="D762">
        <f t="shared" si="49"/>
        <v>4.3886537797021706E-4</v>
      </c>
      <c r="E762" s="3">
        <f t="shared" si="47"/>
        <v>36678.524215050464</v>
      </c>
    </row>
    <row r="763" spans="1:5" x14ac:dyDescent="0.3">
      <c r="A763">
        <f t="shared" si="48"/>
        <v>7.6099999999998822</v>
      </c>
      <c r="B763">
        <f t="shared" si="48"/>
        <v>37.609999999999197</v>
      </c>
      <c r="C763">
        <f t="shared" si="46"/>
        <v>4.3912136750993785E-4</v>
      </c>
      <c r="D763">
        <f t="shared" si="49"/>
        <v>4.3912136750993785E-4</v>
      </c>
      <c r="E763" s="3">
        <f t="shared" si="47"/>
        <v>36717.917728702443</v>
      </c>
    </row>
    <row r="764" spans="1:5" x14ac:dyDescent="0.3">
      <c r="A764">
        <f t="shared" si="48"/>
        <v>7.619999999999882</v>
      </c>
      <c r="B764">
        <f t="shared" si="48"/>
        <v>37.619999999999195</v>
      </c>
      <c r="C764">
        <f t="shared" si="46"/>
        <v>4.3937765646039707E-4</v>
      </c>
      <c r="D764">
        <f t="shared" si="49"/>
        <v>4.3937765646039707E-4</v>
      </c>
      <c r="E764" s="3">
        <f t="shared" si="47"/>
        <v>36757.327010648864</v>
      </c>
    </row>
    <row r="765" spans="1:5" x14ac:dyDescent="0.3">
      <c r="A765">
        <f t="shared" si="48"/>
        <v>7.6299999999998818</v>
      </c>
      <c r="B765">
        <f t="shared" si="48"/>
        <v>37.629999999999193</v>
      </c>
      <c r="C765">
        <f t="shared" si="46"/>
        <v>4.3963424517179188E-4</v>
      </c>
      <c r="D765">
        <f t="shared" si="49"/>
        <v>4.3963424517179188E-4</v>
      </c>
      <c r="E765" s="3">
        <f t="shared" si="47"/>
        <v>36796.752067278656</v>
      </c>
    </row>
    <row r="766" spans="1:5" x14ac:dyDescent="0.3">
      <c r="A766">
        <f t="shared" si="48"/>
        <v>7.6399999999998816</v>
      </c>
      <c r="B766">
        <f t="shared" si="48"/>
        <v>37.639999999999191</v>
      </c>
      <c r="C766">
        <f t="shared" si="46"/>
        <v>4.3989113399472914E-4</v>
      </c>
      <c r="D766">
        <f t="shared" si="49"/>
        <v>4.3989113399472914E-4</v>
      </c>
      <c r="E766" s="3">
        <f t="shared" si="47"/>
        <v>36836.192904983589</v>
      </c>
    </row>
    <row r="767" spans="1:5" x14ac:dyDescent="0.3">
      <c r="A767">
        <f t="shared" si="48"/>
        <v>7.6499999999998813</v>
      </c>
      <c r="B767">
        <f t="shared" si="48"/>
        <v>37.649999999999189</v>
      </c>
      <c r="C767">
        <f t="shared" si="46"/>
        <v>4.401483232802252E-4</v>
      </c>
      <c r="D767">
        <f t="shared" si="49"/>
        <v>4.401483232802252E-4</v>
      </c>
      <c r="E767" s="3">
        <f t="shared" si="47"/>
        <v>36875.649530158269</v>
      </c>
    </row>
    <row r="768" spans="1:5" x14ac:dyDescent="0.3">
      <c r="A768">
        <f t="shared" si="48"/>
        <v>7.6599999999998811</v>
      </c>
      <c r="B768">
        <f t="shared" si="48"/>
        <v>37.659999999999187</v>
      </c>
      <c r="C768">
        <f t="shared" si="46"/>
        <v>4.404058133797076E-4</v>
      </c>
      <c r="D768">
        <f t="shared" si="49"/>
        <v>4.404058133797076E-4</v>
      </c>
      <c r="E768" s="3">
        <f t="shared" si="47"/>
        <v>36915.121949200155</v>
      </c>
    </row>
    <row r="769" spans="1:5" x14ac:dyDescent="0.3">
      <c r="A769">
        <f t="shared" si="48"/>
        <v>7.6699999999998809</v>
      </c>
      <c r="B769">
        <f t="shared" si="48"/>
        <v>37.669999999999185</v>
      </c>
      <c r="C769">
        <f t="shared" si="46"/>
        <v>4.406636046450146E-4</v>
      </c>
      <c r="D769">
        <f t="shared" si="49"/>
        <v>4.406636046450146E-4</v>
      </c>
      <c r="E769" s="3">
        <f t="shared" si="47"/>
        <v>36954.610168509527</v>
      </c>
    </row>
    <row r="770" spans="1:5" x14ac:dyDescent="0.3">
      <c r="A770">
        <f t="shared" si="48"/>
        <v>7.6799999999998807</v>
      </c>
      <c r="B770">
        <f t="shared" si="48"/>
        <v>37.679999999999183</v>
      </c>
      <c r="C770">
        <f t="shared" si="46"/>
        <v>4.4092169742839627E-4</v>
      </c>
      <c r="D770">
        <f t="shared" si="49"/>
        <v>4.4092169742839627E-4</v>
      </c>
      <c r="E770" s="3">
        <f t="shared" si="47"/>
        <v>36994.114194489535</v>
      </c>
    </row>
    <row r="771" spans="1:5" x14ac:dyDescent="0.3">
      <c r="A771">
        <f t="shared" si="48"/>
        <v>7.6899999999998805</v>
      </c>
      <c r="B771">
        <f t="shared" si="48"/>
        <v>37.689999999999181</v>
      </c>
      <c r="C771">
        <f t="shared" ref="C771:C834" si="50">$N$2 + $N$3*$N$4^(B771)</f>
        <v>4.4118009208251447E-4</v>
      </c>
      <c r="D771">
        <f t="shared" si="49"/>
        <v>4.4118009208251447E-4</v>
      </c>
      <c r="E771" s="3">
        <f t="shared" ref="E771:E834" si="51">IF(ROUND(A771, 2)=$N$10,$N$6,(E772-$N$5*($N$7-$N$8-($N$6+$N$9)*D771))/(1+$N$5*$N$11+$N$5*D771))</f>
        <v>37033.63403354615</v>
      </c>
    </row>
    <row r="772" spans="1:5" x14ac:dyDescent="0.3">
      <c r="A772">
        <f t="shared" ref="A772:B835" si="52">A771+$N$5</f>
        <v>7.6999999999998803</v>
      </c>
      <c r="B772">
        <f t="shared" si="52"/>
        <v>37.699999999999179</v>
      </c>
      <c r="C772">
        <f t="shared" si="50"/>
        <v>4.4143878896044325E-4</v>
      </c>
      <c r="D772">
        <f t="shared" si="49"/>
        <v>4.4143878896044325E-4</v>
      </c>
      <c r="E772" s="3">
        <f t="shared" si="51"/>
        <v>37073.16969208821</v>
      </c>
    </row>
    <row r="773" spans="1:5" x14ac:dyDescent="0.3">
      <c r="A773">
        <f t="shared" si="52"/>
        <v>7.7099999999998801</v>
      </c>
      <c r="B773">
        <f t="shared" si="52"/>
        <v>37.709999999999177</v>
      </c>
      <c r="C773">
        <f t="shared" si="50"/>
        <v>4.4169778841567011E-4</v>
      </c>
      <c r="D773">
        <f t="shared" si="49"/>
        <v>4.4169778841567011E-4</v>
      </c>
      <c r="E773" s="3">
        <f t="shared" si="51"/>
        <v>37112.721176527404</v>
      </c>
    </row>
    <row r="774" spans="1:5" x14ac:dyDescent="0.3">
      <c r="A774">
        <f t="shared" si="52"/>
        <v>7.7199999999998798</v>
      </c>
      <c r="B774">
        <f t="shared" si="52"/>
        <v>37.719999999999175</v>
      </c>
      <c r="C774">
        <f t="shared" si="50"/>
        <v>4.4195709080209575E-4</v>
      </c>
      <c r="D774">
        <f t="shared" si="49"/>
        <v>4.4195709080209575E-4</v>
      </c>
      <c r="E774" s="3">
        <f t="shared" si="51"/>
        <v>37152.288493278254</v>
      </c>
    </row>
    <row r="775" spans="1:5" x14ac:dyDescent="0.3">
      <c r="A775">
        <f t="shared" si="52"/>
        <v>7.7299999999998796</v>
      </c>
      <c r="B775">
        <f t="shared" si="52"/>
        <v>37.729999999999173</v>
      </c>
      <c r="C775">
        <f t="shared" si="50"/>
        <v>4.4221669647403502E-4</v>
      </c>
      <c r="D775">
        <f t="shared" si="49"/>
        <v>4.4221669647403502E-4</v>
      </c>
      <c r="E775" s="3">
        <f t="shared" si="51"/>
        <v>37191.871648758162</v>
      </c>
    </row>
    <row r="776" spans="1:5" x14ac:dyDescent="0.3">
      <c r="A776">
        <f t="shared" si="52"/>
        <v>7.7399999999998794</v>
      </c>
      <c r="B776">
        <f t="shared" si="52"/>
        <v>37.739999999999171</v>
      </c>
      <c r="C776">
        <f t="shared" si="50"/>
        <v>4.42476605786217E-4</v>
      </c>
      <c r="D776">
        <f t="shared" si="49"/>
        <v>4.42476605786217E-4</v>
      </c>
      <c r="E776" s="3">
        <f t="shared" si="51"/>
        <v>37231.47064938736</v>
      </c>
    </row>
    <row r="777" spans="1:5" x14ac:dyDescent="0.3">
      <c r="A777">
        <f t="shared" si="52"/>
        <v>7.7499999999998792</v>
      </c>
      <c r="B777">
        <f t="shared" si="52"/>
        <v>37.749999999999169</v>
      </c>
      <c r="C777">
        <f t="shared" si="50"/>
        <v>4.4273681909378553E-4</v>
      </c>
      <c r="D777">
        <f t="shared" si="49"/>
        <v>4.4273681909378553E-4</v>
      </c>
      <c r="E777" s="3">
        <f t="shared" si="51"/>
        <v>37271.085501588939</v>
      </c>
    </row>
    <row r="778" spans="1:5" x14ac:dyDescent="0.3">
      <c r="A778">
        <f t="shared" si="52"/>
        <v>7.759999999999879</v>
      </c>
      <c r="B778">
        <f t="shared" si="52"/>
        <v>37.759999999999167</v>
      </c>
      <c r="C778">
        <f t="shared" si="50"/>
        <v>4.4299733675229997E-4</v>
      </c>
      <c r="D778">
        <f t="shared" si="49"/>
        <v>4.4299733675229997E-4</v>
      </c>
      <c r="E778" s="3">
        <f t="shared" si="51"/>
        <v>37310.716211788873</v>
      </c>
    </row>
    <row r="779" spans="1:5" x14ac:dyDescent="0.3">
      <c r="A779">
        <f t="shared" si="52"/>
        <v>7.7699999999998788</v>
      </c>
      <c r="B779">
        <f t="shared" si="52"/>
        <v>37.769999999999165</v>
      </c>
      <c r="C779">
        <f t="shared" si="50"/>
        <v>4.4325815911773567E-4</v>
      </c>
      <c r="D779">
        <f t="shared" si="49"/>
        <v>4.4325815911773567E-4</v>
      </c>
      <c r="E779" s="3">
        <f t="shared" si="51"/>
        <v>37350.362786415972</v>
      </c>
    </row>
    <row r="780" spans="1:5" x14ac:dyDescent="0.3">
      <c r="A780">
        <f t="shared" si="52"/>
        <v>7.7799999999998786</v>
      </c>
      <c r="B780">
        <f t="shared" si="52"/>
        <v>37.779999999999163</v>
      </c>
      <c r="C780">
        <f t="shared" si="50"/>
        <v>4.4351928654648431E-4</v>
      </c>
      <c r="D780">
        <f t="shared" si="49"/>
        <v>4.4351928654648431E-4</v>
      </c>
      <c r="E780" s="3">
        <f t="shared" si="51"/>
        <v>37390.025231901927</v>
      </c>
    </row>
    <row r="781" spans="1:5" x14ac:dyDescent="0.3">
      <c r="A781">
        <f t="shared" si="52"/>
        <v>7.7899999999998784</v>
      </c>
      <c r="B781">
        <f t="shared" si="52"/>
        <v>37.789999999999161</v>
      </c>
      <c r="C781">
        <f t="shared" si="50"/>
        <v>4.4378071939535439E-4</v>
      </c>
      <c r="D781">
        <f t="shared" si="49"/>
        <v>4.4378071939535439E-4</v>
      </c>
      <c r="E781" s="3">
        <f t="shared" si="51"/>
        <v>37429.703554681284</v>
      </c>
    </row>
    <row r="782" spans="1:5" x14ac:dyDescent="0.3">
      <c r="A782">
        <f t="shared" si="52"/>
        <v>7.7999999999998781</v>
      </c>
      <c r="B782">
        <f t="shared" si="52"/>
        <v>37.799999999999159</v>
      </c>
      <c r="C782">
        <f t="shared" si="50"/>
        <v>4.4404245802157142E-4</v>
      </c>
      <c r="D782">
        <f t="shared" si="49"/>
        <v>4.4404245802157142E-4</v>
      </c>
      <c r="E782" s="3">
        <f t="shared" si="51"/>
        <v>37469.39776119146</v>
      </c>
    </row>
    <row r="783" spans="1:5" x14ac:dyDescent="0.3">
      <c r="A783">
        <f t="shared" si="52"/>
        <v>7.8099999999998779</v>
      </c>
      <c r="B783">
        <f t="shared" si="52"/>
        <v>37.809999999999157</v>
      </c>
      <c r="C783">
        <f t="shared" si="50"/>
        <v>4.4430450278277914E-4</v>
      </c>
      <c r="D783">
        <f t="shared" si="49"/>
        <v>4.4430450278277914E-4</v>
      </c>
      <c r="E783" s="3">
        <f t="shared" si="51"/>
        <v>37509.107857872739</v>
      </c>
    </row>
    <row r="784" spans="1:5" x14ac:dyDescent="0.3">
      <c r="A784">
        <f t="shared" si="52"/>
        <v>7.8199999999998777</v>
      </c>
      <c r="B784">
        <f t="shared" si="52"/>
        <v>37.819999999999155</v>
      </c>
      <c r="C784">
        <f t="shared" si="50"/>
        <v>4.4456685403703952E-4</v>
      </c>
      <c r="D784">
        <f t="shared" si="49"/>
        <v>4.4456685403703952E-4</v>
      </c>
      <c r="E784" s="3">
        <f t="shared" si="51"/>
        <v>37548.833851168274</v>
      </c>
    </row>
    <row r="785" spans="1:5" x14ac:dyDescent="0.3">
      <c r="A785">
        <f t="shared" si="52"/>
        <v>7.8299999999998775</v>
      </c>
      <c r="B785">
        <f t="shared" si="52"/>
        <v>37.829999999999153</v>
      </c>
      <c r="C785">
        <f t="shared" si="50"/>
        <v>4.4482951214283323E-4</v>
      </c>
      <c r="D785">
        <f t="shared" si="49"/>
        <v>4.4482951214283323E-4</v>
      </c>
      <c r="E785" s="3">
        <f t="shared" si="51"/>
        <v>37588.575747524083</v>
      </c>
    </row>
    <row r="786" spans="1:5" x14ac:dyDescent="0.3">
      <c r="A786">
        <f t="shared" si="52"/>
        <v>7.8399999999998773</v>
      </c>
      <c r="B786">
        <f t="shared" si="52"/>
        <v>37.839999999999151</v>
      </c>
      <c r="C786">
        <f t="shared" si="50"/>
        <v>4.4509247745906047E-4</v>
      </c>
      <c r="D786">
        <f t="shared" si="49"/>
        <v>4.4509247745906047E-4</v>
      </c>
      <c r="E786" s="3">
        <f t="shared" si="51"/>
        <v>37628.333553389064</v>
      </c>
    </row>
    <row r="787" spans="1:5" x14ac:dyDescent="0.3">
      <c r="A787">
        <f t="shared" si="52"/>
        <v>7.8499999999998771</v>
      </c>
      <c r="B787">
        <f t="shared" si="52"/>
        <v>37.849999999999149</v>
      </c>
      <c r="C787">
        <f t="shared" si="50"/>
        <v>4.4535575034504058E-4</v>
      </c>
      <c r="D787">
        <f t="shared" si="49"/>
        <v>4.4535575034504058E-4</v>
      </c>
      <c r="E787" s="3">
        <f t="shared" si="51"/>
        <v>37668.107275214999</v>
      </c>
    </row>
    <row r="788" spans="1:5" x14ac:dyDescent="0.3">
      <c r="A788">
        <f t="shared" si="52"/>
        <v>7.8599999999998769</v>
      </c>
      <c r="B788">
        <f t="shared" si="52"/>
        <v>37.859999999999147</v>
      </c>
      <c r="C788">
        <f t="shared" si="50"/>
        <v>4.4561933116051385E-4</v>
      </c>
      <c r="D788">
        <f t="shared" si="49"/>
        <v>4.4561933116051385E-4</v>
      </c>
      <c r="E788" s="3">
        <f t="shared" si="51"/>
        <v>37707.896919456536</v>
      </c>
    </row>
    <row r="789" spans="1:5" x14ac:dyDescent="0.3">
      <c r="A789">
        <f t="shared" si="52"/>
        <v>7.8699999999998766</v>
      </c>
      <c r="B789">
        <f t="shared" si="52"/>
        <v>37.869999999999145</v>
      </c>
      <c r="C789">
        <f t="shared" si="50"/>
        <v>4.4588322026564107E-4</v>
      </c>
      <c r="D789">
        <f t="shared" si="49"/>
        <v>4.4588322026564107E-4</v>
      </c>
      <c r="E789" s="3">
        <f t="shared" si="51"/>
        <v>37747.702492571203</v>
      </c>
    </row>
    <row r="790" spans="1:5" x14ac:dyDescent="0.3">
      <c r="A790">
        <f t="shared" si="52"/>
        <v>7.8799999999998764</v>
      </c>
      <c r="B790">
        <f t="shared" si="52"/>
        <v>37.879999999999143</v>
      </c>
      <c r="C790">
        <f t="shared" si="50"/>
        <v>4.4614741802100424E-4</v>
      </c>
      <c r="D790">
        <f t="shared" si="49"/>
        <v>4.4614741802100424E-4</v>
      </c>
      <c r="E790" s="3">
        <f t="shared" si="51"/>
        <v>37787.52400101941</v>
      </c>
    </row>
    <row r="791" spans="1:5" x14ac:dyDescent="0.3">
      <c r="A791">
        <f t="shared" si="52"/>
        <v>7.8899999999998762</v>
      </c>
      <c r="B791">
        <f t="shared" si="52"/>
        <v>37.889999999999141</v>
      </c>
      <c r="C791">
        <f t="shared" si="50"/>
        <v>4.4641192478760741E-4</v>
      </c>
      <c r="D791">
        <f t="shared" ref="D791:D854" si="53">IF(A791&lt;=2, (0.9)^(2-A791)*C791, C791)</f>
        <v>4.4641192478760741E-4</v>
      </c>
      <c r="E791" s="3">
        <f t="shared" si="51"/>
        <v>37827.361451264464</v>
      </c>
    </row>
    <row r="792" spans="1:5" x14ac:dyDescent="0.3">
      <c r="A792">
        <f t="shared" si="52"/>
        <v>7.899999999999876</v>
      </c>
      <c r="B792">
        <f t="shared" si="52"/>
        <v>37.899999999999139</v>
      </c>
      <c r="C792">
        <f t="shared" si="50"/>
        <v>4.4667674092687619E-4</v>
      </c>
      <c r="D792">
        <f t="shared" si="53"/>
        <v>4.4667674092687619E-4</v>
      </c>
      <c r="E792" s="3">
        <f t="shared" si="51"/>
        <v>37867.214849772528</v>
      </c>
    </row>
    <row r="793" spans="1:5" x14ac:dyDescent="0.3">
      <c r="A793">
        <f t="shared" si="52"/>
        <v>7.9099999999998758</v>
      </c>
      <c r="B793">
        <f t="shared" si="52"/>
        <v>37.909999999999137</v>
      </c>
      <c r="C793">
        <f t="shared" si="50"/>
        <v>4.4694186680065948E-4</v>
      </c>
      <c r="D793">
        <f t="shared" si="53"/>
        <v>4.4694186680065948E-4</v>
      </c>
      <c r="E793" s="3">
        <f t="shared" si="51"/>
        <v>37907.084203012681</v>
      </c>
    </row>
    <row r="794" spans="1:5" x14ac:dyDescent="0.3">
      <c r="A794">
        <f t="shared" si="52"/>
        <v>7.9199999999998756</v>
      </c>
      <c r="B794">
        <f t="shared" si="52"/>
        <v>37.919999999999135</v>
      </c>
      <c r="C794">
        <f t="shared" si="50"/>
        <v>4.4720730277122934E-4</v>
      </c>
      <c r="D794">
        <f t="shared" si="53"/>
        <v>4.4720730277122934E-4</v>
      </c>
      <c r="E794" s="3">
        <f t="shared" si="51"/>
        <v>37946.96951745687</v>
      </c>
    </row>
    <row r="795" spans="1:5" x14ac:dyDescent="0.3">
      <c r="A795">
        <f t="shared" si="52"/>
        <v>7.9299999999998754</v>
      </c>
      <c r="B795">
        <f t="shared" si="52"/>
        <v>37.929999999999133</v>
      </c>
      <c r="C795">
        <f t="shared" si="50"/>
        <v>4.4747304920128149E-4</v>
      </c>
      <c r="D795">
        <f t="shared" si="53"/>
        <v>4.4747304920128149E-4</v>
      </c>
      <c r="E795" s="3">
        <f t="shared" si="51"/>
        <v>37986.870799579941</v>
      </c>
    </row>
    <row r="796" spans="1:5" x14ac:dyDescent="0.3">
      <c r="A796">
        <f t="shared" si="52"/>
        <v>7.9399999999998752</v>
      </c>
      <c r="B796">
        <f t="shared" si="52"/>
        <v>37.939999999999131</v>
      </c>
      <c r="C796">
        <f t="shared" si="50"/>
        <v>4.4773910645393606E-4</v>
      </c>
      <c r="D796">
        <f t="shared" si="53"/>
        <v>4.4773910645393606E-4</v>
      </c>
      <c r="E796" s="3">
        <f t="shared" si="51"/>
        <v>38026.78805585963</v>
      </c>
    </row>
    <row r="797" spans="1:5" x14ac:dyDescent="0.3">
      <c r="A797">
        <f t="shared" si="52"/>
        <v>7.9499999999998749</v>
      </c>
      <c r="B797">
        <f t="shared" si="52"/>
        <v>37.949999999999129</v>
      </c>
      <c r="C797">
        <f t="shared" si="50"/>
        <v>4.4800547489273724E-4</v>
      </c>
      <c r="D797">
        <f t="shared" si="53"/>
        <v>4.4800547489273724E-4</v>
      </c>
      <c r="E797" s="3">
        <f t="shared" si="51"/>
        <v>38066.721292776572</v>
      </c>
    </row>
    <row r="798" spans="1:5" x14ac:dyDescent="0.3">
      <c r="A798">
        <f t="shared" si="52"/>
        <v>7.9599999999998747</v>
      </c>
      <c r="B798">
        <f t="shared" si="52"/>
        <v>37.959999999999127</v>
      </c>
      <c r="C798">
        <f t="shared" si="50"/>
        <v>4.4827215488165513E-4</v>
      </c>
      <c r="D798">
        <f t="shared" si="53"/>
        <v>4.4827215488165513E-4</v>
      </c>
      <c r="E798" s="3">
        <f t="shared" si="51"/>
        <v>38106.670516814294</v>
      </c>
    </row>
    <row r="799" spans="1:5" x14ac:dyDescent="0.3">
      <c r="A799">
        <f t="shared" si="52"/>
        <v>7.9699999999998745</v>
      </c>
      <c r="B799">
        <f t="shared" si="52"/>
        <v>37.969999999999125</v>
      </c>
      <c r="C799">
        <f t="shared" si="50"/>
        <v>4.4853914678508525E-4</v>
      </c>
      <c r="D799">
        <f t="shared" si="53"/>
        <v>4.4853914678508525E-4</v>
      </c>
      <c r="E799" s="3">
        <f t="shared" si="51"/>
        <v>38146.635734459211</v>
      </c>
    </row>
    <row r="800" spans="1:5" x14ac:dyDescent="0.3">
      <c r="A800">
        <f t="shared" si="52"/>
        <v>7.9799999999998743</v>
      </c>
      <c r="B800">
        <f t="shared" si="52"/>
        <v>37.979999999999123</v>
      </c>
      <c r="C800">
        <f t="shared" si="50"/>
        <v>4.4880645096784938E-4</v>
      </c>
      <c r="D800">
        <f t="shared" si="53"/>
        <v>4.4880645096784938E-4</v>
      </c>
      <c r="E800" s="3">
        <f t="shared" si="51"/>
        <v>38186.61695220066</v>
      </c>
    </row>
    <row r="801" spans="1:5" x14ac:dyDescent="0.3">
      <c r="A801">
        <f t="shared" si="52"/>
        <v>7.9899999999998741</v>
      </c>
      <c r="B801">
        <f t="shared" si="52"/>
        <v>37.989999999999121</v>
      </c>
      <c r="C801">
        <f t="shared" si="50"/>
        <v>4.4907406779519615E-4</v>
      </c>
      <c r="D801">
        <f t="shared" si="53"/>
        <v>4.4907406779519615E-4</v>
      </c>
      <c r="E801" s="3">
        <f t="shared" si="51"/>
        <v>38226.614176530849</v>
      </c>
    </row>
    <row r="802" spans="1:5" x14ac:dyDescent="0.3">
      <c r="A802">
        <f t="shared" si="52"/>
        <v>7.9999999999998739</v>
      </c>
      <c r="B802">
        <f t="shared" si="52"/>
        <v>37.999999999999119</v>
      </c>
      <c r="C802">
        <f t="shared" si="50"/>
        <v>4.4934199763280088E-4</v>
      </c>
      <c r="D802">
        <f t="shared" si="53"/>
        <v>4.4934199763280088E-4</v>
      </c>
      <c r="E802" s="3">
        <f t="shared" si="51"/>
        <v>38266.627413944931</v>
      </c>
    </row>
    <row r="803" spans="1:5" x14ac:dyDescent="0.3">
      <c r="A803">
        <f t="shared" si="52"/>
        <v>8.0099999999998737</v>
      </c>
      <c r="B803">
        <f t="shared" si="52"/>
        <v>38.009999999999117</v>
      </c>
      <c r="C803">
        <f t="shared" si="50"/>
        <v>4.4961024084676714E-4</v>
      </c>
      <c r="D803">
        <f t="shared" si="53"/>
        <v>4.4961024084676714E-4</v>
      </c>
      <c r="E803" s="3">
        <f t="shared" si="51"/>
        <v>38306.656670940924</v>
      </c>
    </row>
    <row r="804" spans="1:5" x14ac:dyDescent="0.3">
      <c r="A804">
        <f t="shared" si="52"/>
        <v>8.0199999999998735</v>
      </c>
      <c r="B804">
        <f t="shared" si="52"/>
        <v>38.019999999999115</v>
      </c>
      <c r="C804">
        <f t="shared" si="50"/>
        <v>4.4987879780362635E-4</v>
      </c>
      <c r="D804">
        <f t="shared" si="53"/>
        <v>4.4987879780362635E-4</v>
      </c>
      <c r="E804" s="3">
        <f t="shared" si="51"/>
        <v>38346.701954019765</v>
      </c>
    </row>
    <row r="805" spans="1:5" x14ac:dyDescent="0.3">
      <c r="A805">
        <f t="shared" si="52"/>
        <v>8.0299999999998732</v>
      </c>
      <c r="B805">
        <f t="shared" si="52"/>
        <v>38.029999999999113</v>
      </c>
      <c r="C805">
        <f t="shared" si="50"/>
        <v>4.5014766887033902E-4</v>
      </c>
      <c r="D805">
        <f t="shared" si="53"/>
        <v>4.5014766887033902E-4</v>
      </c>
      <c r="E805" s="3">
        <f t="shared" si="51"/>
        <v>38386.763269685325</v>
      </c>
    </row>
    <row r="806" spans="1:5" x14ac:dyDescent="0.3">
      <c r="A806">
        <f t="shared" si="52"/>
        <v>8.039999999999873</v>
      </c>
      <c r="B806">
        <f t="shared" si="52"/>
        <v>38.039999999999111</v>
      </c>
      <c r="C806">
        <f t="shared" si="50"/>
        <v>4.5041685441429461E-4</v>
      </c>
      <c r="D806">
        <f t="shared" si="53"/>
        <v>4.5041685441429461E-4</v>
      </c>
      <c r="E806" s="3">
        <f t="shared" si="51"/>
        <v>38426.840624444347</v>
      </c>
    </row>
    <row r="807" spans="1:5" x14ac:dyDescent="0.3">
      <c r="A807">
        <f t="shared" si="52"/>
        <v>8.0499999999998728</v>
      </c>
      <c r="B807">
        <f t="shared" si="52"/>
        <v>38.049999999999109</v>
      </c>
      <c r="C807">
        <f t="shared" si="50"/>
        <v>4.5068635480331206E-4</v>
      </c>
      <c r="D807">
        <f t="shared" si="53"/>
        <v>4.5068635480331206E-4</v>
      </c>
      <c r="E807" s="3">
        <f t="shared" si="51"/>
        <v>38466.934024806498</v>
      </c>
    </row>
    <row r="808" spans="1:5" x14ac:dyDescent="0.3">
      <c r="A808">
        <f t="shared" si="52"/>
        <v>8.0599999999998726</v>
      </c>
      <c r="B808">
        <f t="shared" si="52"/>
        <v>38.059999999999107</v>
      </c>
      <c r="C808">
        <f t="shared" si="50"/>
        <v>4.5095617040564085E-4</v>
      </c>
      <c r="D808">
        <f t="shared" si="53"/>
        <v>4.5095617040564085E-4</v>
      </c>
      <c r="E808" s="3">
        <f t="shared" si="51"/>
        <v>38507.04347728438</v>
      </c>
    </row>
    <row r="809" spans="1:5" x14ac:dyDescent="0.3">
      <c r="A809">
        <f t="shared" si="52"/>
        <v>8.0699999999998724</v>
      </c>
      <c r="B809">
        <f t="shared" si="52"/>
        <v>38.069999999999105</v>
      </c>
      <c r="C809">
        <f t="shared" si="50"/>
        <v>4.5122630158996122E-4</v>
      </c>
      <c r="D809">
        <f t="shared" si="53"/>
        <v>4.5122630158996122E-4</v>
      </c>
      <c r="E809" s="3">
        <f t="shared" si="51"/>
        <v>38547.168988393489</v>
      </c>
    </row>
    <row r="810" spans="1:5" x14ac:dyDescent="0.3">
      <c r="A810">
        <f t="shared" si="52"/>
        <v>8.0799999999998722</v>
      </c>
      <c r="B810">
        <f t="shared" si="52"/>
        <v>38.079999999999103</v>
      </c>
      <c r="C810">
        <f t="shared" si="50"/>
        <v>4.5149674872538433E-4</v>
      </c>
      <c r="D810">
        <f t="shared" si="53"/>
        <v>4.5149674872538433E-4</v>
      </c>
      <c r="E810" s="3">
        <f t="shared" si="51"/>
        <v>38587.310564652245</v>
      </c>
    </row>
    <row r="811" spans="1:5" x14ac:dyDescent="0.3">
      <c r="A811">
        <f t="shared" si="52"/>
        <v>8.089999999999872</v>
      </c>
      <c r="B811">
        <f t="shared" si="52"/>
        <v>38.089999999999101</v>
      </c>
      <c r="C811">
        <f t="shared" si="50"/>
        <v>4.5176751218145355E-4</v>
      </c>
      <c r="D811">
        <f t="shared" si="53"/>
        <v>4.5176751218145355E-4</v>
      </c>
      <c r="E811" s="3">
        <f t="shared" si="51"/>
        <v>38627.468212581996</v>
      </c>
    </row>
    <row r="812" spans="1:5" x14ac:dyDescent="0.3">
      <c r="A812">
        <f t="shared" si="52"/>
        <v>8.0999999999998717</v>
      </c>
      <c r="B812">
        <f t="shared" si="52"/>
        <v>38.099999999999099</v>
      </c>
      <c r="C812">
        <f t="shared" si="50"/>
        <v>4.5203859232814366E-4</v>
      </c>
      <c r="D812">
        <f t="shared" si="53"/>
        <v>4.5203859232814366E-4</v>
      </c>
      <c r="E812" s="3">
        <f t="shared" si="51"/>
        <v>38667.641938707005</v>
      </c>
    </row>
    <row r="813" spans="1:5" x14ac:dyDescent="0.3">
      <c r="A813">
        <f t="shared" si="52"/>
        <v>8.1099999999998715</v>
      </c>
      <c r="B813">
        <f t="shared" si="52"/>
        <v>38.109999999999097</v>
      </c>
      <c r="C813">
        <f t="shared" si="50"/>
        <v>4.5230998953586289E-4</v>
      </c>
      <c r="D813">
        <f t="shared" si="53"/>
        <v>4.5230998953586289E-4</v>
      </c>
      <c r="E813" s="3">
        <f t="shared" si="51"/>
        <v>38707.831749554462</v>
      </c>
    </row>
    <row r="814" spans="1:5" x14ac:dyDescent="0.3">
      <c r="A814">
        <f t="shared" si="52"/>
        <v>8.1199999999998713</v>
      </c>
      <c r="B814">
        <f t="shared" si="52"/>
        <v>38.119999999999095</v>
      </c>
      <c r="C814">
        <f t="shared" si="50"/>
        <v>4.5258170417545251E-4</v>
      </c>
      <c r="D814">
        <f t="shared" si="53"/>
        <v>4.5258170417545251E-4</v>
      </c>
      <c r="E814" s="3">
        <f t="shared" si="51"/>
        <v>38748.037651654478</v>
      </c>
    </row>
    <row r="815" spans="1:5" x14ac:dyDescent="0.3">
      <c r="A815">
        <f t="shared" si="52"/>
        <v>8.1299999999998711</v>
      </c>
      <c r="B815">
        <f t="shared" si="52"/>
        <v>38.129999999999093</v>
      </c>
      <c r="C815">
        <f t="shared" si="50"/>
        <v>4.5285373661818742E-4</v>
      </c>
      <c r="D815">
        <f t="shared" si="53"/>
        <v>4.5285373661818742E-4</v>
      </c>
      <c r="E815" s="3">
        <f t="shared" si="51"/>
        <v>38788.259651540109</v>
      </c>
    </row>
    <row r="816" spans="1:5" x14ac:dyDescent="0.3">
      <c r="A816">
        <f t="shared" si="52"/>
        <v>8.1399999999998709</v>
      </c>
      <c r="B816">
        <f t="shared" si="52"/>
        <v>38.139999999999091</v>
      </c>
      <c r="C816">
        <f t="shared" si="50"/>
        <v>4.5312608723577718E-4</v>
      </c>
      <c r="D816">
        <f t="shared" si="53"/>
        <v>4.5312608723577718E-4</v>
      </c>
      <c r="E816" s="3">
        <f t="shared" si="51"/>
        <v>38828.497755747303</v>
      </c>
    </row>
    <row r="817" spans="1:5" x14ac:dyDescent="0.3">
      <c r="A817">
        <f t="shared" si="52"/>
        <v>8.1499999999998707</v>
      </c>
      <c r="B817">
        <f t="shared" si="52"/>
        <v>38.149999999999089</v>
      </c>
      <c r="C817">
        <f t="shared" si="50"/>
        <v>4.5339875640036518E-4</v>
      </c>
      <c r="D817">
        <f t="shared" si="53"/>
        <v>4.5339875640036518E-4</v>
      </c>
      <c r="E817" s="3">
        <f t="shared" si="51"/>
        <v>38868.75197081497</v>
      </c>
    </row>
    <row r="818" spans="1:5" x14ac:dyDescent="0.3">
      <c r="A818">
        <f t="shared" si="52"/>
        <v>8.1599999999998705</v>
      </c>
      <c r="B818">
        <f t="shared" si="52"/>
        <v>38.159999999999087</v>
      </c>
      <c r="C818">
        <f t="shared" si="50"/>
        <v>4.5367174448453104E-4</v>
      </c>
      <c r="D818">
        <f t="shared" si="53"/>
        <v>4.5367174448453104E-4</v>
      </c>
      <c r="E818" s="3">
        <f t="shared" si="51"/>
        <v>38909.022303284961</v>
      </c>
    </row>
    <row r="819" spans="1:5" x14ac:dyDescent="0.3">
      <c r="A819">
        <f t="shared" si="52"/>
        <v>8.1699999999998703</v>
      </c>
      <c r="B819">
        <f t="shared" si="52"/>
        <v>38.169999999999085</v>
      </c>
      <c r="C819">
        <f t="shared" si="50"/>
        <v>4.5394505186128976E-4</v>
      </c>
      <c r="D819">
        <f t="shared" si="53"/>
        <v>4.5394505186128976E-4</v>
      </c>
      <c r="E819" s="3">
        <f t="shared" si="51"/>
        <v>38949.308759702035</v>
      </c>
    </row>
    <row r="820" spans="1:5" x14ac:dyDescent="0.3">
      <c r="A820">
        <f t="shared" si="52"/>
        <v>8.17999999999987</v>
      </c>
      <c r="B820">
        <f t="shared" si="52"/>
        <v>38.179999999999083</v>
      </c>
      <c r="C820">
        <f t="shared" si="50"/>
        <v>4.5421867890409261E-4</v>
      </c>
      <c r="D820">
        <f t="shared" si="53"/>
        <v>4.5421867890409261E-4</v>
      </c>
      <c r="E820" s="3">
        <f t="shared" si="51"/>
        <v>38989.6113466139</v>
      </c>
    </row>
    <row r="821" spans="1:5" x14ac:dyDescent="0.3">
      <c r="A821">
        <f t="shared" si="52"/>
        <v>8.1899999999998698</v>
      </c>
      <c r="B821">
        <f t="shared" si="52"/>
        <v>38.189999999999081</v>
      </c>
      <c r="C821">
        <f t="shared" si="50"/>
        <v>4.5449262598682794E-4</v>
      </c>
      <c r="D821">
        <f t="shared" si="53"/>
        <v>4.5449262598682794E-4</v>
      </c>
      <c r="E821" s="3">
        <f t="shared" si="51"/>
        <v>39029.930070571208</v>
      </c>
    </row>
    <row r="822" spans="1:5" x14ac:dyDescent="0.3">
      <c r="A822">
        <f t="shared" si="52"/>
        <v>8.1999999999998696</v>
      </c>
      <c r="B822">
        <f t="shared" si="52"/>
        <v>38.199999999999079</v>
      </c>
      <c r="C822">
        <f t="shared" si="50"/>
        <v>4.5476689348382079E-4</v>
      </c>
      <c r="D822">
        <f t="shared" si="53"/>
        <v>4.5476689348382079E-4</v>
      </c>
      <c r="E822" s="3">
        <f t="shared" si="51"/>
        <v>39070.264938127548</v>
      </c>
    </row>
    <row r="823" spans="1:5" x14ac:dyDescent="0.3">
      <c r="A823">
        <f t="shared" si="52"/>
        <v>8.2099999999998694</v>
      </c>
      <c r="B823">
        <f t="shared" si="52"/>
        <v>38.209999999999077</v>
      </c>
      <c r="C823">
        <f t="shared" si="50"/>
        <v>4.5504148176983453E-4</v>
      </c>
      <c r="D823">
        <f t="shared" si="53"/>
        <v>4.5504148176983453E-4</v>
      </c>
      <c r="E823" s="3">
        <f t="shared" si="51"/>
        <v>39110.615955839443</v>
      </c>
    </row>
    <row r="824" spans="1:5" x14ac:dyDescent="0.3">
      <c r="A824">
        <f t="shared" si="52"/>
        <v>8.2199999999998692</v>
      </c>
      <c r="B824">
        <f t="shared" si="52"/>
        <v>38.219999999999075</v>
      </c>
      <c r="C824">
        <f t="shared" si="50"/>
        <v>4.5531639122007076E-4</v>
      </c>
      <c r="D824">
        <f t="shared" si="53"/>
        <v>4.5531639122007076E-4</v>
      </c>
      <c r="E824" s="3">
        <f t="shared" si="51"/>
        <v>39150.983130266381</v>
      </c>
    </row>
    <row r="825" spans="1:5" x14ac:dyDescent="0.3">
      <c r="A825">
        <f t="shared" si="52"/>
        <v>8.229999999999869</v>
      </c>
      <c r="B825">
        <f t="shared" si="52"/>
        <v>38.229999999999073</v>
      </c>
      <c r="C825">
        <f t="shared" si="50"/>
        <v>4.5559162221016998E-4</v>
      </c>
      <c r="D825">
        <f t="shared" si="53"/>
        <v>4.5559162221016998E-4</v>
      </c>
      <c r="E825" s="3">
        <f t="shared" si="51"/>
        <v>39191.36646797078</v>
      </c>
    </row>
    <row r="826" spans="1:5" x14ac:dyDescent="0.3">
      <c r="A826">
        <f t="shared" si="52"/>
        <v>8.2399999999998688</v>
      </c>
      <c r="B826">
        <f t="shared" si="52"/>
        <v>38.239999999999071</v>
      </c>
      <c r="C826">
        <f t="shared" si="50"/>
        <v>4.558671751162121E-4</v>
      </c>
      <c r="D826">
        <f t="shared" si="53"/>
        <v>4.558671751162121E-4</v>
      </c>
      <c r="E826" s="3">
        <f t="shared" si="51"/>
        <v>39231.765975518014</v>
      </c>
    </row>
    <row r="827" spans="1:5" x14ac:dyDescent="0.3">
      <c r="A827">
        <f t="shared" si="52"/>
        <v>8.2499999999998685</v>
      </c>
      <c r="B827">
        <f t="shared" si="52"/>
        <v>38.249999999999069</v>
      </c>
      <c r="C827">
        <f t="shared" si="50"/>
        <v>4.5614305031471631E-4</v>
      </c>
      <c r="D827">
        <f t="shared" si="53"/>
        <v>4.5614305031471631E-4</v>
      </c>
      <c r="E827" s="3">
        <f t="shared" si="51"/>
        <v>39272.18165947641</v>
      </c>
    </row>
    <row r="828" spans="1:5" x14ac:dyDescent="0.3">
      <c r="A828">
        <f t="shared" si="52"/>
        <v>8.2599999999998683</v>
      </c>
      <c r="B828">
        <f t="shared" si="52"/>
        <v>38.259999999999067</v>
      </c>
      <c r="C828">
        <f t="shared" si="50"/>
        <v>4.564192481826429E-4</v>
      </c>
      <c r="D828">
        <f t="shared" si="53"/>
        <v>4.564192481826429E-4</v>
      </c>
      <c r="E828" s="3">
        <f t="shared" si="51"/>
        <v>39312.613526417226</v>
      </c>
    </row>
    <row r="829" spans="1:5" x14ac:dyDescent="0.3">
      <c r="A829">
        <f t="shared" si="52"/>
        <v>8.2699999999998681</v>
      </c>
      <c r="B829">
        <f t="shared" si="52"/>
        <v>38.269999999999065</v>
      </c>
      <c r="C829">
        <f t="shared" si="50"/>
        <v>4.5669576909739278E-4</v>
      </c>
      <c r="D829">
        <f t="shared" si="53"/>
        <v>4.5669576909739278E-4</v>
      </c>
      <c r="E829" s="3">
        <f t="shared" si="51"/>
        <v>39353.061582914699</v>
      </c>
    </row>
    <row r="830" spans="1:5" x14ac:dyDescent="0.3">
      <c r="A830">
        <f t="shared" si="52"/>
        <v>8.2799999999998679</v>
      </c>
      <c r="B830">
        <f t="shared" si="52"/>
        <v>38.279999999999063</v>
      </c>
      <c r="C830">
        <f t="shared" si="50"/>
        <v>4.5697261343680828E-4</v>
      </c>
      <c r="D830">
        <f t="shared" si="53"/>
        <v>4.5697261343680828E-4</v>
      </c>
      <c r="E830" s="3">
        <f t="shared" si="51"/>
        <v>39393.525835546025</v>
      </c>
    </row>
    <row r="831" spans="1:5" x14ac:dyDescent="0.3">
      <c r="A831">
        <f t="shared" si="52"/>
        <v>8.2899999999998677</v>
      </c>
      <c r="B831">
        <f t="shared" si="52"/>
        <v>38.289999999999061</v>
      </c>
      <c r="C831">
        <f t="shared" si="50"/>
        <v>4.572497815791739E-4</v>
      </c>
      <c r="D831">
        <f t="shared" si="53"/>
        <v>4.572497815791739E-4</v>
      </c>
      <c r="E831" s="3">
        <f t="shared" si="51"/>
        <v>39434.006290891339</v>
      </c>
    </row>
    <row r="832" spans="1:5" x14ac:dyDescent="0.3">
      <c r="A832">
        <f t="shared" si="52"/>
        <v>8.2999999999998675</v>
      </c>
      <c r="B832">
        <f t="shared" si="52"/>
        <v>38.299999999999059</v>
      </c>
      <c r="C832">
        <f t="shared" si="50"/>
        <v>4.5752727390321597E-4</v>
      </c>
      <c r="D832">
        <f t="shared" si="53"/>
        <v>4.5752727390321597E-4</v>
      </c>
      <c r="E832" s="3">
        <f t="shared" si="51"/>
        <v>39474.502955533739</v>
      </c>
    </row>
    <row r="833" spans="1:5" x14ac:dyDescent="0.3">
      <c r="A833">
        <f t="shared" si="52"/>
        <v>8.3099999999998673</v>
      </c>
      <c r="B833">
        <f t="shared" si="52"/>
        <v>38.309999999999057</v>
      </c>
      <c r="C833">
        <f t="shared" si="50"/>
        <v>4.578050907881044E-4</v>
      </c>
      <c r="D833">
        <f t="shared" si="53"/>
        <v>4.578050907881044E-4</v>
      </c>
      <c r="E833" s="3">
        <f t="shared" si="51"/>
        <v>39515.015836059312</v>
      </c>
    </row>
    <row r="834" spans="1:5" x14ac:dyDescent="0.3">
      <c r="A834">
        <f t="shared" si="52"/>
        <v>8.3199999999998671</v>
      </c>
      <c r="B834">
        <f t="shared" si="52"/>
        <v>38.319999999999055</v>
      </c>
      <c r="C834">
        <f t="shared" si="50"/>
        <v>4.5808323261345234E-4</v>
      </c>
      <c r="D834">
        <f t="shared" si="53"/>
        <v>4.5808323261345234E-4</v>
      </c>
      <c r="E834" s="3">
        <f t="shared" si="51"/>
        <v>39555.544939057072</v>
      </c>
    </row>
    <row r="835" spans="1:5" x14ac:dyDescent="0.3">
      <c r="A835">
        <f t="shared" si="52"/>
        <v>8.3299999999998668</v>
      </c>
      <c r="B835">
        <f t="shared" si="52"/>
        <v>38.329999999999053</v>
      </c>
      <c r="C835">
        <f t="shared" ref="C835:C898" si="54">$N$2 + $N$3*$N$4^(B835)</f>
        <v>4.5836169975931696E-4</v>
      </c>
      <c r="D835">
        <f t="shared" si="53"/>
        <v>4.5836169975931696E-4</v>
      </c>
      <c r="E835" s="3">
        <f t="shared" ref="E835:E898" si="55">IF(ROUND(A835, 2)=$N$10,$N$6,(E836-$N$5*($N$7-$N$8-($N$6+$N$9)*D835))/(1+$N$5*$N$11+$N$5*D835))</f>
        <v>39596.090271119021</v>
      </c>
    </row>
    <row r="836" spans="1:5" x14ac:dyDescent="0.3">
      <c r="A836">
        <f t="shared" ref="A836:B899" si="56">A835+$N$5</f>
        <v>8.3399999999998666</v>
      </c>
      <c r="B836">
        <f t="shared" si="56"/>
        <v>38.339999999999051</v>
      </c>
      <c r="C836">
        <f t="shared" si="54"/>
        <v>4.5864049260620015E-4</v>
      </c>
      <c r="D836">
        <f t="shared" si="53"/>
        <v>4.5864049260620015E-4</v>
      </c>
      <c r="E836" s="3">
        <f t="shared" si="55"/>
        <v>39636.651838840109</v>
      </c>
    </row>
    <row r="837" spans="1:5" x14ac:dyDescent="0.3">
      <c r="A837">
        <f t="shared" si="56"/>
        <v>8.3499999999998664</v>
      </c>
      <c r="B837">
        <f t="shared" si="56"/>
        <v>38.349999999999049</v>
      </c>
      <c r="C837">
        <f t="shared" si="54"/>
        <v>4.5891961153504836E-4</v>
      </c>
      <c r="D837">
        <f t="shared" si="53"/>
        <v>4.5891961153504836E-4</v>
      </c>
      <c r="E837" s="3">
        <f t="shared" si="55"/>
        <v>39677.229648818284</v>
      </c>
    </row>
    <row r="838" spans="1:5" x14ac:dyDescent="0.3">
      <c r="A838">
        <f t="shared" si="56"/>
        <v>8.3599999999998662</v>
      </c>
      <c r="B838">
        <f t="shared" si="56"/>
        <v>38.359999999999047</v>
      </c>
      <c r="C838">
        <f t="shared" si="54"/>
        <v>4.5919905692725401E-4</v>
      </c>
      <c r="D838">
        <f t="shared" si="53"/>
        <v>4.5919905692725401E-4</v>
      </c>
      <c r="E838" s="3">
        <f t="shared" si="55"/>
        <v>39717.823707654446</v>
      </c>
    </row>
    <row r="839" spans="1:5" x14ac:dyDescent="0.3">
      <c r="A839">
        <f t="shared" si="56"/>
        <v>8.369999999999866</v>
      </c>
      <c r="B839">
        <f t="shared" si="56"/>
        <v>38.369999999999045</v>
      </c>
      <c r="C839">
        <f t="shared" si="54"/>
        <v>4.5947882916465543E-4</v>
      </c>
      <c r="D839">
        <f t="shared" si="53"/>
        <v>4.5947882916465543E-4</v>
      </c>
      <c r="E839" s="3">
        <f t="shared" si="55"/>
        <v>39758.434021952482</v>
      </c>
    </row>
    <row r="840" spans="1:5" x14ac:dyDescent="0.3">
      <c r="A840">
        <f t="shared" si="56"/>
        <v>8.3799999999998658</v>
      </c>
      <c r="B840">
        <f t="shared" si="56"/>
        <v>38.379999999999043</v>
      </c>
      <c r="C840">
        <f t="shared" si="54"/>
        <v>4.5975892862953779E-4</v>
      </c>
      <c r="D840">
        <f t="shared" si="53"/>
        <v>4.5975892862953779E-4</v>
      </c>
      <c r="E840" s="3">
        <f t="shared" si="55"/>
        <v>39799.060598319236</v>
      </c>
    </row>
    <row r="841" spans="1:5" x14ac:dyDescent="0.3">
      <c r="A841">
        <f t="shared" si="56"/>
        <v>8.3899999999998656</v>
      </c>
      <c r="B841">
        <f t="shared" si="56"/>
        <v>38.389999999999041</v>
      </c>
      <c r="C841">
        <f t="shared" si="54"/>
        <v>4.6003935570463326E-4</v>
      </c>
      <c r="D841">
        <f t="shared" si="53"/>
        <v>4.6003935570463326E-4</v>
      </c>
      <c r="E841" s="3">
        <f t="shared" si="55"/>
        <v>39839.703443364553</v>
      </c>
    </row>
    <row r="842" spans="1:5" x14ac:dyDescent="0.3">
      <c r="A842">
        <f t="shared" si="56"/>
        <v>8.3999999999998654</v>
      </c>
      <c r="B842">
        <f t="shared" si="56"/>
        <v>38.399999999999039</v>
      </c>
      <c r="C842">
        <f t="shared" si="54"/>
        <v>4.6032011077312137E-4</v>
      </c>
      <c r="D842">
        <f t="shared" si="53"/>
        <v>4.6032011077312137E-4</v>
      </c>
      <c r="E842" s="3">
        <f t="shared" si="55"/>
        <v>39880.362563701223</v>
      </c>
    </row>
    <row r="843" spans="1:5" x14ac:dyDescent="0.3">
      <c r="A843">
        <f t="shared" si="56"/>
        <v>8.4099999999998651</v>
      </c>
      <c r="B843">
        <f t="shared" si="56"/>
        <v>38.409999999999037</v>
      </c>
      <c r="C843">
        <f t="shared" si="54"/>
        <v>4.6060119421863016E-4</v>
      </c>
      <c r="D843">
        <f t="shared" si="53"/>
        <v>4.6060119421863016E-4</v>
      </c>
      <c r="E843" s="3">
        <f t="shared" si="55"/>
        <v>39921.037965945055</v>
      </c>
    </row>
    <row r="844" spans="1:5" x14ac:dyDescent="0.3">
      <c r="A844">
        <f t="shared" si="56"/>
        <v>8.4199999999998649</v>
      </c>
      <c r="B844">
        <f t="shared" si="56"/>
        <v>38.419999999999035</v>
      </c>
      <c r="C844">
        <f t="shared" si="54"/>
        <v>4.6088260642523633E-4</v>
      </c>
      <c r="D844">
        <f t="shared" si="53"/>
        <v>4.6088260642523633E-4</v>
      </c>
      <c r="E844" s="3">
        <f t="shared" si="55"/>
        <v>39961.72965671483</v>
      </c>
    </row>
    <row r="845" spans="1:5" x14ac:dyDescent="0.3">
      <c r="A845">
        <f t="shared" si="56"/>
        <v>8.4299999999998647</v>
      </c>
      <c r="B845">
        <f t="shared" si="56"/>
        <v>38.429999999999033</v>
      </c>
      <c r="C845">
        <f t="shared" si="54"/>
        <v>4.6116434777746581E-4</v>
      </c>
      <c r="D845">
        <f t="shared" si="53"/>
        <v>4.6116434777746581E-4</v>
      </c>
      <c r="E845" s="3">
        <f t="shared" si="55"/>
        <v>40002.437642632307</v>
      </c>
    </row>
    <row r="846" spans="1:5" x14ac:dyDescent="0.3">
      <c r="A846">
        <f t="shared" si="56"/>
        <v>8.4399999999998645</v>
      </c>
      <c r="B846">
        <f t="shared" si="56"/>
        <v>38.439999999999031</v>
      </c>
      <c r="C846">
        <f t="shared" si="54"/>
        <v>4.6144641866029427E-4</v>
      </c>
      <c r="D846">
        <f t="shared" si="53"/>
        <v>4.6144641866029427E-4</v>
      </c>
      <c r="E846" s="3">
        <f t="shared" si="55"/>
        <v>40043.161930322232</v>
      </c>
    </row>
    <row r="847" spans="1:5" x14ac:dyDescent="0.3">
      <c r="A847">
        <f t="shared" si="56"/>
        <v>8.4499999999998643</v>
      </c>
      <c r="B847">
        <f t="shared" si="56"/>
        <v>38.449999999999029</v>
      </c>
      <c r="C847">
        <f t="shared" si="54"/>
        <v>4.6172881945914741E-4</v>
      </c>
      <c r="D847">
        <f t="shared" si="53"/>
        <v>4.6172881945914741E-4</v>
      </c>
      <c r="E847" s="3">
        <f t="shared" si="55"/>
        <v>40083.902526412341</v>
      </c>
    </row>
    <row r="848" spans="1:5" x14ac:dyDescent="0.3">
      <c r="A848">
        <f t="shared" si="56"/>
        <v>8.4599999999998641</v>
      </c>
      <c r="B848">
        <f t="shared" si="56"/>
        <v>38.459999999999027</v>
      </c>
      <c r="C848">
        <f t="shared" si="54"/>
        <v>4.6201155055990194E-4</v>
      </c>
      <c r="D848">
        <f t="shared" si="53"/>
        <v>4.6201155055990194E-4</v>
      </c>
      <c r="E848" s="3">
        <f t="shared" si="55"/>
        <v>40124.659437533381</v>
      </c>
    </row>
    <row r="849" spans="1:5" x14ac:dyDescent="0.3">
      <c r="A849">
        <f t="shared" si="56"/>
        <v>8.4699999999998639</v>
      </c>
      <c r="B849">
        <f t="shared" si="56"/>
        <v>38.469999999999025</v>
      </c>
      <c r="C849">
        <f t="shared" si="54"/>
        <v>4.6229461234888609E-4</v>
      </c>
      <c r="D849">
        <f t="shared" si="53"/>
        <v>4.6229461234888609E-4</v>
      </c>
      <c r="E849" s="3">
        <f t="shared" si="55"/>
        <v>40165.432670319053</v>
      </c>
    </row>
    <row r="850" spans="1:5" x14ac:dyDescent="0.3">
      <c r="A850">
        <f t="shared" si="56"/>
        <v>8.4799999999998636</v>
      </c>
      <c r="B850">
        <f t="shared" si="56"/>
        <v>38.479999999999023</v>
      </c>
      <c r="C850">
        <f t="shared" si="54"/>
        <v>4.6257800521287966E-4</v>
      </c>
      <c r="D850">
        <f t="shared" si="53"/>
        <v>4.6257800521287966E-4</v>
      </c>
      <c r="E850" s="3">
        <f t="shared" si="55"/>
        <v>40206.222231406093</v>
      </c>
    </row>
    <row r="851" spans="1:5" x14ac:dyDescent="0.3">
      <c r="A851">
        <f t="shared" si="56"/>
        <v>8.4899999999998634</v>
      </c>
      <c r="B851">
        <f t="shared" si="56"/>
        <v>38.489999999999021</v>
      </c>
      <c r="C851">
        <f t="shared" si="54"/>
        <v>4.6286172953911511E-4</v>
      </c>
      <c r="D851">
        <f t="shared" si="53"/>
        <v>4.6286172953911511E-4</v>
      </c>
      <c r="E851" s="3">
        <f t="shared" si="55"/>
        <v>40247.028127434205</v>
      </c>
    </row>
    <row r="852" spans="1:5" x14ac:dyDescent="0.3">
      <c r="A852">
        <f t="shared" si="56"/>
        <v>8.4999999999998632</v>
      </c>
      <c r="B852">
        <f t="shared" si="56"/>
        <v>38.499999999999019</v>
      </c>
      <c r="C852">
        <f t="shared" si="54"/>
        <v>4.6314578571527733E-4</v>
      </c>
      <c r="D852">
        <f t="shared" si="53"/>
        <v>4.6314578571527733E-4</v>
      </c>
      <c r="E852" s="3">
        <f t="shared" si="55"/>
        <v>40287.850365046121</v>
      </c>
    </row>
    <row r="853" spans="1:5" x14ac:dyDescent="0.3">
      <c r="A853">
        <f t="shared" si="56"/>
        <v>8.509999999999863</v>
      </c>
      <c r="B853">
        <f t="shared" si="56"/>
        <v>38.509999999999017</v>
      </c>
      <c r="C853">
        <f t="shared" si="54"/>
        <v>4.63430174129505E-4</v>
      </c>
      <c r="D853">
        <f t="shared" si="53"/>
        <v>4.63430174129505E-4</v>
      </c>
      <c r="E853" s="3">
        <f t="shared" si="55"/>
        <v>40328.688950887547</v>
      </c>
    </row>
    <row r="854" spans="1:5" x14ac:dyDescent="0.3">
      <c r="A854">
        <f t="shared" si="56"/>
        <v>8.5199999999998628</v>
      </c>
      <c r="B854">
        <f t="shared" si="56"/>
        <v>38.519999999999015</v>
      </c>
      <c r="C854">
        <f t="shared" si="54"/>
        <v>4.6371489517039083E-4</v>
      </c>
      <c r="D854">
        <f t="shared" si="53"/>
        <v>4.6371489517039083E-4</v>
      </c>
      <c r="E854" s="3">
        <f t="shared" si="55"/>
        <v>40369.543891607194</v>
      </c>
    </row>
    <row r="855" spans="1:5" x14ac:dyDescent="0.3">
      <c r="A855">
        <f t="shared" si="56"/>
        <v>8.5299999999998626</v>
      </c>
      <c r="B855">
        <f t="shared" si="56"/>
        <v>38.529999999999013</v>
      </c>
      <c r="C855">
        <f t="shared" si="54"/>
        <v>4.6399994922698194E-4</v>
      </c>
      <c r="D855">
        <f t="shared" ref="D855:D918" si="57">IF(A855&lt;=2, (0.9)^(2-A855)*C855, C855)</f>
        <v>4.6399994922698194E-4</v>
      </c>
      <c r="E855" s="3">
        <f t="shared" si="55"/>
        <v>40410.415193856803</v>
      </c>
    </row>
    <row r="856" spans="1:5" x14ac:dyDescent="0.3">
      <c r="A856">
        <f t="shared" si="56"/>
        <v>8.5399999999998624</v>
      </c>
      <c r="B856">
        <f t="shared" si="56"/>
        <v>38.539999999999011</v>
      </c>
      <c r="C856">
        <f t="shared" si="54"/>
        <v>4.6428533668878074E-4</v>
      </c>
      <c r="D856">
        <f t="shared" si="57"/>
        <v>4.6428533668878074E-4</v>
      </c>
      <c r="E856" s="3">
        <f t="shared" si="55"/>
        <v>40451.302864291094</v>
      </c>
    </row>
    <row r="857" spans="1:5" x14ac:dyDescent="0.3">
      <c r="A857">
        <f t="shared" si="56"/>
        <v>8.5499999999998622</v>
      </c>
      <c r="B857">
        <f t="shared" si="56"/>
        <v>38.54999999999901</v>
      </c>
      <c r="C857">
        <f t="shared" si="54"/>
        <v>4.6457105794574444E-4</v>
      </c>
      <c r="D857">
        <f t="shared" si="57"/>
        <v>4.6457105794574444E-4</v>
      </c>
      <c r="E857" s="3">
        <f t="shared" si="55"/>
        <v>40492.206909567816</v>
      </c>
    </row>
    <row r="858" spans="1:5" x14ac:dyDescent="0.3">
      <c r="A858">
        <f t="shared" si="56"/>
        <v>8.5599999999998619</v>
      </c>
      <c r="B858">
        <f t="shared" si="56"/>
        <v>38.559999999999008</v>
      </c>
      <c r="C858">
        <f t="shared" si="54"/>
        <v>4.648571133882872E-4</v>
      </c>
      <c r="D858">
        <f t="shared" si="57"/>
        <v>4.648571133882872E-4</v>
      </c>
      <c r="E858" s="3">
        <f t="shared" si="55"/>
        <v>40533.12733634773</v>
      </c>
    </row>
    <row r="859" spans="1:5" x14ac:dyDescent="0.3">
      <c r="A859">
        <f t="shared" si="56"/>
        <v>8.5699999999998617</v>
      </c>
      <c r="B859">
        <f t="shared" si="56"/>
        <v>38.569999999999006</v>
      </c>
      <c r="C859">
        <f t="shared" si="54"/>
        <v>4.6514350340727941E-4</v>
      </c>
      <c r="D859">
        <f t="shared" si="57"/>
        <v>4.6514350340727941E-4</v>
      </c>
      <c r="E859" s="3">
        <f t="shared" si="55"/>
        <v>40574.06415129458</v>
      </c>
    </row>
    <row r="860" spans="1:5" x14ac:dyDescent="0.3">
      <c r="A860">
        <f t="shared" si="56"/>
        <v>8.5799999999998615</v>
      </c>
      <c r="B860">
        <f t="shared" si="56"/>
        <v>38.579999999999004</v>
      </c>
      <c r="C860">
        <f t="shared" si="54"/>
        <v>4.6543022839404865E-4</v>
      </c>
      <c r="D860">
        <f t="shared" si="57"/>
        <v>4.6543022839404865E-4</v>
      </c>
      <c r="E860" s="3">
        <f t="shared" si="55"/>
        <v>40615.017361075152</v>
      </c>
    </row>
    <row r="861" spans="1:5" x14ac:dyDescent="0.3">
      <c r="A861">
        <f t="shared" si="56"/>
        <v>8.5899999999998613</v>
      </c>
      <c r="B861">
        <f t="shared" si="56"/>
        <v>38.589999999999002</v>
      </c>
      <c r="C861">
        <f t="shared" si="54"/>
        <v>4.657172887403806E-4</v>
      </c>
      <c r="D861">
        <f t="shared" si="57"/>
        <v>4.657172887403806E-4</v>
      </c>
      <c r="E861" s="3">
        <f t="shared" si="55"/>
        <v>40655.986972359256</v>
      </c>
    </row>
    <row r="862" spans="1:5" x14ac:dyDescent="0.3">
      <c r="A862">
        <f t="shared" si="56"/>
        <v>8.5999999999998611</v>
      </c>
      <c r="B862">
        <f t="shared" si="56"/>
        <v>38.599999999999</v>
      </c>
      <c r="C862">
        <f t="shared" si="54"/>
        <v>4.6600468483851837E-4</v>
      </c>
      <c r="D862">
        <f t="shared" si="57"/>
        <v>4.6600468483851837E-4</v>
      </c>
      <c r="E862" s="3">
        <f t="shared" si="55"/>
        <v>40696.972991819697</v>
      </c>
    </row>
    <row r="863" spans="1:5" x14ac:dyDescent="0.3">
      <c r="A863">
        <f t="shared" si="56"/>
        <v>8.6099999999998609</v>
      </c>
      <c r="B863">
        <f t="shared" si="56"/>
        <v>38.609999999998998</v>
      </c>
      <c r="C863">
        <f t="shared" si="54"/>
        <v>4.6629241708116441E-4</v>
      </c>
      <c r="D863">
        <f t="shared" si="57"/>
        <v>4.6629241708116441E-4</v>
      </c>
      <c r="E863" s="3">
        <f t="shared" si="55"/>
        <v>40737.975426132318</v>
      </c>
    </row>
    <row r="864" spans="1:5" x14ac:dyDescent="0.3">
      <c r="A864">
        <f t="shared" si="56"/>
        <v>8.6199999999998607</v>
      </c>
      <c r="B864">
        <f t="shared" si="56"/>
        <v>38.619999999998996</v>
      </c>
      <c r="C864">
        <f t="shared" si="54"/>
        <v>4.6658048586148068E-4</v>
      </c>
      <c r="D864">
        <f t="shared" si="57"/>
        <v>4.6658048586148068E-4</v>
      </c>
      <c r="E864" s="3">
        <f t="shared" si="55"/>
        <v>40778.994281975967</v>
      </c>
    </row>
    <row r="865" spans="1:5" x14ac:dyDescent="0.3">
      <c r="A865">
        <f t="shared" si="56"/>
        <v>8.6299999999998604</v>
      </c>
      <c r="B865">
        <f t="shared" si="56"/>
        <v>38.629999999998994</v>
      </c>
      <c r="C865">
        <f t="shared" si="54"/>
        <v>4.6686889157308842E-4</v>
      </c>
      <c r="D865">
        <f t="shared" si="57"/>
        <v>4.6686889157308842E-4</v>
      </c>
      <c r="E865" s="3">
        <f t="shared" si="55"/>
        <v>40820.02956603255</v>
      </c>
    </row>
    <row r="866" spans="1:5" x14ac:dyDescent="0.3">
      <c r="A866">
        <f t="shared" si="56"/>
        <v>8.6399999999998602</v>
      </c>
      <c r="B866">
        <f t="shared" si="56"/>
        <v>38.639999999998992</v>
      </c>
      <c r="C866">
        <f t="shared" si="54"/>
        <v>4.6715763461006984E-4</v>
      </c>
      <c r="D866">
        <f t="shared" si="57"/>
        <v>4.6715763461006984E-4</v>
      </c>
      <c r="E866" s="3">
        <f t="shared" si="55"/>
        <v>40861.081284986962</v>
      </c>
    </row>
    <row r="867" spans="1:5" x14ac:dyDescent="0.3">
      <c r="A867">
        <f t="shared" si="56"/>
        <v>8.64999999999986</v>
      </c>
      <c r="B867">
        <f t="shared" si="56"/>
        <v>38.64999999999899</v>
      </c>
      <c r="C867">
        <f t="shared" si="54"/>
        <v>4.6744671536696743E-4</v>
      </c>
      <c r="D867">
        <f t="shared" si="57"/>
        <v>4.6744671536696743E-4</v>
      </c>
      <c r="E867" s="3">
        <f t="shared" si="55"/>
        <v>40902.14944552716</v>
      </c>
    </row>
    <row r="868" spans="1:5" x14ac:dyDescent="0.3">
      <c r="A868">
        <f t="shared" si="56"/>
        <v>8.6599999999998598</v>
      </c>
      <c r="B868">
        <f t="shared" si="56"/>
        <v>38.659999999998988</v>
      </c>
      <c r="C868">
        <f t="shared" si="54"/>
        <v>4.6773613423878562E-4</v>
      </c>
      <c r="D868">
        <f t="shared" si="57"/>
        <v>4.6773613423878562E-4</v>
      </c>
      <c r="E868" s="3">
        <f t="shared" si="55"/>
        <v>40943.234054344095</v>
      </c>
    </row>
    <row r="869" spans="1:5" x14ac:dyDescent="0.3">
      <c r="A869">
        <f t="shared" si="56"/>
        <v>8.6699999999998596</v>
      </c>
      <c r="B869">
        <f t="shared" si="56"/>
        <v>38.669999999998986</v>
      </c>
      <c r="C869">
        <f t="shared" si="54"/>
        <v>4.6802589162099075E-4</v>
      </c>
      <c r="D869">
        <f t="shared" si="57"/>
        <v>4.6802589162099075E-4</v>
      </c>
      <c r="E869" s="3">
        <f t="shared" si="55"/>
        <v>40984.335118131792</v>
      </c>
    </row>
    <row r="870" spans="1:5" x14ac:dyDescent="0.3">
      <c r="A870">
        <f t="shared" si="56"/>
        <v>8.6799999999998594</v>
      </c>
      <c r="B870">
        <f t="shared" si="56"/>
        <v>38.679999999998984</v>
      </c>
      <c r="C870">
        <f t="shared" si="54"/>
        <v>4.6831598790951165E-4</v>
      </c>
      <c r="D870">
        <f t="shared" si="57"/>
        <v>4.6831598790951165E-4</v>
      </c>
      <c r="E870" s="3">
        <f t="shared" si="55"/>
        <v>41025.452643587283</v>
      </c>
    </row>
    <row r="871" spans="1:5" x14ac:dyDescent="0.3">
      <c r="A871">
        <f t="shared" si="56"/>
        <v>8.6899999999998592</v>
      </c>
      <c r="B871">
        <f t="shared" si="56"/>
        <v>38.689999999998982</v>
      </c>
      <c r="C871">
        <f t="shared" si="54"/>
        <v>4.6860642350074054E-4</v>
      </c>
      <c r="D871">
        <f t="shared" si="57"/>
        <v>4.6860642350074054E-4</v>
      </c>
      <c r="E871" s="3">
        <f t="shared" si="55"/>
        <v>41066.586637410648</v>
      </c>
    </row>
    <row r="872" spans="1:5" x14ac:dyDescent="0.3">
      <c r="A872">
        <f t="shared" si="56"/>
        <v>8.699999999999859</v>
      </c>
      <c r="B872">
        <f t="shared" si="56"/>
        <v>38.69999999999898</v>
      </c>
      <c r="C872">
        <f t="shared" si="54"/>
        <v>4.6889719879153252E-4</v>
      </c>
      <c r="D872">
        <f t="shared" si="57"/>
        <v>4.6889719879153252E-4</v>
      </c>
      <c r="E872" s="3">
        <f t="shared" si="55"/>
        <v>41107.737106305009</v>
      </c>
    </row>
    <row r="873" spans="1:5" x14ac:dyDescent="0.3">
      <c r="A873">
        <f t="shared" si="56"/>
        <v>8.7099999999998587</v>
      </c>
      <c r="B873">
        <f t="shared" si="56"/>
        <v>38.709999999998978</v>
      </c>
      <c r="C873">
        <f t="shared" si="54"/>
        <v>4.6918831417920744E-4</v>
      </c>
      <c r="D873">
        <f t="shared" si="57"/>
        <v>4.6918831417920744E-4</v>
      </c>
      <c r="E873" s="3">
        <f t="shared" si="55"/>
        <v>41148.90405697652</v>
      </c>
    </row>
    <row r="874" spans="1:5" x14ac:dyDescent="0.3">
      <c r="A874">
        <f t="shared" si="56"/>
        <v>8.7199999999998585</v>
      </c>
      <c r="B874">
        <f t="shared" si="56"/>
        <v>38.719999999998976</v>
      </c>
      <c r="C874">
        <f t="shared" si="54"/>
        <v>4.6947977006154987E-4</v>
      </c>
      <c r="D874">
        <f t="shared" si="57"/>
        <v>4.6947977006154987E-4</v>
      </c>
      <c r="E874" s="3">
        <f t="shared" si="55"/>
        <v>41190.08749613438</v>
      </c>
    </row>
    <row r="875" spans="1:5" x14ac:dyDescent="0.3">
      <c r="A875">
        <f t="shared" si="56"/>
        <v>8.7299999999998583</v>
      </c>
      <c r="B875">
        <f t="shared" si="56"/>
        <v>38.729999999998974</v>
      </c>
      <c r="C875">
        <f t="shared" si="54"/>
        <v>4.697715668368096E-4</v>
      </c>
      <c r="D875">
        <f t="shared" si="57"/>
        <v>4.697715668368096E-4</v>
      </c>
      <c r="E875" s="3">
        <f t="shared" si="55"/>
        <v>41231.287430490833</v>
      </c>
    </row>
    <row r="876" spans="1:5" x14ac:dyDescent="0.3">
      <c r="A876">
        <f t="shared" si="56"/>
        <v>8.7399999999998581</v>
      </c>
      <c r="B876">
        <f t="shared" si="56"/>
        <v>38.739999999998972</v>
      </c>
      <c r="C876">
        <f t="shared" si="54"/>
        <v>4.700637049037022E-4</v>
      </c>
      <c r="D876">
        <f t="shared" si="57"/>
        <v>4.700637049037022E-4</v>
      </c>
      <c r="E876" s="3">
        <f t="shared" si="55"/>
        <v>41272.503866761181</v>
      </c>
    </row>
    <row r="877" spans="1:5" x14ac:dyDescent="0.3">
      <c r="A877">
        <f t="shared" si="56"/>
        <v>8.7499999999998579</v>
      </c>
      <c r="B877">
        <f t="shared" si="56"/>
        <v>38.74999999999897</v>
      </c>
      <c r="C877">
        <f t="shared" si="54"/>
        <v>4.7035618466140911E-4</v>
      </c>
      <c r="D877">
        <f t="shared" si="57"/>
        <v>4.7035618466140911E-4</v>
      </c>
      <c r="E877" s="3">
        <f t="shared" si="55"/>
        <v>41313.736811663759</v>
      </c>
    </row>
    <row r="878" spans="1:5" x14ac:dyDescent="0.3">
      <c r="A878">
        <f t="shared" si="56"/>
        <v>8.7599999999998577</v>
      </c>
      <c r="B878">
        <f t="shared" si="56"/>
        <v>38.759999999998968</v>
      </c>
      <c r="C878">
        <f t="shared" si="54"/>
        <v>4.706490065095794E-4</v>
      </c>
      <c r="D878">
        <f t="shared" si="57"/>
        <v>4.706490065095794E-4</v>
      </c>
      <c r="E878" s="3">
        <f t="shared" si="55"/>
        <v>41354.986271919974</v>
      </c>
    </row>
    <row r="879" spans="1:5" x14ac:dyDescent="0.3">
      <c r="A879">
        <f t="shared" si="56"/>
        <v>8.7699999999998575</v>
      </c>
      <c r="B879">
        <f t="shared" si="56"/>
        <v>38.769999999998966</v>
      </c>
      <c r="C879">
        <f t="shared" si="54"/>
        <v>4.709421708483291E-4</v>
      </c>
      <c r="D879">
        <f t="shared" si="57"/>
        <v>4.709421708483291E-4</v>
      </c>
      <c r="E879" s="3">
        <f t="shared" si="55"/>
        <v>41396.252254254257</v>
      </c>
    </row>
    <row r="880" spans="1:5" x14ac:dyDescent="0.3">
      <c r="A880">
        <f t="shared" si="56"/>
        <v>8.7799999999998573</v>
      </c>
      <c r="B880">
        <f t="shared" si="56"/>
        <v>38.779999999998964</v>
      </c>
      <c r="C880">
        <f t="shared" si="54"/>
        <v>4.7123567807824251E-4</v>
      </c>
      <c r="D880">
        <f t="shared" si="57"/>
        <v>4.7123567807824251E-4</v>
      </c>
      <c r="E880" s="3">
        <f t="shared" si="55"/>
        <v>41437.534765394121</v>
      </c>
    </row>
    <row r="881" spans="1:5" x14ac:dyDescent="0.3">
      <c r="A881">
        <f t="shared" si="56"/>
        <v>8.789999999999857</v>
      </c>
      <c r="B881">
        <f t="shared" si="56"/>
        <v>38.789999999998962</v>
      </c>
      <c r="C881">
        <f t="shared" si="54"/>
        <v>4.715295286003725E-4</v>
      </c>
      <c r="D881">
        <f t="shared" si="57"/>
        <v>4.715295286003725E-4</v>
      </c>
      <c r="E881" s="3">
        <f t="shared" si="55"/>
        <v>41478.83381207013</v>
      </c>
    </row>
    <row r="882" spans="1:5" x14ac:dyDescent="0.3">
      <c r="A882">
        <f t="shared" si="56"/>
        <v>8.7999999999998568</v>
      </c>
      <c r="B882">
        <f t="shared" si="56"/>
        <v>38.79999999999896</v>
      </c>
      <c r="C882">
        <f t="shared" si="54"/>
        <v>4.7182372281624047E-4</v>
      </c>
      <c r="D882">
        <f t="shared" si="57"/>
        <v>4.7182372281624047E-4</v>
      </c>
      <c r="E882" s="3">
        <f t="shared" si="55"/>
        <v>41520.1494010159</v>
      </c>
    </row>
    <row r="883" spans="1:5" x14ac:dyDescent="0.3">
      <c r="A883">
        <f t="shared" si="56"/>
        <v>8.8099999999998566</v>
      </c>
      <c r="B883">
        <f t="shared" si="56"/>
        <v>38.809999999998958</v>
      </c>
      <c r="C883">
        <f t="shared" si="54"/>
        <v>4.7211826112783799E-4</v>
      </c>
      <c r="D883">
        <f t="shared" si="57"/>
        <v>4.7211826112783799E-4</v>
      </c>
      <c r="E883" s="3">
        <f t="shared" si="55"/>
        <v>41561.481538968117</v>
      </c>
    </row>
    <row r="884" spans="1:5" x14ac:dyDescent="0.3">
      <c r="A884">
        <f t="shared" si="56"/>
        <v>8.8199999999998564</v>
      </c>
      <c r="B884">
        <f t="shared" si="56"/>
        <v>38.819999999998956</v>
      </c>
      <c r="C884">
        <f t="shared" si="54"/>
        <v>4.7241314393762666E-4</v>
      </c>
      <c r="D884">
        <f t="shared" si="57"/>
        <v>4.7241314393762666E-4</v>
      </c>
      <c r="E884" s="3">
        <f t="shared" si="55"/>
        <v>41602.830232666522</v>
      </c>
    </row>
    <row r="885" spans="1:5" x14ac:dyDescent="0.3">
      <c r="A885">
        <f t="shared" si="56"/>
        <v>8.8299999999998562</v>
      </c>
      <c r="B885">
        <f t="shared" si="56"/>
        <v>38.829999999998954</v>
      </c>
      <c r="C885">
        <f t="shared" si="54"/>
        <v>4.7270837164853873E-4</v>
      </c>
      <c r="D885">
        <f t="shared" si="57"/>
        <v>4.7270837164853873E-4</v>
      </c>
      <c r="E885" s="3">
        <f t="shared" si="55"/>
        <v>41644.195488853919</v>
      </c>
    </row>
    <row r="886" spans="1:5" x14ac:dyDescent="0.3">
      <c r="A886">
        <f t="shared" si="56"/>
        <v>8.839999999999856</v>
      </c>
      <c r="B886">
        <f t="shared" si="56"/>
        <v>38.839999999998952</v>
      </c>
      <c r="C886">
        <f t="shared" si="54"/>
        <v>4.7300394466397817E-4</v>
      </c>
      <c r="D886">
        <f t="shared" si="57"/>
        <v>4.7300394466397817E-4</v>
      </c>
      <c r="E886" s="3">
        <f t="shared" si="55"/>
        <v>41685.57731427619</v>
      </c>
    </row>
    <row r="887" spans="1:5" x14ac:dyDescent="0.3">
      <c r="A887">
        <f t="shared" si="56"/>
        <v>8.8499999999998558</v>
      </c>
      <c r="B887">
        <f t="shared" si="56"/>
        <v>38.84999999999895</v>
      </c>
      <c r="C887">
        <f t="shared" si="54"/>
        <v>4.7329986338781984E-4</v>
      </c>
      <c r="D887">
        <f t="shared" si="57"/>
        <v>4.7329986338781984E-4</v>
      </c>
      <c r="E887" s="3">
        <f t="shared" si="55"/>
        <v>41726.975715682282</v>
      </c>
    </row>
    <row r="888" spans="1:5" x14ac:dyDescent="0.3">
      <c r="A888">
        <f t="shared" si="56"/>
        <v>8.8599999999998555</v>
      </c>
      <c r="B888">
        <f t="shared" si="56"/>
        <v>38.859999999998948</v>
      </c>
      <c r="C888">
        <f t="shared" si="54"/>
        <v>4.7359612822441173E-4</v>
      </c>
      <c r="D888">
        <f t="shared" si="57"/>
        <v>4.7359612822441173E-4</v>
      </c>
      <c r="E888" s="3">
        <f t="shared" si="55"/>
        <v>41768.390699824231</v>
      </c>
    </row>
    <row r="889" spans="1:5" x14ac:dyDescent="0.3">
      <c r="A889">
        <f t="shared" si="56"/>
        <v>8.8699999999998553</v>
      </c>
      <c r="B889">
        <f t="shared" si="56"/>
        <v>38.869999999998946</v>
      </c>
      <c r="C889">
        <f t="shared" si="54"/>
        <v>4.7389273957857466E-4</v>
      </c>
      <c r="D889">
        <f t="shared" si="57"/>
        <v>4.7389273957857466E-4</v>
      </c>
      <c r="E889" s="3">
        <f t="shared" si="55"/>
        <v>41809.82227345711</v>
      </c>
    </row>
    <row r="890" spans="1:5" x14ac:dyDescent="0.3">
      <c r="A890">
        <f t="shared" si="56"/>
        <v>8.8799999999998551</v>
      </c>
      <c r="B890">
        <f t="shared" si="56"/>
        <v>38.879999999998944</v>
      </c>
      <c r="C890">
        <f t="shared" si="54"/>
        <v>4.7418969785560292E-4</v>
      </c>
      <c r="D890">
        <f t="shared" si="57"/>
        <v>4.7418969785560292E-4</v>
      </c>
      <c r="E890" s="3">
        <f t="shared" si="55"/>
        <v>41851.270443339097</v>
      </c>
    </row>
    <row r="891" spans="1:5" x14ac:dyDescent="0.3">
      <c r="A891">
        <f t="shared" si="56"/>
        <v>8.8899999999998549</v>
      </c>
      <c r="B891">
        <f t="shared" si="56"/>
        <v>38.889999999998942</v>
      </c>
      <c r="C891">
        <f t="shared" si="54"/>
        <v>4.744870034612648E-4</v>
      </c>
      <c r="D891">
        <f t="shared" si="57"/>
        <v>4.744870034612648E-4</v>
      </c>
      <c r="E891" s="3">
        <f t="shared" si="55"/>
        <v>41892.735216231449</v>
      </c>
    </row>
    <row r="892" spans="1:5" x14ac:dyDescent="0.3">
      <c r="A892">
        <f t="shared" si="56"/>
        <v>8.8999999999998547</v>
      </c>
      <c r="B892">
        <f t="shared" si="56"/>
        <v>38.89999999999894</v>
      </c>
      <c r="C892">
        <f t="shared" si="54"/>
        <v>4.7478465680180295E-4</v>
      </c>
      <c r="D892">
        <f t="shared" si="57"/>
        <v>4.7478465680180295E-4</v>
      </c>
      <c r="E892" s="3">
        <f t="shared" si="55"/>
        <v>41934.216598898478</v>
      </c>
    </row>
    <row r="893" spans="1:5" x14ac:dyDescent="0.3">
      <c r="A893">
        <f t="shared" si="56"/>
        <v>8.9099999999998545</v>
      </c>
      <c r="B893">
        <f t="shared" si="56"/>
        <v>38.909999999998938</v>
      </c>
      <c r="C893">
        <f t="shared" si="54"/>
        <v>4.7508265828393533E-4</v>
      </c>
      <c r="D893">
        <f t="shared" si="57"/>
        <v>4.7508265828393533E-4</v>
      </c>
      <c r="E893" s="3">
        <f t="shared" si="55"/>
        <v>41975.714598107603</v>
      </c>
    </row>
    <row r="894" spans="1:5" x14ac:dyDescent="0.3">
      <c r="A894">
        <f t="shared" si="56"/>
        <v>8.9199999999998543</v>
      </c>
      <c r="B894">
        <f t="shared" si="56"/>
        <v>38.919999999998936</v>
      </c>
      <c r="C894">
        <f t="shared" si="54"/>
        <v>4.7538100831485595E-4</v>
      </c>
      <c r="D894">
        <f t="shared" si="57"/>
        <v>4.7538100831485595E-4</v>
      </c>
      <c r="E894" s="3">
        <f t="shared" si="55"/>
        <v>42017.229220629306</v>
      </c>
    </row>
    <row r="895" spans="1:5" x14ac:dyDescent="0.3">
      <c r="A895">
        <f t="shared" si="56"/>
        <v>8.9299999999998541</v>
      </c>
      <c r="B895">
        <f t="shared" si="56"/>
        <v>38.929999999998934</v>
      </c>
      <c r="C895">
        <f t="shared" si="54"/>
        <v>4.7567970730223459E-4</v>
      </c>
      <c r="D895">
        <f t="shared" si="57"/>
        <v>4.7567970730223459E-4</v>
      </c>
      <c r="E895" s="3">
        <f t="shared" si="55"/>
        <v>42058.760473237176</v>
      </c>
    </row>
    <row r="896" spans="1:5" x14ac:dyDescent="0.3">
      <c r="A896">
        <f t="shared" si="56"/>
        <v>8.9399999999998538</v>
      </c>
      <c r="B896">
        <f t="shared" si="56"/>
        <v>38.939999999998932</v>
      </c>
      <c r="C896">
        <f t="shared" si="54"/>
        <v>4.7597875565421797E-4</v>
      </c>
      <c r="D896">
        <f t="shared" si="57"/>
        <v>4.7597875565421797E-4</v>
      </c>
      <c r="E896" s="3">
        <f t="shared" si="55"/>
        <v>42100.308362707889</v>
      </c>
    </row>
    <row r="897" spans="1:5" x14ac:dyDescent="0.3">
      <c r="A897">
        <f t="shared" si="56"/>
        <v>8.9499999999998536</v>
      </c>
      <c r="B897">
        <f t="shared" si="56"/>
        <v>38.94999999999893</v>
      </c>
      <c r="C897">
        <f t="shared" si="54"/>
        <v>4.7627815377943082E-4</v>
      </c>
      <c r="D897">
        <f t="shared" si="57"/>
        <v>4.7627815377943082E-4</v>
      </c>
      <c r="E897" s="3">
        <f t="shared" si="55"/>
        <v>42141.872895821187</v>
      </c>
    </row>
    <row r="898" spans="1:5" x14ac:dyDescent="0.3">
      <c r="A898">
        <f t="shared" si="56"/>
        <v>8.9599999999998534</v>
      </c>
      <c r="B898">
        <f t="shared" si="56"/>
        <v>38.959999999998928</v>
      </c>
      <c r="C898">
        <f t="shared" si="54"/>
        <v>4.7657790208697451E-4</v>
      </c>
      <c r="D898">
        <f t="shared" si="57"/>
        <v>4.7657790208697451E-4</v>
      </c>
      <c r="E898" s="3">
        <f t="shared" si="55"/>
        <v>42183.45407935993</v>
      </c>
    </row>
    <row r="899" spans="1:5" x14ac:dyDescent="0.3">
      <c r="A899">
        <f t="shared" si="56"/>
        <v>8.9699999999998532</v>
      </c>
      <c r="B899">
        <f t="shared" si="56"/>
        <v>38.969999999998926</v>
      </c>
      <c r="C899">
        <f t="shared" ref="C899:C962" si="58">$N$2 + $N$3*$N$4^(B899)</f>
        <v>4.7687800098642993E-4</v>
      </c>
      <c r="D899">
        <f t="shared" si="57"/>
        <v>4.7687800098642993E-4</v>
      </c>
      <c r="E899" s="3">
        <f t="shared" ref="E899:E962" si="59">IF(ROUND(A899, 2)=$N$10,$N$6,(E900-$N$5*($N$7-$N$8-($N$6+$N$9)*D899))/(1+$N$5*$N$11+$N$5*D899))</f>
        <v>42225.051920110069</v>
      </c>
    </row>
    <row r="900" spans="1:5" x14ac:dyDescent="0.3">
      <c r="A900">
        <f t="shared" ref="A900:B963" si="60">A899+$N$5</f>
        <v>8.979999999999853</v>
      </c>
      <c r="B900">
        <f t="shared" si="60"/>
        <v>38.979999999998924</v>
      </c>
      <c r="C900">
        <f t="shared" si="58"/>
        <v>4.7717845088785676E-4</v>
      </c>
      <c r="D900">
        <f t="shared" si="57"/>
        <v>4.7717845088785676E-4</v>
      </c>
      <c r="E900" s="3">
        <f t="shared" si="59"/>
        <v>42266.666424860632</v>
      </c>
    </row>
    <row r="901" spans="1:5" x14ac:dyDescent="0.3">
      <c r="A901">
        <f t="shared" si="60"/>
        <v>8.9899999999998528</v>
      </c>
      <c r="B901">
        <f t="shared" si="60"/>
        <v>38.989999999998922</v>
      </c>
      <c r="C901">
        <f t="shared" si="58"/>
        <v>4.7747925220179433E-4</v>
      </c>
      <c r="D901">
        <f t="shared" si="57"/>
        <v>4.7747925220179433E-4</v>
      </c>
      <c r="E901" s="3">
        <f t="shared" si="59"/>
        <v>42308.297600403777</v>
      </c>
    </row>
    <row r="902" spans="1:5" x14ac:dyDescent="0.3">
      <c r="A902">
        <f t="shared" si="60"/>
        <v>8.9999999999998526</v>
      </c>
      <c r="B902">
        <f t="shared" si="60"/>
        <v>38.99999999999892</v>
      </c>
      <c r="C902">
        <f t="shared" si="58"/>
        <v>4.7778040533926229E-4</v>
      </c>
      <c r="D902">
        <f t="shared" si="57"/>
        <v>4.7778040533926229E-4</v>
      </c>
      <c r="E902" s="3">
        <f t="shared" si="59"/>
        <v>42349.945453534739</v>
      </c>
    </row>
    <row r="903" spans="1:5" x14ac:dyDescent="0.3">
      <c r="A903">
        <f t="shared" si="60"/>
        <v>9.0099999999998523</v>
      </c>
      <c r="B903">
        <f t="shared" si="60"/>
        <v>39.009999999998918</v>
      </c>
      <c r="C903">
        <f t="shared" si="58"/>
        <v>4.7808191071176023E-4</v>
      </c>
      <c r="D903">
        <f t="shared" si="57"/>
        <v>4.7808191071176023E-4</v>
      </c>
      <c r="E903" s="3">
        <f t="shared" si="59"/>
        <v>42391.609991051868</v>
      </c>
    </row>
    <row r="904" spans="1:5" x14ac:dyDescent="0.3">
      <c r="A904">
        <f t="shared" si="60"/>
        <v>9.0199999999998521</v>
      </c>
      <c r="B904">
        <f t="shared" si="60"/>
        <v>39.019999999998916</v>
      </c>
      <c r="C904">
        <f t="shared" si="58"/>
        <v>4.7838376873127002E-4</v>
      </c>
      <c r="D904">
        <f t="shared" si="57"/>
        <v>4.7838376873127002E-4</v>
      </c>
      <c r="E904" s="3">
        <f t="shared" si="59"/>
        <v>42433.291219756597</v>
      </c>
    </row>
    <row r="905" spans="1:5" x14ac:dyDescent="0.3">
      <c r="A905">
        <f t="shared" si="60"/>
        <v>9.0299999999998519</v>
      </c>
      <c r="B905">
        <f t="shared" si="60"/>
        <v>39.029999999998914</v>
      </c>
      <c r="C905">
        <f t="shared" si="58"/>
        <v>4.7868597981025503E-4</v>
      </c>
      <c r="D905">
        <f t="shared" si="57"/>
        <v>4.7868597981025503E-4</v>
      </c>
      <c r="E905" s="3">
        <f t="shared" si="59"/>
        <v>42474.989146453503</v>
      </c>
    </row>
    <row r="906" spans="1:5" x14ac:dyDescent="0.3">
      <c r="A906">
        <f t="shared" si="60"/>
        <v>9.0399999999998517</v>
      </c>
      <c r="B906">
        <f t="shared" si="60"/>
        <v>39.039999999998912</v>
      </c>
      <c r="C906">
        <f t="shared" si="58"/>
        <v>4.7898854436166096E-4</v>
      </c>
      <c r="D906">
        <f t="shared" si="57"/>
        <v>4.7898854436166096E-4</v>
      </c>
      <c r="E906" s="3">
        <f t="shared" si="59"/>
        <v>42516.703777950243</v>
      </c>
    </row>
    <row r="907" spans="1:5" x14ac:dyDescent="0.3">
      <c r="A907">
        <f t="shared" si="60"/>
        <v>9.0499999999998515</v>
      </c>
      <c r="B907">
        <f t="shared" si="60"/>
        <v>39.04999999999891</v>
      </c>
      <c r="C907">
        <f t="shared" si="58"/>
        <v>4.7929146279891677E-4</v>
      </c>
      <c r="D907">
        <f t="shared" si="57"/>
        <v>4.7929146279891677E-4</v>
      </c>
      <c r="E907" s="3">
        <f t="shared" si="59"/>
        <v>42558.435121057599</v>
      </c>
    </row>
    <row r="908" spans="1:5" x14ac:dyDescent="0.3">
      <c r="A908">
        <f t="shared" si="60"/>
        <v>9.0599999999998513</v>
      </c>
      <c r="B908">
        <f t="shared" si="60"/>
        <v>39.059999999998908</v>
      </c>
      <c r="C908">
        <f t="shared" si="58"/>
        <v>4.7959473553593431E-4</v>
      </c>
      <c r="D908">
        <f t="shared" si="57"/>
        <v>4.7959473553593431E-4</v>
      </c>
      <c r="E908" s="3">
        <f t="shared" si="59"/>
        <v>42600.183182589462</v>
      </c>
    </row>
    <row r="909" spans="1:5" x14ac:dyDescent="0.3">
      <c r="A909">
        <f t="shared" si="60"/>
        <v>9.0699999999998511</v>
      </c>
      <c r="B909">
        <f t="shared" si="60"/>
        <v>39.069999999998906</v>
      </c>
      <c r="C909">
        <f t="shared" si="58"/>
        <v>4.798983629871104E-4</v>
      </c>
      <c r="D909">
        <f t="shared" si="57"/>
        <v>4.798983629871104E-4</v>
      </c>
      <c r="E909" s="3">
        <f t="shared" si="59"/>
        <v>42641.947969362824</v>
      </c>
    </row>
    <row r="910" spans="1:5" x14ac:dyDescent="0.3">
      <c r="A910">
        <f t="shared" si="60"/>
        <v>9.0799999999998509</v>
      </c>
      <c r="B910">
        <f t="shared" si="60"/>
        <v>39.079999999998904</v>
      </c>
      <c r="C910">
        <f t="shared" si="58"/>
        <v>4.8020234556732594E-4</v>
      </c>
      <c r="D910">
        <f t="shared" si="57"/>
        <v>4.8020234556732594E-4</v>
      </c>
      <c r="E910" s="3">
        <f t="shared" si="59"/>
        <v>42683.729488197831</v>
      </c>
    </row>
    <row r="911" spans="1:5" x14ac:dyDescent="0.3">
      <c r="A911">
        <f t="shared" si="60"/>
        <v>9.0899999999998506</v>
      </c>
      <c r="B911">
        <f t="shared" si="60"/>
        <v>39.089999999998902</v>
      </c>
      <c r="C911">
        <f t="shared" si="58"/>
        <v>4.8050668369194747E-4</v>
      </c>
      <c r="D911">
        <f t="shared" si="57"/>
        <v>4.8050668369194747E-4</v>
      </c>
      <c r="E911" s="3">
        <f t="shared" si="59"/>
        <v>42725.527745917716</v>
      </c>
    </row>
    <row r="912" spans="1:5" x14ac:dyDescent="0.3">
      <c r="A912">
        <f t="shared" si="60"/>
        <v>9.0999999999998504</v>
      </c>
      <c r="B912">
        <f t="shared" si="60"/>
        <v>39.0999999999989</v>
      </c>
      <c r="C912">
        <f t="shared" si="58"/>
        <v>4.8081137777682744E-4</v>
      </c>
      <c r="D912">
        <f t="shared" si="57"/>
        <v>4.8081137777682744E-4</v>
      </c>
      <c r="E912" s="3">
        <f t="shared" si="59"/>
        <v>42767.342749348849</v>
      </c>
    </row>
    <row r="913" spans="1:5" x14ac:dyDescent="0.3">
      <c r="A913">
        <f t="shared" si="60"/>
        <v>9.1099999999998502</v>
      </c>
      <c r="B913">
        <f t="shared" si="60"/>
        <v>39.109999999998898</v>
      </c>
      <c r="C913">
        <f t="shared" si="58"/>
        <v>4.8111642823830383E-4</v>
      </c>
      <c r="D913">
        <f t="shared" si="57"/>
        <v>4.8111642823830383E-4</v>
      </c>
      <c r="E913" s="3">
        <f t="shared" si="59"/>
        <v>42809.17450532072</v>
      </c>
    </row>
    <row r="914" spans="1:5" x14ac:dyDescent="0.3">
      <c r="A914">
        <f t="shared" si="60"/>
        <v>9.11999999999985</v>
      </c>
      <c r="B914">
        <f t="shared" si="60"/>
        <v>39.119999999998896</v>
      </c>
      <c r="C914">
        <f t="shared" si="58"/>
        <v>4.8142183549320261E-4</v>
      </c>
      <c r="D914">
        <f t="shared" si="57"/>
        <v>4.8142183549320261E-4</v>
      </c>
      <c r="E914" s="3">
        <f t="shared" si="59"/>
        <v>42851.023020665947</v>
      </c>
    </row>
    <row r="915" spans="1:5" x14ac:dyDescent="0.3">
      <c r="A915">
        <f t="shared" si="60"/>
        <v>9.1299999999998498</v>
      </c>
      <c r="B915">
        <f t="shared" si="60"/>
        <v>39.129999999998894</v>
      </c>
      <c r="C915">
        <f t="shared" si="58"/>
        <v>4.8172759995883667E-4</v>
      </c>
      <c r="D915">
        <f t="shared" si="57"/>
        <v>4.8172759995883667E-4</v>
      </c>
      <c r="E915" s="3">
        <f t="shared" si="59"/>
        <v>42892.888302220264</v>
      </c>
    </row>
    <row r="916" spans="1:5" x14ac:dyDescent="0.3">
      <c r="A916">
        <f t="shared" si="60"/>
        <v>9.1399999999998496</v>
      </c>
      <c r="B916">
        <f t="shared" si="60"/>
        <v>39.139999999998892</v>
      </c>
      <c r="C916">
        <f t="shared" si="58"/>
        <v>4.8203372205300721E-4</v>
      </c>
      <c r="D916">
        <f t="shared" si="57"/>
        <v>4.8203372205300721E-4</v>
      </c>
      <c r="E916" s="3">
        <f t="shared" si="59"/>
        <v>42934.770356822562</v>
      </c>
    </row>
    <row r="917" spans="1:5" x14ac:dyDescent="0.3">
      <c r="A917">
        <f t="shared" si="60"/>
        <v>9.1499999999998494</v>
      </c>
      <c r="B917">
        <f t="shared" si="60"/>
        <v>39.14999999999889</v>
      </c>
      <c r="C917">
        <f t="shared" si="58"/>
        <v>4.8234020219400443E-4</v>
      </c>
      <c r="D917">
        <f t="shared" si="57"/>
        <v>4.8234020219400443E-4</v>
      </c>
      <c r="E917" s="3">
        <f t="shared" si="59"/>
        <v>42976.669191314839</v>
      </c>
    </row>
    <row r="918" spans="1:5" x14ac:dyDescent="0.3">
      <c r="A918">
        <f t="shared" si="60"/>
        <v>9.1599999999998492</v>
      </c>
      <c r="B918">
        <f t="shared" si="60"/>
        <v>39.159999999998888</v>
      </c>
      <c r="C918">
        <f t="shared" si="58"/>
        <v>4.8264704080060682E-4</v>
      </c>
      <c r="D918">
        <f t="shared" si="57"/>
        <v>4.8264704080060682E-4</v>
      </c>
      <c r="E918" s="3">
        <f t="shared" si="59"/>
        <v>43018.584812542249</v>
      </c>
    </row>
    <row r="919" spans="1:5" x14ac:dyDescent="0.3">
      <c r="A919">
        <f t="shared" si="60"/>
        <v>9.1699999999998489</v>
      </c>
      <c r="B919">
        <f t="shared" si="60"/>
        <v>39.169999999998886</v>
      </c>
      <c r="C919">
        <f t="shared" si="58"/>
        <v>4.8295423829208361E-4</v>
      </c>
      <c r="D919">
        <f t="shared" ref="D919:D982" si="61">IF(A919&lt;=2, (0.9)^(2-A919)*C919, C919)</f>
        <v>4.8295423829208361E-4</v>
      </c>
      <c r="E919" s="3">
        <f t="shared" si="59"/>
        <v>43060.517227353055</v>
      </c>
    </row>
    <row r="920" spans="1:5" x14ac:dyDescent="0.3">
      <c r="A920">
        <f t="shared" si="60"/>
        <v>9.1799999999998487</v>
      </c>
      <c r="B920">
        <f t="shared" si="60"/>
        <v>39.179999999998884</v>
      </c>
      <c r="C920">
        <f t="shared" si="58"/>
        <v>4.8326179508819409E-4</v>
      </c>
      <c r="D920">
        <f t="shared" si="61"/>
        <v>4.8326179508819409E-4</v>
      </c>
      <c r="E920" s="3">
        <f t="shared" si="59"/>
        <v>43102.466442598678</v>
      </c>
    </row>
    <row r="921" spans="1:5" x14ac:dyDescent="0.3">
      <c r="A921">
        <f t="shared" si="60"/>
        <v>9.1899999999998485</v>
      </c>
      <c r="B921">
        <f t="shared" si="60"/>
        <v>39.189999999998882</v>
      </c>
      <c r="C921">
        <f t="shared" si="58"/>
        <v>4.8356971160918834E-4</v>
      </c>
      <c r="D921">
        <f t="shared" si="61"/>
        <v>4.8356971160918834E-4</v>
      </c>
      <c r="E921" s="3">
        <f t="shared" si="59"/>
        <v>43144.432465133686</v>
      </c>
    </row>
    <row r="922" spans="1:5" x14ac:dyDescent="0.3">
      <c r="A922">
        <f t="shared" si="60"/>
        <v>9.1999999999998483</v>
      </c>
      <c r="B922">
        <f t="shared" si="60"/>
        <v>39.19999999999888</v>
      </c>
      <c r="C922">
        <f t="shared" si="58"/>
        <v>4.8387798827580848E-4</v>
      </c>
      <c r="D922">
        <f t="shared" si="61"/>
        <v>4.8387798827580848E-4</v>
      </c>
      <c r="E922" s="3">
        <f t="shared" si="59"/>
        <v>43186.415301815774</v>
      </c>
    </row>
    <row r="923" spans="1:5" x14ac:dyDescent="0.3">
      <c r="A923">
        <f t="shared" si="60"/>
        <v>9.2099999999998481</v>
      </c>
      <c r="B923">
        <f t="shared" si="60"/>
        <v>39.209999999998878</v>
      </c>
      <c r="C923">
        <f t="shared" si="58"/>
        <v>4.8418662550928798E-4</v>
      </c>
      <c r="D923">
        <f t="shared" si="61"/>
        <v>4.8418662550928798E-4</v>
      </c>
      <c r="E923" s="3">
        <f t="shared" si="59"/>
        <v>43228.41495950579</v>
      </c>
    </row>
    <row r="924" spans="1:5" x14ac:dyDescent="0.3">
      <c r="A924">
        <f t="shared" si="60"/>
        <v>9.2199999999998479</v>
      </c>
      <c r="B924">
        <f t="shared" si="60"/>
        <v>39.219999999998876</v>
      </c>
      <c r="C924">
        <f t="shared" si="58"/>
        <v>4.844956237313535E-4</v>
      </c>
      <c r="D924">
        <f t="shared" si="61"/>
        <v>4.844956237313535E-4</v>
      </c>
      <c r="E924" s="3">
        <f t="shared" si="59"/>
        <v>43270.431445067734</v>
      </c>
    </row>
    <row r="925" spans="1:5" x14ac:dyDescent="0.3">
      <c r="A925">
        <f t="shared" si="60"/>
        <v>9.2299999999998477</v>
      </c>
      <c r="B925">
        <f t="shared" si="60"/>
        <v>39.229999999998874</v>
      </c>
      <c r="C925">
        <f t="shared" si="58"/>
        <v>4.8480498336422493E-4</v>
      </c>
      <c r="D925">
        <f t="shared" si="61"/>
        <v>4.8480498336422493E-4</v>
      </c>
      <c r="E925" s="3">
        <f t="shared" si="59"/>
        <v>43312.46476536875</v>
      </c>
    </row>
    <row r="926" spans="1:5" x14ac:dyDescent="0.3">
      <c r="A926">
        <f t="shared" si="60"/>
        <v>9.2399999999998474</v>
      </c>
      <c r="B926">
        <f t="shared" si="60"/>
        <v>39.239999999998872</v>
      </c>
      <c r="C926">
        <f t="shared" si="58"/>
        <v>4.85114704830616E-4</v>
      </c>
      <c r="D926">
        <f t="shared" si="61"/>
        <v>4.85114704830616E-4</v>
      </c>
      <c r="E926" s="3">
        <f t="shared" si="59"/>
        <v>43354.514927279124</v>
      </c>
    </row>
    <row r="927" spans="1:5" x14ac:dyDescent="0.3">
      <c r="A927">
        <f t="shared" si="60"/>
        <v>9.2499999999998472</v>
      </c>
      <c r="B927">
        <f t="shared" si="60"/>
        <v>39.24999999999887</v>
      </c>
      <c r="C927">
        <f t="shared" si="58"/>
        <v>4.8542478855373504E-4</v>
      </c>
      <c r="D927">
        <f t="shared" si="61"/>
        <v>4.8542478855373504E-4</v>
      </c>
      <c r="E927" s="3">
        <f t="shared" si="59"/>
        <v>43396.581937672323</v>
      </c>
    </row>
    <row r="928" spans="1:5" x14ac:dyDescent="0.3">
      <c r="A928">
        <f t="shared" si="60"/>
        <v>9.259999999999847</v>
      </c>
      <c r="B928">
        <f t="shared" si="60"/>
        <v>39.259999999998868</v>
      </c>
      <c r="C928">
        <f t="shared" si="58"/>
        <v>4.8573523495728447E-4</v>
      </c>
      <c r="D928">
        <f t="shared" si="61"/>
        <v>4.8573523495728447E-4</v>
      </c>
      <c r="E928" s="3">
        <f t="shared" si="59"/>
        <v>43438.665803424941</v>
      </c>
    </row>
    <row r="929" spans="1:5" x14ac:dyDescent="0.3">
      <c r="A929">
        <f t="shared" si="60"/>
        <v>9.2699999999998468</v>
      </c>
      <c r="B929">
        <f t="shared" si="60"/>
        <v>39.269999999998866</v>
      </c>
      <c r="C929">
        <f t="shared" si="58"/>
        <v>4.8604604446546339E-4</v>
      </c>
      <c r="D929">
        <f t="shared" si="61"/>
        <v>4.8604604446546339E-4</v>
      </c>
      <c r="E929" s="3">
        <f t="shared" si="59"/>
        <v>43480.766531416761</v>
      </c>
    </row>
    <row r="930" spans="1:5" x14ac:dyDescent="0.3">
      <c r="A930">
        <f t="shared" si="60"/>
        <v>9.2799999999998466</v>
      </c>
      <c r="B930">
        <f t="shared" si="60"/>
        <v>39.279999999998864</v>
      </c>
      <c r="C930">
        <f t="shared" si="58"/>
        <v>4.8635721750296635E-4</v>
      </c>
      <c r="D930">
        <f t="shared" si="61"/>
        <v>4.8635721750296635E-4</v>
      </c>
      <c r="E930" s="3">
        <f t="shared" si="59"/>
        <v>43522.884128530684</v>
      </c>
    </row>
    <row r="931" spans="1:5" x14ac:dyDescent="0.3">
      <c r="A931">
        <f t="shared" si="60"/>
        <v>9.2899999999998464</v>
      </c>
      <c r="B931">
        <f t="shared" si="60"/>
        <v>39.289999999998862</v>
      </c>
      <c r="C931">
        <f t="shared" si="58"/>
        <v>4.8666875449498515E-4</v>
      </c>
      <c r="D931">
        <f t="shared" si="61"/>
        <v>4.8666875449498515E-4</v>
      </c>
      <c r="E931" s="3">
        <f t="shared" si="59"/>
        <v>43565.018601652817</v>
      </c>
    </row>
    <row r="932" spans="1:5" x14ac:dyDescent="0.3">
      <c r="A932">
        <f t="shared" si="60"/>
        <v>9.2999999999998462</v>
      </c>
      <c r="B932">
        <f t="shared" si="60"/>
        <v>39.29999999999886</v>
      </c>
      <c r="C932">
        <f t="shared" si="58"/>
        <v>4.8698065586720866E-4</v>
      </c>
      <c r="D932">
        <f t="shared" si="61"/>
        <v>4.8698065586720866E-4</v>
      </c>
      <c r="E932" s="3">
        <f t="shared" si="59"/>
        <v>43607.169957672406</v>
      </c>
    </row>
    <row r="933" spans="1:5" x14ac:dyDescent="0.3">
      <c r="A933">
        <f t="shared" si="60"/>
        <v>9.309999999999846</v>
      </c>
      <c r="B933">
        <f t="shared" si="60"/>
        <v>39.309999999998858</v>
      </c>
      <c r="C933">
        <f t="shared" si="58"/>
        <v>4.8729292204582322E-4</v>
      </c>
      <c r="D933">
        <f t="shared" si="61"/>
        <v>4.8729292204582322E-4</v>
      </c>
      <c r="E933" s="3">
        <f t="shared" si="59"/>
        <v>43649.338203481871</v>
      </c>
    </row>
    <row r="934" spans="1:5" x14ac:dyDescent="0.3">
      <c r="A934">
        <f t="shared" si="60"/>
        <v>9.3199999999998457</v>
      </c>
      <c r="B934">
        <f t="shared" si="60"/>
        <v>39.319999999998856</v>
      </c>
      <c r="C934">
        <f t="shared" si="58"/>
        <v>4.876055534575142E-4</v>
      </c>
      <c r="D934">
        <f t="shared" si="61"/>
        <v>4.876055534575142E-4</v>
      </c>
      <c r="E934" s="3">
        <f t="shared" si="59"/>
        <v>43691.523345976799</v>
      </c>
    </row>
    <row r="935" spans="1:5" x14ac:dyDescent="0.3">
      <c r="A935">
        <f t="shared" si="60"/>
        <v>9.3299999999998455</v>
      </c>
      <c r="B935">
        <f t="shared" si="60"/>
        <v>39.329999999998854</v>
      </c>
      <c r="C935">
        <f t="shared" si="58"/>
        <v>4.8791855052946614E-4</v>
      </c>
      <c r="D935">
        <f t="shared" si="61"/>
        <v>4.8791855052946614E-4</v>
      </c>
      <c r="E935" s="3">
        <f t="shared" si="59"/>
        <v>43733.72539205596</v>
      </c>
    </row>
    <row r="936" spans="1:5" x14ac:dyDescent="0.3">
      <c r="A936">
        <f t="shared" si="60"/>
        <v>9.3399999999998453</v>
      </c>
      <c r="B936">
        <f t="shared" si="60"/>
        <v>39.339999999998852</v>
      </c>
      <c r="C936">
        <f t="shared" si="58"/>
        <v>4.8823191368936255E-4</v>
      </c>
      <c r="D936">
        <f t="shared" si="61"/>
        <v>4.8823191368936255E-4</v>
      </c>
      <c r="E936" s="3">
        <f t="shared" si="59"/>
        <v>43775.944348621284</v>
      </c>
    </row>
    <row r="937" spans="1:5" x14ac:dyDescent="0.3">
      <c r="A937">
        <f t="shared" si="60"/>
        <v>9.3499999999998451</v>
      </c>
      <c r="B937">
        <f t="shared" si="60"/>
        <v>39.34999999999885</v>
      </c>
      <c r="C937">
        <f t="shared" si="58"/>
        <v>4.8854564336538815E-4</v>
      </c>
      <c r="D937">
        <f t="shared" si="61"/>
        <v>4.8854564336538815E-4</v>
      </c>
      <c r="E937" s="3">
        <f t="shared" si="59"/>
        <v>43818.180222577874</v>
      </c>
    </row>
    <row r="938" spans="1:5" x14ac:dyDescent="0.3">
      <c r="A938">
        <f t="shared" si="60"/>
        <v>9.3599999999998449</v>
      </c>
      <c r="B938">
        <f t="shared" si="60"/>
        <v>39.359999999998848</v>
      </c>
      <c r="C938">
        <f t="shared" si="58"/>
        <v>4.8885973998622726E-4</v>
      </c>
      <c r="D938">
        <f t="shared" si="61"/>
        <v>4.8885973998622726E-4</v>
      </c>
      <c r="E938" s="3">
        <f t="shared" si="59"/>
        <v>43860.433020834018</v>
      </c>
    </row>
    <row r="939" spans="1:5" x14ac:dyDescent="0.3">
      <c r="A939">
        <f t="shared" si="60"/>
        <v>9.3699999999998447</v>
      </c>
      <c r="B939">
        <f t="shared" si="60"/>
        <v>39.369999999998846</v>
      </c>
      <c r="C939">
        <f t="shared" si="58"/>
        <v>4.8917420398106651E-4</v>
      </c>
      <c r="D939">
        <f t="shared" si="61"/>
        <v>4.8917420398106651E-4</v>
      </c>
      <c r="E939" s="3">
        <f t="shared" si="59"/>
        <v>43902.702750301185</v>
      </c>
    </row>
    <row r="940" spans="1:5" x14ac:dyDescent="0.3">
      <c r="A940">
        <f t="shared" si="60"/>
        <v>9.3799999999998445</v>
      </c>
      <c r="B940">
        <f t="shared" si="60"/>
        <v>39.379999999998844</v>
      </c>
      <c r="C940">
        <f t="shared" si="58"/>
        <v>4.8948903577959431E-4</v>
      </c>
      <c r="D940">
        <f t="shared" si="61"/>
        <v>4.8948903577959431E-4</v>
      </c>
      <c r="E940" s="3">
        <f t="shared" si="59"/>
        <v>43944.98941789403</v>
      </c>
    </row>
    <row r="941" spans="1:5" x14ac:dyDescent="0.3">
      <c r="A941">
        <f t="shared" si="60"/>
        <v>9.3899999999998442</v>
      </c>
      <c r="B941">
        <f t="shared" si="60"/>
        <v>39.389999999998842</v>
      </c>
      <c r="C941">
        <f t="shared" si="58"/>
        <v>4.8980423581200137E-4</v>
      </c>
      <c r="D941">
        <f t="shared" si="61"/>
        <v>4.8980423581200137E-4</v>
      </c>
      <c r="E941" s="3">
        <f t="shared" si="59"/>
        <v>43987.293030530374</v>
      </c>
    </row>
    <row r="942" spans="1:5" x14ac:dyDescent="0.3">
      <c r="A942">
        <f t="shared" si="60"/>
        <v>9.399999999999844</v>
      </c>
      <c r="B942">
        <f t="shared" si="60"/>
        <v>39.39999999999884</v>
      </c>
      <c r="C942">
        <f t="shared" si="58"/>
        <v>4.9011980450898223E-4</v>
      </c>
      <c r="D942">
        <f t="shared" si="61"/>
        <v>4.9011980450898223E-4</v>
      </c>
      <c r="E942" s="3">
        <f t="shared" si="59"/>
        <v>44029.613595131261</v>
      </c>
    </row>
    <row r="943" spans="1:5" x14ac:dyDescent="0.3">
      <c r="A943">
        <f t="shared" si="60"/>
        <v>9.4099999999998438</v>
      </c>
      <c r="B943">
        <f t="shared" si="60"/>
        <v>39.409999999998838</v>
      </c>
      <c r="C943">
        <f t="shared" si="58"/>
        <v>4.9043574230173408E-4</v>
      </c>
      <c r="D943">
        <f t="shared" si="61"/>
        <v>4.9043574230173408E-4</v>
      </c>
      <c r="E943" s="3">
        <f t="shared" si="59"/>
        <v>44071.951118620884</v>
      </c>
    </row>
    <row r="944" spans="1:5" x14ac:dyDescent="0.3">
      <c r="A944">
        <f t="shared" si="60"/>
        <v>9.4199999999998436</v>
      </c>
      <c r="B944">
        <f t="shared" si="60"/>
        <v>39.419999999998836</v>
      </c>
      <c r="C944">
        <f t="shared" si="58"/>
        <v>4.9075204962195943E-4</v>
      </c>
      <c r="D944">
        <f t="shared" si="61"/>
        <v>4.9075204962195943E-4</v>
      </c>
      <c r="E944" s="3">
        <f t="shared" si="59"/>
        <v>44114.305607926646</v>
      </c>
    </row>
    <row r="945" spans="1:5" x14ac:dyDescent="0.3">
      <c r="A945">
        <f t="shared" si="60"/>
        <v>9.4299999999998434</v>
      </c>
      <c r="B945">
        <f t="shared" si="60"/>
        <v>39.429999999998834</v>
      </c>
      <c r="C945">
        <f t="shared" si="58"/>
        <v>4.910687269018653E-4</v>
      </c>
      <c r="D945">
        <f t="shared" si="61"/>
        <v>4.910687269018653E-4</v>
      </c>
      <c r="E945" s="3">
        <f t="shared" si="59"/>
        <v>44156.677069979145</v>
      </c>
    </row>
    <row r="946" spans="1:5" x14ac:dyDescent="0.3">
      <c r="A946">
        <f t="shared" si="60"/>
        <v>9.4399999999998432</v>
      </c>
      <c r="B946">
        <f t="shared" si="60"/>
        <v>39.439999999998832</v>
      </c>
      <c r="C946">
        <f t="shared" si="58"/>
        <v>4.9138577457416425E-4</v>
      </c>
      <c r="D946">
        <f t="shared" si="61"/>
        <v>4.9138577457416425E-4</v>
      </c>
      <c r="E946" s="3">
        <f t="shared" si="59"/>
        <v>44199.065511712164</v>
      </c>
    </row>
    <row r="947" spans="1:5" x14ac:dyDescent="0.3">
      <c r="A947">
        <f t="shared" si="60"/>
        <v>9.449999999999843</v>
      </c>
      <c r="B947">
        <f t="shared" si="60"/>
        <v>39.44999999999883</v>
      </c>
      <c r="C947">
        <f t="shared" si="58"/>
        <v>4.9170319307207538E-4</v>
      </c>
      <c r="D947">
        <f t="shared" si="61"/>
        <v>4.9170319307207538E-4</v>
      </c>
      <c r="E947" s="3">
        <f t="shared" si="59"/>
        <v>44241.470940062689</v>
      </c>
    </row>
    <row r="948" spans="1:5" x14ac:dyDescent="0.3">
      <c r="A948">
        <f t="shared" si="60"/>
        <v>9.4599999999998428</v>
      </c>
      <c r="B948">
        <f t="shared" si="60"/>
        <v>39.459999999998828</v>
      </c>
      <c r="C948">
        <f t="shared" si="58"/>
        <v>4.9202098282932359E-4</v>
      </c>
      <c r="D948">
        <f t="shared" si="61"/>
        <v>4.9202098282932359E-4</v>
      </c>
      <c r="E948" s="3">
        <f t="shared" si="59"/>
        <v>44283.893361970913</v>
      </c>
    </row>
    <row r="949" spans="1:5" x14ac:dyDescent="0.3">
      <c r="A949">
        <f t="shared" si="60"/>
        <v>9.4699999999998425</v>
      </c>
      <c r="B949">
        <f t="shared" si="60"/>
        <v>39.469999999998826</v>
      </c>
      <c r="C949">
        <f t="shared" si="58"/>
        <v>4.9233914428014171E-4</v>
      </c>
      <c r="D949">
        <f t="shared" si="61"/>
        <v>4.9233914428014171E-4</v>
      </c>
      <c r="E949" s="3">
        <f t="shared" si="59"/>
        <v>44326.332784380225</v>
      </c>
    </row>
    <row r="950" spans="1:5" x14ac:dyDescent="0.3">
      <c r="A950">
        <f t="shared" si="60"/>
        <v>9.4799999999998423</v>
      </c>
      <c r="B950">
        <f t="shared" si="60"/>
        <v>39.479999999998824</v>
      </c>
      <c r="C950">
        <f t="shared" si="58"/>
        <v>4.9265767785927042E-4</v>
      </c>
      <c r="D950">
        <f t="shared" si="61"/>
        <v>4.9265767785927042E-4</v>
      </c>
      <c r="E950" s="3">
        <f t="shared" si="59"/>
        <v>44368.789214237215</v>
      </c>
    </row>
    <row r="951" spans="1:5" x14ac:dyDescent="0.3">
      <c r="A951">
        <f t="shared" si="60"/>
        <v>9.4899999999998421</v>
      </c>
      <c r="B951">
        <f t="shared" si="60"/>
        <v>39.489999999998822</v>
      </c>
      <c r="C951">
        <f t="shared" si="58"/>
        <v>4.9297658400195888E-4</v>
      </c>
      <c r="D951">
        <f t="shared" si="61"/>
        <v>4.9297658400195888E-4</v>
      </c>
      <c r="E951" s="3">
        <f t="shared" si="59"/>
        <v>44411.26265849168</v>
      </c>
    </row>
    <row r="952" spans="1:5" x14ac:dyDescent="0.3">
      <c r="A952">
        <f t="shared" si="60"/>
        <v>9.4999999999998419</v>
      </c>
      <c r="B952">
        <f t="shared" si="60"/>
        <v>39.49999999999882</v>
      </c>
      <c r="C952">
        <f t="shared" si="58"/>
        <v>4.932958631439653E-4</v>
      </c>
      <c r="D952">
        <f t="shared" si="61"/>
        <v>4.932958631439653E-4</v>
      </c>
      <c r="E952" s="3">
        <f t="shared" si="59"/>
        <v>44453.753124096642</v>
      </c>
    </row>
    <row r="953" spans="1:5" x14ac:dyDescent="0.3">
      <c r="A953">
        <f t="shared" si="60"/>
        <v>9.5099999999998417</v>
      </c>
      <c r="B953">
        <f t="shared" si="60"/>
        <v>39.509999999998819</v>
      </c>
      <c r="C953">
        <f t="shared" si="58"/>
        <v>4.9361551572155735E-4</v>
      </c>
      <c r="D953">
        <f t="shared" si="61"/>
        <v>4.9361551572155735E-4</v>
      </c>
      <c r="E953" s="3">
        <f t="shared" si="59"/>
        <v>44496.260618008302</v>
      </c>
    </row>
    <row r="954" spans="1:5" x14ac:dyDescent="0.3">
      <c r="A954">
        <f t="shared" si="60"/>
        <v>9.5199999999998415</v>
      </c>
      <c r="B954">
        <f t="shared" si="60"/>
        <v>39.519999999998817</v>
      </c>
      <c r="C954">
        <f t="shared" si="58"/>
        <v>4.9393554217151301E-4</v>
      </c>
      <c r="D954">
        <f t="shared" si="61"/>
        <v>4.9393554217151301E-4</v>
      </c>
      <c r="E954" s="3">
        <f t="shared" si="59"/>
        <v>44538.785147186114</v>
      </c>
    </row>
    <row r="955" spans="1:5" x14ac:dyDescent="0.3">
      <c r="A955">
        <f t="shared" si="60"/>
        <v>9.5299999999998413</v>
      </c>
      <c r="B955">
        <f t="shared" si="60"/>
        <v>39.529999999998815</v>
      </c>
      <c r="C955">
        <f t="shared" si="58"/>
        <v>4.942559429311214E-4</v>
      </c>
      <c r="D955">
        <f t="shared" si="61"/>
        <v>4.942559429311214E-4</v>
      </c>
      <c r="E955" s="3">
        <f t="shared" si="59"/>
        <v>44581.326718592711</v>
      </c>
    </row>
    <row r="956" spans="1:5" x14ac:dyDescent="0.3">
      <c r="A956">
        <f t="shared" si="60"/>
        <v>9.5399999999998411</v>
      </c>
      <c r="B956">
        <f t="shared" si="60"/>
        <v>39.539999999998813</v>
      </c>
      <c r="C956">
        <f t="shared" si="58"/>
        <v>4.9457671843818301E-4</v>
      </c>
      <c r="D956">
        <f t="shared" si="61"/>
        <v>4.9457671843818301E-4</v>
      </c>
      <c r="E956" s="3">
        <f t="shared" si="59"/>
        <v>44623.885339193956</v>
      </c>
    </row>
    <row r="957" spans="1:5" x14ac:dyDescent="0.3">
      <c r="A957">
        <f t="shared" si="60"/>
        <v>9.5499999999998408</v>
      </c>
      <c r="B957">
        <f t="shared" si="60"/>
        <v>39.549999999998811</v>
      </c>
      <c r="C957">
        <f t="shared" si="58"/>
        <v>4.9489786913101044E-4</v>
      </c>
      <c r="D957">
        <f t="shared" si="61"/>
        <v>4.9489786913101044E-4</v>
      </c>
      <c r="E957" s="3">
        <f t="shared" si="59"/>
        <v>44666.461015958943</v>
      </c>
    </row>
    <row r="958" spans="1:5" x14ac:dyDescent="0.3">
      <c r="A958">
        <f t="shared" si="60"/>
        <v>9.5599999999998406</v>
      </c>
      <c r="B958">
        <f t="shared" si="60"/>
        <v>39.559999999998809</v>
      </c>
      <c r="C958">
        <f t="shared" si="58"/>
        <v>4.9521939544842843E-4</v>
      </c>
      <c r="D958">
        <f t="shared" si="61"/>
        <v>4.9521939544842843E-4</v>
      </c>
      <c r="E958" s="3">
        <f t="shared" si="59"/>
        <v>44709.053755859975</v>
      </c>
    </row>
    <row r="959" spans="1:5" x14ac:dyDescent="0.3">
      <c r="A959">
        <f t="shared" si="60"/>
        <v>9.5699999999998404</v>
      </c>
      <c r="B959">
        <f t="shared" si="60"/>
        <v>39.569999999998807</v>
      </c>
      <c r="C959">
        <f t="shared" si="58"/>
        <v>4.9554129782977566E-4</v>
      </c>
      <c r="D959">
        <f t="shared" si="61"/>
        <v>4.9554129782977566E-4</v>
      </c>
      <c r="E959" s="3">
        <f t="shared" si="59"/>
        <v>44751.663565872594</v>
      </c>
    </row>
    <row r="960" spans="1:5" x14ac:dyDescent="0.3">
      <c r="A960">
        <f t="shared" si="60"/>
        <v>9.5799999999998402</v>
      </c>
      <c r="B960">
        <f t="shared" si="60"/>
        <v>39.579999999998805</v>
      </c>
      <c r="C960">
        <f t="shared" si="58"/>
        <v>4.9586357671490427E-4</v>
      </c>
      <c r="D960">
        <f t="shared" si="61"/>
        <v>4.9586357671490427E-4</v>
      </c>
      <c r="E960" s="3">
        <f t="shared" si="59"/>
        <v>44794.290452975547</v>
      </c>
    </row>
    <row r="961" spans="1:5" x14ac:dyDescent="0.3">
      <c r="A961">
        <f t="shared" si="60"/>
        <v>9.58999999999984</v>
      </c>
      <c r="B961">
        <f t="shared" si="60"/>
        <v>39.589999999998803</v>
      </c>
      <c r="C961">
        <f t="shared" si="58"/>
        <v>4.961862325441812E-4</v>
      </c>
      <c r="D961">
        <f t="shared" si="61"/>
        <v>4.961862325441812E-4</v>
      </c>
      <c r="E961" s="3">
        <f t="shared" si="59"/>
        <v>44836.934424150822</v>
      </c>
    </row>
    <row r="962" spans="1:5" x14ac:dyDescent="0.3">
      <c r="A962">
        <f t="shared" si="60"/>
        <v>9.5999999999998398</v>
      </c>
      <c r="B962">
        <f t="shared" si="60"/>
        <v>39.599999999998801</v>
      </c>
      <c r="C962">
        <f t="shared" si="58"/>
        <v>4.9650926575848825E-4</v>
      </c>
      <c r="D962">
        <f t="shared" si="61"/>
        <v>4.9650926575848825E-4</v>
      </c>
      <c r="E962" s="3">
        <f t="shared" si="59"/>
        <v>44879.595486383645</v>
      </c>
    </row>
    <row r="963" spans="1:5" x14ac:dyDescent="0.3">
      <c r="A963">
        <f t="shared" si="60"/>
        <v>9.6099999999998396</v>
      </c>
      <c r="B963">
        <f t="shared" si="60"/>
        <v>39.609999999998799</v>
      </c>
      <c r="C963">
        <f t="shared" ref="C963:C1026" si="62">$N$2 + $N$3*$N$4^(B963)</f>
        <v>4.9683267679922246E-4</v>
      </c>
      <c r="D963">
        <f t="shared" si="61"/>
        <v>4.9683267679922246E-4</v>
      </c>
      <c r="E963" s="3">
        <f t="shared" ref="E963:E1026" si="63">IF(ROUND(A963, 2)=$N$10,$N$6,(E964-$N$5*($N$7-$N$8-($N$6+$N$9)*D963))/(1+$N$5*$N$11+$N$5*D963))</f>
        <v>44922.27364666247</v>
      </c>
    </row>
    <row r="964" spans="1:5" x14ac:dyDescent="0.3">
      <c r="A964">
        <f t="shared" ref="A964:B1027" si="64">A963+$N$5</f>
        <v>9.6199999999998393</v>
      </c>
      <c r="B964">
        <f t="shared" si="64"/>
        <v>39.619999999998797</v>
      </c>
      <c r="C964">
        <f t="shared" si="62"/>
        <v>4.971564661082978E-4</v>
      </c>
      <c r="D964">
        <f t="shared" si="61"/>
        <v>4.971564661082978E-4</v>
      </c>
      <c r="E964" s="3">
        <f t="shared" si="63"/>
        <v>44964.968911978969</v>
      </c>
    </row>
    <row r="965" spans="1:5" x14ac:dyDescent="0.3">
      <c r="A965">
        <f t="shared" si="64"/>
        <v>9.6299999999998391</v>
      </c>
      <c r="B965">
        <f t="shared" si="64"/>
        <v>39.629999999998795</v>
      </c>
      <c r="C965">
        <f t="shared" si="62"/>
        <v>4.9748063412814497E-4</v>
      </c>
      <c r="D965">
        <f t="shared" si="61"/>
        <v>4.9748063412814497E-4</v>
      </c>
      <c r="E965" s="3">
        <f t="shared" si="63"/>
        <v>45007.68128932808</v>
      </c>
    </row>
    <row r="966" spans="1:5" x14ac:dyDescent="0.3">
      <c r="A966">
        <f t="shared" si="64"/>
        <v>9.6399999999998389</v>
      </c>
      <c r="B966">
        <f t="shared" si="64"/>
        <v>39.639999999998793</v>
      </c>
      <c r="C966">
        <f t="shared" si="62"/>
        <v>4.9780518130171185E-4</v>
      </c>
      <c r="D966">
        <f t="shared" si="61"/>
        <v>4.9780518130171185E-4</v>
      </c>
      <c r="E966" s="3">
        <f t="shared" si="63"/>
        <v>45050.410785707965</v>
      </c>
    </row>
    <row r="967" spans="1:5" x14ac:dyDescent="0.3">
      <c r="A967">
        <f t="shared" si="64"/>
        <v>9.6499999999998387</v>
      </c>
      <c r="B967">
        <f t="shared" si="64"/>
        <v>39.649999999998791</v>
      </c>
      <c r="C967">
        <f t="shared" si="62"/>
        <v>4.9813010807246499E-4</v>
      </c>
      <c r="D967">
        <f t="shared" si="61"/>
        <v>4.9813010807246499E-4</v>
      </c>
      <c r="E967" s="3">
        <f t="shared" si="63"/>
        <v>45093.157408120031</v>
      </c>
    </row>
    <row r="968" spans="1:5" x14ac:dyDescent="0.3">
      <c r="A968">
        <f t="shared" si="64"/>
        <v>9.6599999999998385</v>
      </c>
      <c r="B968">
        <f t="shared" si="64"/>
        <v>39.659999999998789</v>
      </c>
      <c r="C968">
        <f t="shared" si="62"/>
        <v>4.9845541488438864E-4</v>
      </c>
      <c r="D968">
        <f t="shared" si="61"/>
        <v>4.9845541488438864E-4</v>
      </c>
      <c r="E968" s="3">
        <f t="shared" si="63"/>
        <v>45135.921163568935</v>
      </c>
    </row>
    <row r="969" spans="1:5" x14ac:dyDescent="0.3">
      <c r="A969">
        <f t="shared" si="64"/>
        <v>9.6699999999998383</v>
      </c>
      <c r="B969">
        <f t="shared" si="64"/>
        <v>39.669999999998787</v>
      </c>
      <c r="C969">
        <f t="shared" si="62"/>
        <v>4.9878110218198716E-4</v>
      </c>
      <c r="D969">
        <f t="shared" si="61"/>
        <v>4.9878110218198716E-4</v>
      </c>
      <c r="E969" s="3">
        <f t="shared" si="63"/>
        <v>45178.702059062569</v>
      </c>
    </row>
    <row r="970" spans="1:5" x14ac:dyDescent="0.3">
      <c r="A970">
        <f t="shared" si="64"/>
        <v>9.6799999999998381</v>
      </c>
      <c r="B970">
        <f t="shared" si="64"/>
        <v>39.679999999998785</v>
      </c>
      <c r="C970">
        <f t="shared" si="62"/>
        <v>4.9910717041028467E-4</v>
      </c>
      <c r="D970">
        <f t="shared" si="61"/>
        <v>4.9910717041028467E-4</v>
      </c>
      <c r="E970" s="3">
        <f t="shared" si="63"/>
        <v>45221.500101612088</v>
      </c>
    </row>
    <row r="971" spans="1:5" x14ac:dyDescent="0.3">
      <c r="A971">
        <f t="shared" si="64"/>
        <v>9.6899999999998379</v>
      </c>
      <c r="B971">
        <f t="shared" si="64"/>
        <v>39.689999999998783</v>
      </c>
      <c r="C971">
        <f t="shared" si="62"/>
        <v>4.994336200148257E-4</v>
      </c>
      <c r="D971">
        <f t="shared" si="61"/>
        <v>4.994336200148257E-4</v>
      </c>
      <c r="E971" s="3">
        <f t="shared" si="63"/>
        <v>45264.315298231893</v>
      </c>
    </row>
    <row r="972" spans="1:5" x14ac:dyDescent="0.3">
      <c r="A972">
        <f t="shared" si="64"/>
        <v>9.6999999999998376</v>
      </c>
      <c r="B972">
        <f t="shared" si="64"/>
        <v>39.699999999998781</v>
      </c>
      <c r="C972">
        <f t="shared" si="62"/>
        <v>4.9976045144167606E-4</v>
      </c>
      <c r="D972">
        <f t="shared" si="61"/>
        <v>4.9976045144167606E-4</v>
      </c>
      <c r="E972" s="3">
        <f t="shared" si="63"/>
        <v>45307.147655939632</v>
      </c>
    </row>
    <row r="973" spans="1:5" x14ac:dyDescent="0.3">
      <c r="A973">
        <f t="shared" si="64"/>
        <v>9.7099999999998374</v>
      </c>
      <c r="B973">
        <f t="shared" si="64"/>
        <v>39.709999999998779</v>
      </c>
      <c r="C973">
        <f t="shared" si="62"/>
        <v>5.0008766513742276E-4</v>
      </c>
      <c r="D973">
        <f t="shared" si="61"/>
        <v>5.0008766513742276E-4</v>
      </c>
      <c r="E973" s="3">
        <f t="shared" si="63"/>
        <v>45349.997181756225</v>
      </c>
    </row>
    <row r="974" spans="1:5" x14ac:dyDescent="0.3">
      <c r="A974">
        <f t="shared" si="64"/>
        <v>9.7199999999998372</v>
      </c>
      <c r="B974">
        <f t="shared" si="64"/>
        <v>39.719999999998777</v>
      </c>
      <c r="C974">
        <f t="shared" si="62"/>
        <v>5.0041526154917569E-4</v>
      </c>
      <c r="D974">
        <f t="shared" si="61"/>
        <v>5.0041526154917569E-4</v>
      </c>
      <c r="E974" s="3">
        <f t="shared" si="63"/>
        <v>45392.863882705838</v>
      </c>
    </row>
    <row r="975" spans="1:5" x14ac:dyDescent="0.3">
      <c r="A975">
        <f t="shared" si="64"/>
        <v>9.729999999999837</v>
      </c>
      <c r="B975">
        <f t="shared" si="64"/>
        <v>39.729999999998775</v>
      </c>
      <c r="C975">
        <f t="shared" si="62"/>
        <v>5.0074324112456747E-4</v>
      </c>
      <c r="D975">
        <f t="shared" si="61"/>
        <v>5.0074324112456747E-4</v>
      </c>
      <c r="E975" s="3">
        <f t="shared" si="63"/>
        <v>45435.74776581589</v>
      </c>
    </row>
    <row r="976" spans="1:5" x14ac:dyDescent="0.3">
      <c r="A976">
        <f t="shared" si="64"/>
        <v>9.7399999999998368</v>
      </c>
      <c r="B976">
        <f t="shared" si="64"/>
        <v>39.739999999998773</v>
      </c>
      <c r="C976">
        <f t="shared" si="62"/>
        <v>5.0107160431175457E-4</v>
      </c>
      <c r="D976">
        <f t="shared" si="61"/>
        <v>5.0107160431175457E-4</v>
      </c>
      <c r="E976" s="3">
        <f t="shared" si="63"/>
        <v>45478.648838117078</v>
      </c>
    </row>
    <row r="977" spans="1:5" x14ac:dyDescent="0.3">
      <c r="A977">
        <f t="shared" si="64"/>
        <v>9.7499999999998366</v>
      </c>
      <c r="B977">
        <f t="shared" si="64"/>
        <v>39.749999999998771</v>
      </c>
      <c r="C977">
        <f t="shared" si="62"/>
        <v>5.0140035155941736E-4</v>
      </c>
      <c r="D977">
        <f t="shared" si="61"/>
        <v>5.0140035155941736E-4</v>
      </c>
      <c r="E977" s="3">
        <f t="shared" si="63"/>
        <v>45521.567106643372</v>
      </c>
    </row>
    <row r="978" spans="1:5" x14ac:dyDescent="0.3">
      <c r="A978">
        <f t="shared" si="64"/>
        <v>9.7599999999998364</v>
      </c>
      <c r="B978">
        <f t="shared" si="64"/>
        <v>39.759999999998769</v>
      </c>
      <c r="C978">
        <f t="shared" si="62"/>
        <v>5.0172948331676077E-4</v>
      </c>
      <c r="D978">
        <f t="shared" si="61"/>
        <v>5.0172948331676077E-4</v>
      </c>
      <c r="E978" s="3">
        <f t="shared" si="63"/>
        <v>45564.502578431966</v>
      </c>
    </row>
    <row r="979" spans="1:5" x14ac:dyDescent="0.3">
      <c r="A979">
        <f t="shared" si="64"/>
        <v>9.7699999999998361</v>
      </c>
      <c r="B979">
        <f t="shared" si="64"/>
        <v>39.769999999998767</v>
      </c>
      <c r="C979">
        <f t="shared" si="62"/>
        <v>5.0205900003351541E-4</v>
      </c>
      <c r="D979">
        <f t="shared" si="61"/>
        <v>5.0205900003351541E-4</v>
      </c>
      <c r="E979" s="3">
        <f t="shared" si="63"/>
        <v>45607.455260523384</v>
      </c>
    </row>
    <row r="980" spans="1:5" x14ac:dyDescent="0.3">
      <c r="A980">
        <f t="shared" si="64"/>
        <v>9.7799999999998359</v>
      </c>
      <c r="B980">
        <f t="shared" si="64"/>
        <v>39.779999999998765</v>
      </c>
      <c r="C980">
        <f t="shared" si="62"/>
        <v>5.0238890215993811E-4</v>
      </c>
      <c r="D980">
        <f t="shared" si="61"/>
        <v>5.0238890215993811E-4</v>
      </c>
      <c r="E980" s="3">
        <f t="shared" si="63"/>
        <v>45650.425159961378</v>
      </c>
    </row>
    <row r="981" spans="1:5" x14ac:dyDescent="0.3">
      <c r="A981">
        <f t="shared" si="64"/>
        <v>9.7899999999998357</v>
      </c>
      <c r="B981">
        <f t="shared" si="64"/>
        <v>39.789999999998763</v>
      </c>
      <c r="C981">
        <f t="shared" si="62"/>
        <v>5.0271919014681192E-4</v>
      </c>
      <c r="D981">
        <f t="shared" si="61"/>
        <v>5.0271919014681192E-4</v>
      </c>
      <c r="E981" s="3">
        <f t="shared" si="63"/>
        <v>45693.412283792997</v>
      </c>
    </row>
    <row r="982" spans="1:5" x14ac:dyDescent="0.3">
      <c r="A982">
        <f t="shared" si="64"/>
        <v>9.7999999999998355</v>
      </c>
      <c r="B982">
        <f t="shared" si="64"/>
        <v>39.799999999998761</v>
      </c>
      <c r="C982">
        <f t="shared" si="62"/>
        <v>5.0304986444544772E-4</v>
      </c>
      <c r="D982">
        <f t="shared" si="61"/>
        <v>5.0304986444544772E-4</v>
      </c>
      <c r="E982" s="3">
        <f t="shared" si="63"/>
        <v>45736.41663906855</v>
      </c>
    </row>
    <row r="983" spans="1:5" x14ac:dyDescent="0.3">
      <c r="A983">
        <f t="shared" si="64"/>
        <v>9.8099999999998353</v>
      </c>
      <c r="B983">
        <f t="shared" si="64"/>
        <v>39.809999999998759</v>
      </c>
      <c r="C983">
        <f t="shared" si="62"/>
        <v>5.033809255076834E-4</v>
      </c>
      <c r="D983">
        <f t="shared" ref="D983:D1046" si="65">IF(A983&lt;=2, (0.9)^(2-A983)*C983, C983)</f>
        <v>5.033809255076834E-4</v>
      </c>
      <c r="E983" s="3">
        <f t="shared" si="63"/>
        <v>45779.438232841632</v>
      </c>
    </row>
    <row r="984" spans="1:5" x14ac:dyDescent="0.3">
      <c r="A984">
        <f t="shared" si="64"/>
        <v>9.8199999999998351</v>
      </c>
      <c r="B984">
        <f t="shared" si="64"/>
        <v>39.819999999998757</v>
      </c>
      <c r="C984">
        <f t="shared" si="62"/>
        <v>5.0371237378588583E-4</v>
      </c>
      <c r="D984">
        <f t="shared" si="65"/>
        <v>5.0371237378588583E-4</v>
      </c>
      <c r="E984" s="3">
        <f t="shared" si="63"/>
        <v>45822.477072169124</v>
      </c>
    </row>
    <row r="985" spans="1:5" x14ac:dyDescent="0.3">
      <c r="A985">
        <f t="shared" si="64"/>
        <v>9.8299999999998349</v>
      </c>
      <c r="B985">
        <f t="shared" si="64"/>
        <v>39.829999999998755</v>
      </c>
      <c r="C985">
        <f t="shared" si="62"/>
        <v>5.0404420973295099E-4</v>
      </c>
      <c r="D985">
        <f t="shared" si="65"/>
        <v>5.0404420973295099E-4</v>
      </c>
      <c r="E985" s="3">
        <f t="shared" si="63"/>
        <v>45865.533164111192</v>
      </c>
    </row>
    <row r="986" spans="1:5" x14ac:dyDescent="0.3">
      <c r="A986">
        <f t="shared" si="64"/>
        <v>9.8399999999998347</v>
      </c>
      <c r="B986">
        <f t="shared" si="64"/>
        <v>39.839999999998753</v>
      </c>
      <c r="C986">
        <f t="shared" si="62"/>
        <v>5.0437643380230458E-4</v>
      </c>
      <c r="D986">
        <f t="shared" si="65"/>
        <v>5.0437643380230458E-4</v>
      </c>
      <c r="E986" s="3">
        <f t="shared" si="63"/>
        <v>45908.606515731277</v>
      </c>
    </row>
    <row r="987" spans="1:5" x14ac:dyDescent="0.3">
      <c r="A987">
        <f t="shared" si="64"/>
        <v>9.8499999999998344</v>
      </c>
      <c r="B987">
        <f t="shared" si="64"/>
        <v>39.849999999998751</v>
      </c>
      <c r="C987">
        <f t="shared" si="62"/>
        <v>5.0470904644790292E-4</v>
      </c>
      <c r="D987">
        <f t="shared" si="65"/>
        <v>5.0470904644790292E-4</v>
      </c>
      <c r="E987" s="3">
        <f t="shared" si="63"/>
        <v>45951.69713409611</v>
      </c>
    </row>
    <row r="988" spans="1:5" x14ac:dyDescent="0.3">
      <c r="A988">
        <f t="shared" si="64"/>
        <v>9.8599999999998342</v>
      </c>
      <c r="B988">
        <f t="shared" si="64"/>
        <v>39.859999999998749</v>
      </c>
      <c r="C988">
        <f t="shared" si="62"/>
        <v>5.0504204812423228E-4</v>
      </c>
      <c r="D988">
        <f t="shared" si="65"/>
        <v>5.0504204812423228E-4</v>
      </c>
      <c r="E988" s="3">
        <f t="shared" si="63"/>
        <v>45994.805026275724</v>
      </c>
    </row>
    <row r="989" spans="1:5" x14ac:dyDescent="0.3">
      <c r="A989">
        <f t="shared" si="64"/>
        <v>9.869999999999834</v>
      </c>
      <c r="B989">
        <f t="shared" si="64"/>
        <v>39.869999999998747</v>
      </c>
      <c r="C989">
        <f t="shared" si="62"/>
        <v>5.0537543928631139E-4</v>
      </c>
      <c r="D989">
        <f t="shared" si="65"/>
        <v>5.0537543928631139E-4</v>
      </c>
      <c r="E989" s="3">
        <f t="shared" si="63"/>
        <v>46037.930199343435</v>
      </c>
    </row>
    <row r="990" spans="1:5" x14ac:dyDescent="0.3">
      <c r="A990">
        <f t="shared" si="64"/>
        <v>9.8799999999998338</v>
      </c>
      <c r="B990">
        <f t="shared" si="64"/>
        <v>39.879999999998745</v>
      </c>
      <c r="C990">
        <f t="shared" si="62"/>
        <v>5.0570922038969111E-4</v>
      </c>
      <c r="D990">
        <f t="shared" si="65"/>
        <v>5.0570922038969111E-4</v>
      </c>
      <c r="E990" s="3">
        <f t="shared" si="63"/>
        <v>46081.072660375874</v>
      </c>
    </row>
    <row r="991" spans="1:5" x14ac:dyDescent="0.3">
      <c r="A991">
        <f t="shared" si="64"/>
        <v>9.8899999999998336</v>
      </c>
      <c r="B991">
        <f t="shared" si="64"/>
        <v>39.889999999998743</v>
      </c>
      <c r="C991">
        <f t="shared" si="62"/>
        <v>5.0604339189045484E-4</v>
      </c>
      <c r="D991">
        <f t="shared" si="65"/>
        <v>5.0604339189045484E-4</v>
      </c>
      <c r="E991" s="3">
        <f t="shared" si="63"/>
        <v>46124.232416452935</v>
      </c>
    </row>
    <row r="992" spans="1:5" x14ac:dyDescent="0.3">
      <c r="A992">
        <f t="shared" si="64"/>
        <v>9.8999999999998334</v>
      </c>
      <c r="B992">
        <f t="shared" si="64"/>
        <v>39.899999999998741</v>
      </c>
      <c r="C992">
        <f t="shared" si="62"/>
        <v>5.0637795424521986E-4</v>
      </c>
      <c r="D992">
        <f t="shared" si="65"/>
        <v>5.0637795424521986E-4</v>
      </c>
      <c r="E992" s="3">
        <f t="shared" si="63"/>
        <v>46167.409474657834</v>
      </c>
    </row>
    <row r="993" spans="1:5" x14ac:dyDescent="0.3">
      <c r="A993">
        <f t="shared" si="64"/>
        <v>9.9099999999998332</v>
      </c>
      <c r="B993">
        <f t="shared" si="64"/>
        <v>39.909999999998739</v>
      </c>
      <c r="C993">
        <f t="shared" si="62"/>
        <v>5.0671290791113677E-4</v>
      </c>
      <c r="D993">
        <f t="shared" si="65"/>
        <v>5.0671290791113677E-4</v>
      </c>
      <c r="E993" s="3">
        <f t="shared" si="63"/>
        <v>46210.603842077071</v>
      </c>
    </row>
    <row r="994" spans="1:5" x14ac:dyDescent="0.3">
      <c r="A994">
        <f t="shared" si="64"/>
        <v>9.919999999999833</v>
      </c>
      <c r="B994">
        <f t="shared" si="64"/>
        <v>39.919999999998737</v>
      </c>
      <c r="C994">
        <f t="shared" si="62"/>
        <v>5.0704825334589143E-4</v>
      </c>
      <c r="D994">
        <f t="shared" si="65"/>
        <v>5.0704825334589143E-4</v>
      </c>
      <c r="E994" s="3">
        <f t="shared" si="63"/>
        <v>46253.815525800484</v>
      </c>
    </row>
    <row r="995" spans="1:5" x14ac:dyDescent="0.3">
      <c r="A995">
        <f t="shared" si="64"/>
        <v>9.9299999999998327</v>
      </c>
      <c r="B995">
        <f t="shared" si="64"/>
        <v>39.929999999998735</v>
      </c>
      <c r="C995">
        <f t="shared" si="62"/>
        <v>5.0738399100770497E-4</v>
      </c>
      <c r="D995">
        <f t="shared" si="65"/>
        <v>5.0738399100770497E-4</v>
      </c>
      <c r="E995" s="3">
        <f t="shared" si="63"/>
        <v>46297.04453292118</v>
      </c>
    </row>
    <row r="996" spans="1:5" x14ac:dyDescent="0.3">
      <c r="A996">
        <f t="shared" si="64"/>
        <v>9.9399999999998325</v>
      </c>
      <c r="B996">
        <f t="shared" si="64"/>
        <v>39.939999999998733</v>
      </c>
      <c r="C996">
        <f t="shared" si="62"/>
        <v>5.0772012135533444E-4</v>
      </c>
      <c r="D996">
        <f t="shared" si="65"/>
        <v>5.0772012135533444E-4</v>
      </c>
      <c r="E996" s="3">
        <f t="shared" si="63"/>
        <v>46340.290870535602</v>
      </c>
    </row>
    <row r="997" spans="1:5" x14ac:dyDescent="0.3">
      <c r="A997">
        <f t="shared" si="64"/>
        <v>9.9499999999998323</v>
      </c>
      <c r="B997">
        <f t="shared" si="64"/>
        <v>39.949999999998731</v>
      </c>
      <c r="C997">
        <f t="shared" si="62"/>
        <v>5.080566448480736E-4</v>
      </c>
      <c r="D997">
        <f t="shared" si="65"/>
        <v>5.080566448480736E-4</v>
      </c>
      <c r="E997" s="3">
        <f t="shared" si="63"/>
        <v>46383.5545457435</v>
      </c>
    </row>
    <row r="998" spans="1:5" x14ac:dyDescent="0.3">
      <c r="A998">
        <f t="shared" si="64"/>
        <v>9.9599999999998321</v>
      </c>
      <c r="B998">
        <f t="shared" si="64"/>
        <v>39.959999999998729</v>
      </c>
      <c r="C998">
        <f t="shared" si="62"/>
        <v>5.0839356194575262E-4</v>
      </c>
      <c r="D998">
        <f t="shared" si="65"/>
        <v>5.0839356194575262E-4</v>
      </c>
      <c r="E998" s="3">
        <f t="shared" si="63"/>
        <v>46426.835565647933</v>
      </c>
    </row>
    <row r="999" spans="1:5" x14ac:dyDescent="0.3">
      <c r="A999">
        <f t="shared" si="64"/>
        <v>9.9699999999998319</v>
      </c>
      <c r="B999">
        <f t="shared" si="64"/>
        <v>39.969999999998727</v>
      </c>
      <c r="C999">
        <f t="shared" si="62"/>
        <v>5.0873087310874057E-4</v>
      </c>
      <c r="D999">
        <f t="shared" si="65"/>
        <v>5.0873087310874057E-4</v>
      </c>
      <c r="E999" s="3">
        <f t="shared" si="63"/>
        <v>46470.133937355269</v>
      </c>
    </row>
    <row r="1000" spans="1:5" x14ac:dyDescent="0.3">
      <c r="A1000">
        <f t="shared" si="64"/>
        <v>9.9799999999998317</v>
      </c>
      <c r="B1000">
        <f t="shared" si="64"/>
        <v>39.979999999998725</v>
      </c>
      <c r="C1000">
        <f t="shared" si="62"/>
        <v>5.0906857879794436E-4</v>
      </c>
      <c r="D1000">
        <f t="shared" si="65"/>
        <v>5.0906857879794436E-4</v>
      </c>
      <c r="E1000" s="3">
        <f t="shared" si="63"/>
        <v>46513.449667975219</v>
      </c>
    </row>
    <row r="1001" spans="1:5" x14ac:dyDescent="0.3">
      <c r="A1001">
        <f t="shared" si="64"/>
        <v>9.9899999999998315</v>
      </c>
      <c r="B1001">
        <f t="shared" si="64"/>
        <v>39.989999999998723</v>
      </c>
      <c r="C1001">
        <f t="shared" si="62"/>
        <v>5.0940667947481019E-4</v>
      </c>
      <c r="D1001">
        <f t="shared" si="65"/>
        <v>5.0940667947481019E-4</v>
      </c>
      <c r="E1001" s="3">
        <f t="shared" si="63"/>
        <v>46556.782764620788</v>
      </c>
    </row>
    <row r="1002" spans="1:5" x14ac:dyDescent="0.3">
      <c r="A1002">
        <f t="shared" si="64"/>
        <v>9.9999999999998312</v>
      </c>
      <c r="B1002">
        <f t="shared" si="64"/>
        <v>39.999999999998721</v>
      </c>
      <c r="C1002">
        <f t="shared" si="62"/>
        <v>5.097451756013241E-4</v>
      </c>
      <c r="D1002">
        <f t="shared" si="65"/>
        <v>5.097451756013241E-4</v>
      </c>
      <c r="E1002" s="3">
        <f t="shared" si="63"/>
        <v>46600.133234408313</v>
      </c>
    </row>
    <row r="1003" spans="1:5" x14ac:dyDescent="0.3">
      <c r="A1003">
        <f t="shared" si="64"/>
        <v>10.009999999999831</v>
      </c>
      <c r="B1003">
        <f t="shared" si="64"/>
        <v>40.009999999998719</v>
      </c>
      <c r="C1003">
        <f t="shared" si="62"/>
        <v>5.1008406764001181E-4</v>
      </c>
      <c r="D1003">
        <f t="shared" si="65"/>
        <v>5.1008406764001181E-4</v>
      </c>
      <c r="E1003" s="3">
        <f t="shared" si="63"/>
        <v>46643.501084457457</v>
      </c>
    </row>
    <row r="1004" spans="1:5" x14ac:dyDescent="0.3">
      <c r="A1004">
        <f t="shared" si="64"/>
        <v>10.019999999999831</v>
      </c>
      <c r="B1004">
        <f t="shared" si="64"/>
        <v>40.019999999998717</v>
      </c>
      <c r="C1004">
        <f t="shared" si="62"/>
        <v>5.1042335605394086E-4</v>
      </c>
      <c r="D1004">
        <f t="shared" si="65"/>
        <v>5.1042335605394086E-4</v>
      </c>
      <c r="E1004" s="3">
        <f t="shared" si="63"/>
        <v>46686.886321891223</v>
      </c>
    </row>
    <row r="1005" spans="1:5" x14ac:dyDescent="0.3">
      <c r="A1005">
        <f t="shared" si="64"/>
        <v>10.029999999999831</v>
      </c>
      <c r="B1005">
        <f t="shared" si="64"/>
        <v>40.029999999998715</v>
      </c>
      <c r="C1005">
        <f t="shared" si="62"/>
        <v>5.1076304130672E-4</v>
      </c>
      <c r="D1005">
        <f t="shared" si="65"/>
        <v>5.1076304130672E-4</v>
      </c>
      <c r="E1005" s="3">
        <f t="shared" si="63"/>
        <v>46730.288953835923</v>
      </c>
    </row>
    <row r="1006" spans="1:5" x14ac:dyDescent="0.3">
      <c r="A1006">
        <f t="shared" si="64"/>
        <v>10.03999999999983</v>
      </c>
      <c r="B1006">
        <f t="shared" si="64"/>
        <v>40.039999999998713</v>
      </c>
      <c r="C1006">
        <f t="shared" si="62"/>
        <v>5.1110312386250017E-4</v>
      </c>
      <c r="D1006">
        <f t="shared" si="65"/>
        <v>5.1110312386250017E-4</v>
      </c>
      <c r="E1006" s="3">
        <f t="shared" si="63"/>
        <v>46773.708987421225</v>
      </c>
    </row>
    <row r="1007" spans="1:5" x14ac:dyDescent="0.3">
      <c r="A1007">
        <f t="shared" si="64"/>
        <v>10.04999999999983</v>
      </c>
      <c r="B1007">
        <f t="shared" si="64"/>
        <v>40.049999999998711</v>
      </c>
      <c r="C1007">
        <f t="shared" si="62"/>
        <v>5.1144360418597576E-4</v>
      </c>
      <c r="D1007">
        <f t="shared" si="65"/>
        <v>5.1144360418597576E-4</v>
      </c>
      <c r="E1007" s="3">
        <f t="shared" si="63"/>
        <v>46817.146429780114</v>
      </c>
    </row>
    <row r="1008" spans="1:5" x14ac:dyDescent="0.3">
      <c r="A1008">
        <f t="shared" si="64"/>
        <v>10.05999999999983</v>
      </c>
      <c r="B1008">
        <f t="shared" si="64"/>
        <v>40.059999999998709</v>
      </c>
      <c r="C1008">
        <f t="shared" si="62"/>
        <v>5.1178448274238344E-4</v>
      </c>
      <c r="D1008">
        <f t="shared" si="65"/>
        <v>5.1178448274238344E-4</v>
      </c>
      <c r="E1008" s="3">
        <f t="shared" si="63"/>
        <v>46860.601288048914</v>
      </c>
    </row>
    <row r="1009" spans="1:5" x14ac:dyDescent="0.3">
      <c r="A1009">
        <f t="shared" si="64"/>
        <v>10.06999999999983</v>
      </c>
      <c r="B1009">
        <f t="shared" si="64"/>
        <v>40.069999999998707</v>
      </c>
      <c r="C1009">
        <f t="shared" si="62"/>
        <v>5.1212575999750535E-4</v>
      </c>
      <c r="D1009">
        <f t="shared" si="65"/>
        <v>5.1212575999750535E-4</v>
      </c>
      <c r="E1009" s="3">
        <f t="shared" si="63"/>
        <v>46904.073569367305</v>
      </c>
    </row>
    <row r="1010" spans="1:5" x14ac:dyDescent="0.3">
      <c r="A1010">
        <f t="shared" si="64"/>
        <v>10.07999999999983</v>
      </c>
      <c r="B1010">
        <f t="shared" si="64"/>
        <v>40.079999999998705</v>
      </c>
      <c r="C1010">
        <f t="shared" si="62"/>
        <v>5.1246743641766769E-4</v>
      </c>
      <c r="D1010">
        <f t="shared" si="65"/>
        <v>5.1246743641766769E-4</v>
      </c>
      <c r="E1010" s="3">
        <f t="shared" si="63"/>
        <v>46947.56328087829</v>
      </c>
    </row>
    <row r="1011" spans="1:5" x14ac:dyDescent="0.3">
      <c r="A1011">
        <f t="shared" si="64"/>
        <v>10.089999999999829</v>
      </c>
      <c r="B1011">
        <f t="shared" si="64"/>
        <v>40.089999999998703</v>
      </c>
      <c r="C1011">
        <f t="shared" si="62"/>
        <v>5.1280951246974224E-4</v>
      </c>
      <c r="D1011">
        <f t="shared" si="65"/>
        <v>5.1280951246974224E-4</v>
      </c>
      <c r="E1011" s="3">
        <f t="shared" si="63"/>
        <v>46991.070429728228</v>
      </c>
    </row>
    <row r="1012" spans="1:5" x14ac:dyDescent="0.3">
      <c r="A1012">
        <f t="shared" si="64"/>
        <v>10.099999999999829</v>
      </c>
      <c r="B1012">
        <f t="shared" si="64"/>
        <v>40.099999999998701</v>
      </c>
      <c r="C1012">
        <f t="shared" si="62"/>
        <v>5.1315198862114729E-4</v>
      </c>
      <c r="D1012">
        <f t="shared" si="65"/>
        <v>5.1315198862114729E-4</v>
      </c>
      <c r="E1012" s="3">
        <f t="shared" si="63"/>
        <v>47034.595023066831</v>
      </c>
    </row>
    <row r="1013" spans="1:5" x14ac:dyDescent="0.3">
      <c r="A1013">
        <f t="shared" si="64"/>
        <v>10.109999999999829</v>
      </c>
      <c r="B1013">
        <f t="shared" si="64"/>
        <v>40.109999999998699</v>
      </c>
      <c r="C1013">
        <f t="shared" si="62"/>
        <v>5.1349486533984684E-4</v>
      </c>
      <c r="D1013">
        <f t="shared" si="65"/>
        <v>5.1349486533984684E-4</v>
      </c>
      <c r="E1013" s="3">
        <f t="shared" si="63"/>
        <v>47078.13706804713</v>
      </c>
    </row>
    <row r="1014" spans="1:5" x14ac:dyDescent="0.3">
      <c r="A1014">
        <f t="shared" si="64"/>
        <v>10.119999999999829</v>
      </c>
      <c r="B1014">
        <f t="shared" si="64"/>
        <v>40.119999999998697</v>
      </c>
      <c r="C1014">
        <f t="shared" si="62"/>
        <v>5.1383814309435296E-4</v>
      </c>
      <c r="D1014">
        <f t="shared" si="65"/>
        <v>5.1383814309435296E-4</v>
      </c>
      <c r="E1014" s="3">
        <f t="shared" si="63"/>
        <v>47121.696571825545</v>
      </c>
    </row>
    <row r="1015" spans="1:5" x14ac:dyDescent="0.3">
      <c r="A1015">
        <f t="shared" si="64"/>
        <v>10.129999999999828</v>
      </c>
      <c r="B1015">
        <f t="shared" si="64"/>
        <v>40.129999999998695</v>
      </c>
      <c r="C1015">
        <f t="shared" si="62"/>
        <v>5.1418182235372565E-4</v>
      </c>
      <c r="D1015">
        <f t="shared" si="65"/>
        <v>5.1418182235372565E-4</v>
      </c>
      <c r="E1015" s="3">
        <f t="shared" si="63"/>
        <v>47165.273541561837</v>
      </c>
    </row>
    <row r="1016" spans="1:5" x14ac:dyDescent="0.3">
      <c r="A1016">
        <f t="shared" si="64"/>
        <v>10.139999999999828</v>
      </c>
      <c r="B1016">
        <f t="shared" si="64"/>
        <v>40.139999999998693</v>
      </c>
      <c r="C1016">
        <f t="shared" si="62"/>
        <v>5.1452590358757331E-4</v>
      </c>
      <c r="D1016">
        <f t="shared" si="65"/>
        <v>5.1452590358757331E-4</v>
      </c>
      <c r="E1016" s="3">
        <f t="shared" si="63"/>
        <v>47208.867984419121</v>
      </c>
    </row>
    <row r="1017" spans="1:5" x14ac:dyDescent="0.3">
      <c r="A1017">
        <f t="shared" si="64"/>
        <v>10.149999999999828</v>
      </c>
      <c r="B1017">
        <f t="shared" si="64"/>
        <v>40.149999999998691</v>
      </c>
      <c r="C1017">
        <f t="shared" si="62"/>
        <v>5.1487038726605414E-4</v>
      </c>
      <c r="D1017">
        <f t="shared" si="65"/>
        <v>5.1487038726605414E-4</v>
      </c>
      <c r="E1017" s="3">
        <f t="shared" si="63"/>
        <v>47252.479907563873</v>
      </c>
    </row>
    <row r="1018" spans="1:5" x14ac:dyDescent="0.3">
      <c r="A1018">
        <f t="shared" si="64"/>
        <v>10.159999999999828</v>
      </c>
      <c r="B1018">
        <f t="shared" si="64"/>
        <v>40.159999999998689</v>
      </c>
      <c r="C1018">
        <f t="shared" si="62"/>
        <v>5.1521527385987528E-4</v>
      </c>
      <c r="D1018">
        <f t="shared" si="65"/>
        <v>5.1521527385987528E-4</v>
      </c>
      <c r="E1018" s="3">
        <f t="shared" si="63"/>
        <v>47296.109318165916</v>
      </c>
    </row>
    <row r="1019" spans="1:5" x14ac:dyDescent="0.3">
      <c r="A1019">
        <f t="shared" si="64"/>
        <v>10.169999999999828</v>
      </c>
      <c r="B1019">
        <f t="shared" si="64"/>
        <v>40.169999999998687</v>
      </c>
      <c r="C1019">
        <f t="shared" si="62"/>
        <v>5.1556056384029518E-4</v>
      </c>
      <c r="D1019">
        <f t="shared" si="65"/>
        <v>5.1556056384029518E-4</v>
      </c>
      <c r="E1019" s="3">
        <f t="shared" si="63"/>
        <v>47339.756223398472</v>
      </c>
    </row>
    <row r="1020" spans="1:5" x14ac:dyDescent="0.3">
      <c r="A1020">
        <f t="shared" si="64"/>
        <v>10.179999999999827</v>
      </c>
      <c r="B1020">
        <f t="shared" si="64"/>
        <v>40.179999999998685</v>
      </c>
      <c r="C1020">
        <f t="shared" si="62"/>
        <v>5.1590625767912327E-4</v>
      </c>
      <c r="D1020">
        <f t="shared" si="65"/>
        <v>5.1590625767912327E-4</v>
      </c>
      <c r="E1020" s="3">
        <f t="shared" si="63"/>
        <v>47383.420630438093</v>
      </c>
    </row>
    <row r="1021" spans="1:5" x14ac:dyDescent="0.3">
      <c r="A1021">
        <f t="shared" si="64"/>
        <v>10.189999999999827</v>
      </c>
      <c r="B1021">
        <f t="shared" si="64"/>
        <v>40.189999999998683</v>
      </c>
      <c r="C1021">
        <f t="shared" si="62"/>
        <v>5.1625235584872085E-4</v>
      </c>
      <c r="D1021">
        <f t="shared" si="65"/>
        <v>5.1625235584872085E-4</v>
      </c>
      <c r="E1021" s="3">
        <f t="shared" si="63"/>
        <v>47427.102546464717</v>
      </c>
    </row>
    <row r="1022" spans="1:5" x14ac:dyDescent="0.3">
      <c r="A1022">
        <f t="shared" si="64"/>
        <v>10.199999999999827</v>
      </c>
      <c r="B1022">
        <f t="shared" si="64"/>
        <v>40.199999999998681</v>
      </c>
      <c r="C1022">
        <f t="shared" si="62"/>
        <v>5.1659885882200185E-4</v>
      </c>
      <c r="D1022">
        <f t="shared" si="65"/>
        <v>5.1659885882200185E-4</v>
      </c>
      <c r="E1022" s="3">
        <f t="shared" si="63"/>
        <v>47470.801978661657</v>
      </c>
    </row>
    <row r="1023" spans="1:5" x14ac:dyDescent="0.3">
      <c r="A1023">
        <f t="shared" si="64"/>
        <v>10.209999999999827</v>
      </c>
      <c r="B1023">
        <f t="shared" si="64"/>
        <v>40.209999999998679</v>
      </c>
      <c r="C1023">
        <f t="shared" si="62"/>
        <v>5.169457670724328E-4</v>
      </c>
      <c r="D1023">
        <f t="shared" si="65"/>
        <v>5.169457670724328E-4</v>
      </c>
      <c r="E1023" s="3">
        <f t="shared" si="63"/>
        <v>47514.518934215594</v>
      </c>
    </row>
    <row r="1024" spans="1:5" x14ac:dyDescent="0.3">
      <c r="A1024">
        <f t="shared" si="64"/>
        <v>10.219999999999827</v>
      </c>
      <c r="B1024">
        <f t="shared" si="64"/>
        <v>40.219999999998677</v>
      </c>
      <c r="C1024">
        <f t="shared" si="62"/>
        <v>5.1729308107403447E-4</v>
      </c>
      <c r="D1024">
        <f t="shared" si="65"/>
        <v>5.1729308107403447E-4</v>
      </c>
      <c r="E1024" s="3">
        <f t="shared" si="63"/>
        <v>47558.253420316585</v>
      </c>
    </row>
    <row r="1025" spans="1:5" x14ac:dyDescent="0.3">
      <c r="A1025">
        <f t="shared" si="64"/>
        <v>10.229999999999826</v>
      </c>
      <c r="B1025">
        <f t="shared" si="64"/>
        <v>40.229999999998675</v>
      </c>
      <c r="C1025">
        <f t="shared" si="62"/>
        <v>5.17640801301382E-4</v>
      </c>
      <c r="D1025">
        <f t="shared" si="65"/>
        <v>5.17640801301382E-4</v>
      </c>
      <c r="E1025" s="3">
        <f t="shared" si="63"/>
        <v>47602.005444158065</v>
      </c>
    </row>
    <row r="1026" spans="1:5" x14ac:dyDescent="0.3">
      <c r="A1026">
        <f t="shared" si="64"/>
        <v>10.239999999999826</v>
      </c>
      <c r="B1026">
        <f t="shared" si="64"/>
        <v>40.239999999998673</v>
      </c>
      <c r="C1026">
        <f t="shared" si="62"/>
        <v>5.1798892822960553E-4</v>
      </c>
      <c r="D1026">
        <f t="shared" si="65"/>
        <v>5.1798892822960553E-4</v>
      </c>
      <c r="E1026" s="3">
        <f t="shared" si="63"/>
        <v>47645.775012936851</v>
      </c>
    </row>
    <row r="1027" spans="1:5" x14ac:dyDescent="0.3">
      <c r="A1027">
        <f t="shared" si="64"/>
        <v>10.249999999999826</v>
      </c>
      <c r="B1027">
        <f t="shared" si="64"/>
        <v>40.249999999998671</v>
      </c>
      <c r="C1027">
        <f t="shared" ref="C1027:C1090" si="66">$N$2 + $N$3*$N$4^(B1027)</f>
        <v>5.1833746233439127E-4</v>
      </c>
      <c r="D1027">
        <f t="shared" si="65"/>
        <v>5.1833746233439127E-4</v>
      </c>
      <c r="E1027" s="3">
        <f t="shared" ref="E1027:E1090" si="67">IF(ROUND(A1027, 2)=$N$10,$N$6,(E1028-$N$5*($N$7-$N$8-($N$6+$N$9)*D1027))/(1+$N$5*$N$11+$N$5*D1027))</f>
        <v>47689.562133853135</v>
      </c>
    </row>
    <row r="1028" spans="1:5" x14ac:dyDescent="0.3">
      <c r="A1028">
        <f t="shared" ref="A1028:B1091" si="68">A1027+$N$5</f>
        <v>10.259999999999826</v>
      </c>
      <c r="B1028">
        <f t="shared" si="68"/>
        <v>40.259999999998669</v>
      </c>
      <c r="C1028">
        <f t="shared" si="66"/>
        <v>5.1868640409198088E-4</v>
      </c>
      <c r="D1028">
        <f t="shared" si="65"/>
        <v>5.1868640409198088E-4</v>
      </c>
      <c r="E1028" s="3">
        <f t="shared" si="67"/>
        <v>47733.366814110494</v>
      </c>
    </row>
    <row r="1029" spans="1:5" x14ac:dyDescent="0.3">
      <c r="A1029">
        <f t="shared" si="68"/>
        <v>10.269999999999825</v>
      </c>
      <c r="B1029">
        <f t="shared" si="68"/>
        <v>40.269999999998667</v>
      </c>
      <c r="C1029">
        <f t="shared" si="66"/>
        <v>5.1903575397917385E-4</v>
      </c>
      <c r="D1029">
        <f t="shared" si="65"/>
        <v>5.1903575397917385E-4</v>
      </c>
      <c r="E1029" s="3">
        <f t="shared" si="67"/>
        <v>47777.189060915924</v>
      </c>
    </row>
    <row r="1030" spans="1:5" x14ac:dyDescent="0.3">
      <c r="A1030">
        <f t="shared" si="68"/>
        <v>10.279999999999825</v>
      </c>
      <c r="B1030">
        <f t="shared" si="68"/>
        <v>40.279999999998665</v>
      </c>
      <c r="C1030">
        <f t="shared" si="66"/>
        <v>5.1938551247332726E-4</v>
      </c>
      <c r="D1030">
        <f t="shared" si="65"/>
        <v>5.1938551247332726E-4</v>
      </c>
      <c r="E1030" s="3">
        <f t="shared" si="67"/>
        <v>47821.028881479782</v>
      </c>
    </row>
    <row r="1031" spans="1:5" x14ac:dyDescent="0.3">
      <c r="A1031">
        <f t="shared" si="68"/>
        <v>10.289999999999825</v>
      </c>
      <c r="B1031">
        <f t="shared" si="68"/>
        <v>40.289999999998663</v>
      </c>
      <c r="C1031">
        <f t="shared" si="66"/>
        <v>5.1973568005235634E-4</v>
      </c>
      <c r="D1031">
        <f t="shared" si="65"/>
        <v>5.1973568005235634E-4</v>
      </c>
      <c r="E1031" s="3">
        <f t="shared" si="67"/>
        <v>47864.886283015818</v>
      </c>
    </row>
    <row r="1032" spans="1:5" x14ac:dyDescent="0.3">
      <c r="A1032">
        <f t="shared" si="68"/>
        <v>10.299999999999825</v>
      </c>
      <c r="B1032">
        <f t="shared" si="68"/>
        <v>40.299999999998661</v>
      </c>
      <c r="C1032">
        <f t="shared" si="66"/>
        <v>5.2008625719473557E-4</v>
      </c>
      <c r="D1032">
        <f t="shared" si="65"/>
        <v>5.2008625719473557E-4</v>
      </c>
      <c r="E1032" s="3">
        <f t="shared" si="67"/>
        <v>47908.761272741198</v>
      </c>
    </row>
    <row r="1033" spans="1:5" x14ac:dyDescent="0.3">
      <c r="A1033">
        <f t="shared" si="68"/>
        <v>10.309999999999825</v>
      </c>
      <c r="B1033">
        <f t="shared" si="68"/>
        <v>40.309999999998659</v>
      </c>
      <c r="C1033">
        <f t="shared" si="66"/>
        <v>5.2043724437949841E-4</v>
      </c>
      <c r="D1033">
        <f t="shared" si="65"/>
        <v>5.2043724437949841E-4</v>
      </c>
      <c r="E1033" s="3">
        <f t="shared" si="67"/>
        <v>47952.653857876467</v>
      </c>
    </row>
    <row r="1034" spans="1:5" x14ac:dyDescent="0.3">
      <c r="A1034">
        <f t="shared" si="68"/>
        <v>10.319999999999824</v>
      </c>
      <c r="B1034">
        <f t="shared" si="68"/>
        <v>40.319999999998657</v>
      </c>
      <c r="C1034">
        <f t="shared" si="66"/>
        <v>5.2078864208623911E-4</v>
      </c>
      <c r="D1034">
        <f t="shared" si="65"/>
        <v>5.2078864208623911E-4</v>
      </c>
      <c r="E1034" s="3">
        <f t="shared" si="67"/>
        <v>47996.564045645588</v>
      </c>
    </row>
    <row r="1035" spans="1:5" x14ac:dyDescent="0.3">
      <c r="A1035">
        <f t="shared" si="68"/>
        <v>10.329999999999824</v>
      </c>
      <c r="B1035">
        <f t="shared" si="68"/>
        <v>40.329999999998655</v>
      </c>
      <c r="C1035">
        <f t="shared" si="66"/>
        <v>5.2114045079511295E-4</v>
      </c>
      <c r="D1035">
        <f t="shared" si="65"/>
        <v>5.2114045079511295E-4</v>
      </c>
      <c r="E1035" s="3">
        <f t="shared" si="67"/>
        <v>48040.4918432759</v>
      </c>
    </row>
    <row r="1036" spans="1:5" x14ac:dyDescent="0.3">
      <c r="A1036">
        <f t="shared" si="68"/>
        <v>10.339999999999824</v>
      </c>
      <c r="B1036">
        <f t="shared" si="68"/>
        <v>40.339999999998653</v>
      </c>
      <c r="C1036">
        <f t="shared" si="66"/>
        <v>5.2149267098683665E-4</v>
      </c>
      <c r="D1036">
        <f t="shared" si="65"/>
        <v>5.2149267098683665E-4</v>
      </c>
      <c r="E1036" s="3">
        <f t="shared" si="67"/>
        <v>48084.437257998172</v>
      </c>
    </row>
    <row r="1037" spans="1:5" x14ac:dyDescent="0.3">
      <c r="A1037">
        <f t="shared" si="68"/>
        <v>10.349999999999824</v>
      </c>
      <c r="B1037">
        <f t="shared" si="68"/>
        <v>40.349999999998651</v>
      </c>
      <c r="C1037">
        <f t="shared" si="66"/>
        <v>5.2184530314268907E-4</v>
      </c>
      <c r="D1037">
        <f t="shared" si="65"/>
        <v>5.2184530314268907E-4</v>
      </c>
      <c r="E1037" s="3">
        <f t="shared" si="67"/>
        <v>48128.400297046559</v>
      </c>
    </row>
    <row r="1038" spans="1:5" x14ac:dyDescent="0.3">
      <c r="A1038">
        <f t="shared" si="68"/>
        <v>10.359999999999824</v>
      </c>
      <c r="B1038">
        <f t="shared" si="68"/>
        <v>40.359999999998649</v>
      </c>
      <c r="C1038">
        <f t="shared" si="66"/>
        <v>5.2219834774451252E-4</v>
      </c>
      <c r="D1038">
        <f t="shared" si="65"/>
        <v>5.2219834774451252E-4</v>
      </c>
      <c r="E1038" s="3">
        <f t="shared" si="67"/>
        <v>48172.380967658668</v>
      </c>
    </row>
    <row r="1039" spans="1:5" x14ac:dyDescent="0.3">
      <c r="A1039">
        <f t="shared" si="68"/>
        <v>10.369999999999823</v>
      </c>
      <c r="B1039">
        <f t="shared" si="68"/>
        <v>40.369999999998647</v>
      </c>
      <c r="C1039">
        <f t="shared" si="66"/>
        <v>5.2255180527471183E-4</v>
      </c>
      <c r="D1039">
        <f t="shared" si="65"/>
        <v>5.2255180527471183E-4</v>
      </c>
      <c r="E1039" s="3">
        <f t="shared" si="67"/>
        <v>48216.379277075466</v>
      </c>
    </row>
    <row r="1040" spans="1:5" x14ac:dyDescent="0.3">
      <c r="A1040">
        <f t="shared" si="68"/>
        <v>10.379999999999823</v>
      </c>
      <c r="B1040">
        <f t="shared" si="68"/>
        <v>40.379999999998645</v>
      </c>
      <c r="C1040">
        <f t="shared" si="66"/>
        <v>5.2290567621625698E-4</v>
      </c>
      <c r="D1040">
        <f t="shared" si="65"/>
        <v>5.2290567621625698E-4</v>
      </c>
      <c r="E1040" s="3">
        <f t="shared" si="67"/>
        <v>48260.39523254137</v>
      </c>
    </row>
    <row r="1041" spans="1:5" x14ac:dyDescent="0.3">
      <c r="A1041">
        <f t="shared" si="68"/>
        <v>10.389999999999823</v>
      </c>
      <c r="B1041">
        <f t="shared" si="68"/>
        <v>40.389999999998643</v>
      </c>
      <c r="C1041">
        <f t="shared" si="66"/>
        <v>5.2325996105268252E-4</v>
      </c>
      <c r="D1041">
        <f t="shared" si="65"/>
        <v>5.2325996105268252E-4</v>
      </c>
      <c r="E1041" s="3">
        <f t="shared" si="67"/>
        <v>48304.428841304209</v>
      </c>
    </row>
    <row r="1042" spans="1:5" x14ac:dyDescent="0.3">
      <c r="A1042">
        <f t="shared" si="68"/>
        <v>10.399999999999823</v>
      </c>
      <c r="B1042">
        <f t="shared" si="68"/>
        <v>40.399999999998641</v>
      </c>
      <c r="C1042">
        <f t="shared" si="66"/>
        <v>5.2361466026808873E-4</v>
      </c>
      <c r="D1042">
        <f t="shared" si="65"/>
        <v>5.2361466026808873E-4</v>
      </c>
      <c r="E1042" s="3">
        <f t="shared" si="67"/>
        <v>48348.480110615215</v>
      </c>
    </row>
    <row r="1043" spans="1:5" x14ac:dyDescent="0.3">
      <c r="A1043">
        <f t="shared" si="68"/>
        <v>10.409999999999823</v>
      </c>
      <c r="B1043">
        <f t="shared" si="68"/>
        <v>40.409999999998639</v>
      </c>
      <c r="C1043">
        <f t="shared" si="66"/>
        <v>5.2396977434714207E-4</v>
      </c>
      <c r="D1043">
        <f t="shared" si="65"/>
        <v>5.2396977434714207E-4</v>
      </c>
      <c r="E1043" s="3">
        <f t="shared" si="67"/>
        <v>48392.549047729066</v>
      </c>
    </row>
    <row r="1044" spans="1:5" x14ac:dyDescent="0.3">
      <c r="A1044">
        <f t="shared" si="68"/>
        <v>10.419999999999822</v>
      </c>
      <c r="B1044">
        <f t="shared" si="68"/>
        <v>40.419999999998637</v>
      </c>
      <c r="C1044">
        <f t="shared" si="66"/>
        <v>5.2432530377507537E-4</v>
      </c>
      <c r="D1044">
        <f t="shared" si="65"/>
        <v>5.2432530377507537E-4</v>
      </c>
      <c r="E1044" s="3">
        <f t="shared" si="67"/>
        <v>48436.635659903855</v>
      </c>
    </row>
    <row r="1045" spans="1:5" x14ac:dyDescent="0.3">
      <c r="A1045">
        <f t="shared" si="68"/>
        <v>10.429999999999822</v>
      </c>
      <c r="B1045">
        <f t="shared" si="68"/>
        <v>40.429999999998635</v>
      </c>
      <c r="C1045">
        <f t="shared" si="66"/>
        <v>5.246812490376896E-4</v>
      </c>
      <c r="D1045">
        <f t="shared" si="65"/>
        <v>5.246812490376896E-4</v>
      </c>
      <c r="E1045" s="3">
        <f t="shared" si="67"/>
        <v>48480.739954401099</v>
      </c>
    </row>
    <row r="1046" spans="1:5" x14ac:dyDescent="0.3">
      <c r="A1046">
        <f t="shared" si="68"/>
        <v>10.439999999999822</v>
      </c>
      <c r="B1046">
        <f t="shared" si="68"/>
        <v>40.439999999998633</v>
      </c>
      <c r="C1046">
        <f t="shared" si="66"/>
        <v>5.2503761062135362E-4</v>
      </c>
      <c r="D1046">
        <f t="shared" si="65"/>
        <v>5.2503761062135362E-4</v>
      </c>
      <c r="E1046" s="3">
        <f t="shared" si="67"/>
        <v>48524.861938485759</v>
      </c>
    </row>
    <row r="1047" spans="1:5" x14ac:dyDescent="0.3">
      <c r="A1047">
        <f t="shared" si="68"/>
        <v>10.449999999999822</v>
      </c>
      <c r="B1047">
        <f t="shared" si="68"/>
        <v>40.449999999998631</v>
      </c>
      <c r="C1047">
        <f t="shared" si="66"/>
        <v>5.2539438901300539E-4</v>
      </c>
      <c r="D1047">
        <f t="shared" ref="D1047:D1110" si="69">IF(A1047&lt;=2, (0.9)^(2-A1047)*C1047, C1047)</f>
        <v>5.2539438901300539E-4</v>
      </c>
      <c r="E1047" s="3">
        <f t="shared" si="67"/>
        <v>48569.001619426206</v>
      </c>
    </row>
    <row r="1048" spans="1:5" x14ac:dyDescent="0.3">
      <c r="A1048">
        <f t="shared" si="68"/>
        <v>10.459999999999821</v>
      </c>
      <c r="B1048">
        <f t="shared" si="68"/>
        <v>40.45999999999863</v>
      </c>
      <c r="C1048">
        <f t="shared" si="66"/>
        <v>5.2575158470015264E-4</v>
      </c>
      <c r="D1048">
        <f t="shared" si="69"/>
        <v>5.2575158470015264E-4</v>
      </c>
      <c r="E1048" s="3">
        <f t="shared" si="67"/>
        <v>48613.159004494271</v>
      </c>
    </row>
    <row r="1049" spans="1:5" x14ac:dyDescent="0.3">
      <c r="A1049">
        <f t="shared" si="68"/>
        <v>10.469999999999821</v>
      </c>
      <c r="B1049">
        <f t="shared" si="68"/>
        <v>40.469999999998628</v>
      </c>
      <c r="C1049">
        <f t="shared" si="66"/>
        <v>5.2610919817087226E-4</v>
      </c>
      <c r="D1049">
        <f t="shared" si="69"/>
        <v>5.2610919817087226E-4</v>
      </c>
      <c r="E1049" s="3">
        <f t="shared" si="67"/>
        <v>48657.334100965207</v>
      </c>
    </row>
    <row r="1050" spans="1:5" x14ac:dyDescent="0.3">
      <c r="A1050">
        <f t="shared" si="68"/>
        <v>10.479999999999821</v>
      </c>
      <c r="B1050">
        <f t="shared" si="68"/>
        <v>40.479999999998626</v>
      </c>
      <c r="C1050">
        <f t="shared" si="66"/>
        <v>5.264672299138129E-4</v>
      </c>
      <c r="D1050">
        <f t="shared" si="69"/>
        <v>5.264672299138129E-4</v>
      </c>
      <c r="E1050" s="3">
        <f t="shared" si="67"/>
        <v>48701.526916117706</v>
      </c>
    </row>
    <row r="1051" spans="1:5" x14ac:dyDescent="0.3">
      <c r="A1051">
        <f t="shared" si="68"/>
        <v>10.489999999999821</v>
      </c>
      <c r="B1051">
        <f t="shared" si="68"/>
        <v>40.489999999998624</v>
      </c>
      <c r="C1051">
        <f t="shared" si="66"/>
        <v>5.2682568041819474E-4</v>
      </c>
      <c r="D1051">
        <f t="shared" si="69"/>
        <v>5.2682568041819474E-4</v>
      </c>
      <c r="E1051" s="3">
        <f t="shared" si="67"/>
        <v>48745.737457233918</v>
      </c>
    </row>
    <row r="1052" spans="1:5" x14ac:dyDescent="0.3">
      <c r="A1052">
        <f t="shared" si="68"/>
        <v>10.499999999999821</v>
      </c>
      <c r="B1052">
        <f t="shared" si="68"/>
        <v>40.499999999998622</v>
      </c>
      <c r="C1052">
        <f t="shared" si="66"/>
        <v>5.2718455017380971E-4</v>
      </c>
      <c r="D1052">
        <f t="shared" si="69"/>
        <v>5.2718455017380971E-4</v>
      </c>
      <c r="E1052" s="3">
        <f t="shared" si="67"/>
        <v>48789.965731599419</v>
      </c>
    </row>
    <row r="1053" spans="1:5" x14ac:dyDescent="0.3">
      <c r="A1053">
        <f t="shared" si="68"/>
        <v>10.50999999999982</v>
      </c>
      <c r="B1053">
        <f t="shared" si="68"/>
        <v>40.50999999999862</v>
      </c>
      <c r="C1053">
        <f t="shared" si="66"/>
        <v>5.2754383967102325E-4</v>
      </c>
      <c r="D1053">
        <f t="shared" si="69"/>
        <v>5.2754383967102325E-4</v>
      </c>
      <c r="E1053" s="3">
        <f t="shared" si="67"/>
        <v>48834.211746503257</v>
      </c>
    </row>
    <row r="1054" spans="1:5" x14ac:dyDescent="0.3">
      <c r="A1054">
        <f t="shared" si="68"/>
        <v>10.51999999999982</v>
      </c>
      <c r="B1054">
        <f t="shared" si="68"/>
        <v>40.519999999998618</v>
      </c>
      <c r="C1054">
        <f t="shared" si="66"/>
        <v>5.279035494007735E-4</v>
      </c>
      <c r="D1054">
        <f t="shared" si="69"/>
        <v>5.279035494007735E-4</v>
      </c>
      <c r="E1054" s="3">
        <f t="shared" si="67"/>
        <v>48878.475509237913</v>
      </c>
    </row>
    <row r="1055" spans="1:5" x14ac:dyDescent="0.3">
      <c r="A1055">
        <f t="shared" si="68"/>
        <v>10.52999999999982</v>
      </c>
      <c r="B1055">
        <f t="shared" si="68"/>
        <v>40.529999999998616</v>
      </c>
      <c r="C1055">
        <f t="shared" si="66"/>
        <v>5.2826367985457331E-4</v>
      </c>
      <c r="D1055">
        <f t="shared" si="69"/>
        <v>5.2826367985457331E-4</v>
      </c>
      <c r="E1055" s="3">
        <f t="shared" si="67"/>
        <v>48922.757027099316</v>
      </c>
    </row>
    <row r="1056" spans="1:5" x14ac:dyDescent="0.3">
      <c r="A1056">
        <f t="shared" si="68"/>
        <v>10.53999999999982</v>
      </c>
      <c r="B1056">
        <f t="shared" si="68"/>
        <v>40.539999999998614</v>
      </c>
      <c r="C1056">
        <f t="shared" si="66"/>
        <v>5.286242315245105E-4</v>
      </c>
      <c r="D1056">
        <f t="shared" si="69"/>
        <v>5.286242315245105E-4</v>
      </c>
      <c r="E1056" s="3">
        <f t="shared" si="67"/>
        <v>48967.056307386854</v>
      </c>
    </row>
    <row r="1057" spans="1:5" x14ac:dyDescent="0.3">
      <c r="A1057">
        <f t="shared" si="68"/>
        <v>10.54999999999982</v>
      </c>
      <c r="B1057">
        <f t="shared" si="68"/>
        <v>40.549999999998612</v>
      </c>
      <c r="C1057">
        <f t="shared" si="66"/>
        <v>5.2898520490324828E-4</v>
      </c>
      <c r="D1057">
        <f t="shared" si="69"/>
        <v>5.2898520490324828E-4</v>
      </c>
      <c r="E1057" s="3">
        <f t="shared" si="67"/>
        <v>49011.373357403383</v>
      </c>
    </row>
    <row r="1058" spans="1:5" x14ac:dyDescent="0.3">
      <c r="A1058">
        <f t="shared" si="68"/>
        <v>10.559999999999819</v>
      </c>
      <c r="B1058">
        <f t="shared" si="68"/>
        <v>40.55999999999861</v>
      </c>
      <c r="C1058">
        <f t="shared" si="66"/>
        <v>5.2934660048402642E-4</v>
      </c>
      <c r="D1058">
        <f t="shared" si="69"/>
        <v>5.2934660048402642E-4</v>
      </c>
      <c r="E1058" s="3">
        <f t="shared" si="67"/>
        <v>49055.708184455223</v>
      </c>
    </row>
    <row r="1059" spans="1:5" x14ac:dyDescent="0.3">
      <c r="A1059">
        <f t="shared" si="68"/>
        <v>10.569999999999819</v>
      </c>
      <c r="B1059">
        <f t="shared" si="68"/>
        <v>40.569999999998608</v>
      </c>
      <c r="C1059">
        <f t="shared" si="66"/>
        <v>5.2970841876066074E-4</v>
      </c>
      <c r="D1059">
        <f t="shared" si="69"/>
        <v>5.2970841876066074E-4</v>
      </c>
      <c r="E1059" s="3">
        <f t="shared" si="67"/>
        <v>49100.060795852143</v>
      </c>
    </row>
    <row r="1060" spans="1:5" x14ac:dyDescent="0.3">
      <c r="A1060">
        <f t="shared" si="68"/>
        <v>10.579999999999819</v>
      </c>
      <c r="B1060">
        <f t="shared" si="68"/>
        <v>40.579999999998606</v>
      </c>
      <c r="C1060">
        <f t="shared" si="66"/>
        <v>5.3007066022754538E-4</v>
      </c>
      <c r="D1060">
        <f t="shared" si="69"/>
        <v>5.3007066022754538E-4</v>
      </c>
      <c r="E1060" s="3">
        <f t="shared" si="67"/>
        <v>49144.431198907369</v>
      </c>
    </row>
    <row r="1061" spans="1:5" x14ac:dyDescent="0.3">
      <c r="A1061">
        <f t="shared" si="68"/>
        <v>10.589999999999819</v>
      </c>
      <c r="B1061">
        <f t="shared" si="68"/>
        <v>40.589999999998604</v>
      </c>
      <c r="C1061">
        <f t="shared" si="66"/>
        <v>5.3043332537965244E-4</v>
      </c>
      <c r="D1061">
        <f t="shared" si="69"/>
        <v>5.3043332537965244E-4</v>
      </c>
      <c r="E1061" s="3">
        <f t="shared" si="67"/>
        <v>49188.819400937624</v>
      </c>
    </row>
    <row r="1062" spans="1:5" x14ac:dyDescent="0.3">
      <c r="A1062">
        <f t="shared" si="68"/>
        <v>10.599999999999818</v>
      </c>
      <c r="B1062">
        <f t="shared" si="68"/>
        <v>40.599999999998602</v>
      </c>
      <c r="C1062">
        <f t="shared" si="66"/>
        <v>5.3079641471253335E-4</v>
      </c>
      <c r="D1062">
        <f t="shared" si="69"/>
        <v>5.3079641471253335E-4</v>
      </c>
      <c r="E1062" s="3">
        <f t="shared" si="67"/>
        <v>49233.225409263076</v>
      </c>
    </row>
    <row r="1063" spans="1:5" x14ac:dyDescent="0.3">
      <c r="A1063">
        <f t="shared" si="68"/>
        <v>10.609999999999818</v>
      </c>
      <c r="B1063">
        <f t="shared" si="68"/>
        <v>40.6099999999986</v>
      </c>
      <c r="C1063">
        <f t="shared" si="66"/>
        <v>5.311599287223189E-4</v>
      </c>
      <c r="D1063">
        <f t="shared" si="69"/>
        <v>5.311599287223189E-4</v>
      </c>
      <c r="E1063" s="3">
        <f t="shared" si="67"/>
        <v>49277.649231207382</v>
      </c>
    </row>
    <row r="1064" spans="1:5" x14ac:dyDescent="0.3">
      <c r="A1064">
        <f t="shared" si="68"/>
        <v>10.619999999999818</v>
      </c>
      <c r="B1064">
        <f t="shared" si="68"/>
        <v>40.619999999998598</v>
      </c>
      <c r="C1064">
        <f t="shared" si="66"/>
        <v>5.3152386790571962E-4</v>
      </c>
      <c r="D1064">
        <f t="shared" si="69"/>
        <v>5.3152386790571962E-4</v>
      </c>
      <c r="E1064" s="3">
        <f t="shared" si="67"/>
        <v>49322.090874097674</v>
      </c>
    </row>
    <row r="1065" spans="1:5" x14ac:dyDescent="0.3">
      <c r="A1065">
        <f t="shared" si="68"/>
        <v>10.629999999999818</v>
      </c>
      <c r="B1065">
        <f t="shared" si="68"/>
        <v>40.629999999998596</v>
      </c>
      <c r="C1065">
        <f t="shared" si="66"/>
        <v>5.3188823276002772E-4</v>
      </c>
      <c r="D1065">
        <f t="shared" si="69"/>
        <v>5.3188823276002772E-4</v>
      </c>
      <c r="E1065" s="3">
        <f t="shared" si="67"/>
        <v>49366.55034526455</v>
      </c>
    </row>
    <row r="1066" spans="1:5" x14ac:dyDescent="0.3">
      <c r="A1066">
        <f t="shared" si="68"/>
        <v>10.639999999999818</v>
      </c>
      <c r="B1066">
        <f t="shared" si="68"/>
        <v>40.639999999998594</v>
      </c>
      <c r="C1066">
        <f t="shared" si="66"/>
        <v>5.3225302378311697E-4</v>
      </c>
      <c r="D1066">
        <f t="shared" si="69"/>
        <v>5.3225302378311697E-4</v>
      </c>
      <c r="E1066" s="3">
        <f t="shared" si="67"/>
        <v>49411.027652042103</v>
      </c>
    </row>
    <row r="1067" spans="1:5" x14ac:dyDescent="0.3">
      <c r="A1067">
        <f t="shared" si="68"/>
        <v>10.649999999999817</v>
      </c>
      <c r="B1067">
        <f t="shared" si="68"/>
        <v>40.649999999998592</v>
      </c>
      <c r="C1067">
        <f t="shared" si="66"/>
        <v>5.3261824147344313E-4</v>
      </c>
      <c r="D1067">
        <f t="shared" si="69"/>
        <v>5.3261824147344313E-4</v>
      </c>
      <c r="E1067" s="3">
        <f t="shared" si="67"/>
        <v>49455.522801767896</v>
      </c>
    </row>
    <row r="1068" spans="1:5" x14ac:dyDescent="0.3">
      <c r="A1068">
        <f t="shared" si="68"/>
        <v>10.659999999999817</v>
      </c>
      <c r="B1068">
        <f t="shared" si="68"/>
        <v>40.65999999999859</v>
      </c>
      <c r="C1068">
        <f t="shared" si="66"/>
        <v>5.329838863300456E-4</v>
      </c>
      <c r="D1068">
        <f t="shared" si="69"/>
        <v>5.329838863300456E-4</v>
      </c>
      <c r="E1068" s="3">
        <f t="shared" si="67"/>
        <v>49500.035801782986</v>
      </c>
    </row>
    <row r="1069" spans="1:5" x14ac:dyDescent="0.3">
      <c r="A1069">
        <f t="shared" si="68"/>
        <v>10.669999999999817</v>
      </c>
      <c r="B1069">
        <f t="shared" si="68"/>
        <v>40.669999999998588</v>
      </c>
      <c r="C1069">
        <f t="shared" si="66"/>
        <v>5.3334995885254632E-4</v>
      </c>
      <c r="D1069">
        <f t="shared" si="69"/>
        <v>5.3334995885254632E-4</v>
      </c>
      <c r="E1069" s="3">
        <f t="shared" si="67"/>
        <v>49544.566659431919</v>
      </c>
    </row>
    <row r="1070" spans="1:5" x14ac:dyDescent="0.3">
      <c r="A1070">
        <f t="shared" si="68"/>
        <v>10.679999999999817</v>
      </c>
      <c r="B1070">
        <f t="shared" si="68"/>
        <v>40.679999999998586</v>
      </c>
      <c r="C1070">
        <f t="shared" si="66"/>
        <v>5.3371645954115269E-4</v>
      </c>
      <c r="D1070">
        <f t="shared" si="69"/>
        <v>5.3371645954115269E-4</v>
      </c>
      <c r="E1070" s="3">
        <f t="shared" si="67"/>
        <v>49589.115382062722</v>
      </c>
    </row>
    <row r="1071" spans="1:5" x14ac:dyDescent="0.3">
      <c r="A1071">
        <f t="shared" si="68"/>
        <v>10.689999999999817</v>
      </c>
      <c r="B1071">
        <f t="shared" si="68"/>
        <v>40.689999999998584</v>
      </c>
      <c r="C1071">
        <f t="shared" si="66"/>
        <v>5.3408338889665682E-4</v>
      </c>
      <c r="D1071">
        <f t="shared" si="69"/>
        <v>5.3408338889665682E-4</v>
      </c>
      <c r="E1071" s="3">
        <f t="shared" si="67"/>
        <v>49633.681977026936</v>
      </c>
    </row>
    <row r="1072" spans="1:5" x14ac:dyDescent="0.3">
      <c r="A1072">
        <f t="shared" si="68"/>
        <v>10.699999999999816</v>
      </c>
      <c r="B1072">
        <f t="shared" si="68"/>
        <v>40.699999999998582</v>
      </c>
      <c r="C1072">
        <f t="shared" si="66"/>
        <v>5.3445074742043631E-4</v>
      </c>
      <c r="D1072">
        <f t="shared" si="69"/>
        <v>5.3445074742043631E-4</v>
      </c>
      <c r="E1072" s="3">
        <f t="shared" si="67"/>
        <v>49678.266451679578</v>
      </c>
    </row>
    <row r="1073" spans="1:5" x14ac:dyDescent="0.3">
      <c r="A1073">
        <f t="shared" si="68"/>
        <v>10.709999999999816</v>
      </c>
      <c r="B1073">
        <f t="shared" si="68"/>
        <v>40.70999999999858</v>
      </c>
      <c r="C1073">
        <f t="shared" si="66"/>
        <v>5.3481853561445595E-4</v>
      </c>
      <c r="D1073">
        <f t="shared" si="69"/>
        <v>5.3481853561445595E-4</v>
      </c>
      <c r="E1073" s="3">
        <f t="shared" si="67"/>
        <v>49722.86881337918</v>
      </c>
    </row>
    <row r="1074" spans="1:5" x14ac:dyDescent="0.3">
      <c r="A1074">
        <f t="shared" si="68"/>
        <v>10.719999999999816</v>
      </c>
      <c r="B1074">
        <f t="shared" si="68"/>
        <v>40.719999999998578</v>
      </c>
      <c r="C1074">
        <f t="shared" si="66"/>
        <v>5.351867539812662E-4</v>
      </c>
      <c r="D1074">
        <f t="shared" si="69"/>
        <v>5.351867539812662E-4</v>
      </c>
      <c r="E1074" s="3">
        <f t="shared" si="67"/>
        <v>49767.489069487769</v>
      </c>
    </row>
    <row r="1075" spans="1:5" x14ac:dyDescent="0.3">
      <c r="A1075">
        <f t="shared" si="68"/>
        <v>10.729999999999816</v>
      </c>
      <c r="B1075">
        <f t="shared" si="68"/>
        <v>40.729999999998576</v>
      </c>
      <c r="C1075">
        <f t="shared" si="66"/>
        <v>5.3555540302400659E-4</v>
      </c>
      <c r="D1075">
        <f t="shared" si="69"/>
        <v>5.3555540302400659E-4</v>
      </c>
      <c r="E1075" s="3">
        <f t="shared" si="67"/>
        <v>49812.127227370867</v>
      </c>
    </row>
    <row r="1076" spans="1:5" x14ac:dyDescent="0.3">
      <c r="A1076">
        <f t="shared" si="68"/>
        <v>10.739999999999815</v>
      </c>
      <c r="B1076">
        <f t="shared" si="68"/>
        <v>40.739999999998574</v>
      </c>
      <c r="C1076">
        <f t="shared" si="66"/>
        <v>5.3592448324640482E-4</v>
      </c>
      <c r="D1076">
        <f t="shared" si="69"/>
        <v>5.3592448324640482E-4</v>
      </c>
      <c r="E1076" s="3">
        <f t="shared" si="67"/>
        <v>49856.783294397515</v>
      </c>
    </row>
    <row r="1077" spans="1:5" x14ac:dyDescent="0.3">
      <c r="A1077">
        <f t="shared" si="68"/>
        <v>10.749999999999815</v>
      </c>
      <c r="B1077">
        <f t="shared" si="68"/>
        <v>40.749999999998572</v>
      </c>
      <c r="C1077">
        <f t="shared" si="66"/>
        <v>5.3629399515277754E-4</v>
      </c>
      <c r="D1077">
        <f t="shared" si="69"/>
        <v>5.3629399515277754E-4</v>
      </c>
      <c r="E1077" s="3">
        <f t="shared" si="67"/>
        <v>49901.457277940259</v>
      </c>
    </row>
    <row r="1078" spans="1:5" x14ac:dyDescent="0.3">
      <c r="A1078">
        <f t="shared" si="68"/>
        <v>10.759999999999815</v>
      </c>
      <c r="B1078">
        <f t="shared" si="68"/>
        <v>40.75999999999857</v>
      </c>
      <c r="C1078">
        <f t="shared" si="66"/>
        <v>5.3666393924803172E-4</v>
      </c>
      <c r="D1078">
        <f t="shared" si="69"/>
        <v>5.3666393924803172E-4</v>
      </c>
      <c r="E1078" s="3">
        <f t="shared" si="67"/>
        <v>49946.14918537515</v>
      </c>
    </row>
    <row r="1079" spans="1:5" x14ac:dyDescent="0.3">
      <c r="A1079">
        <f t="shared" si="68"/>
        <v>10.769999999999815</v>
      </c>
      <c r="B1079">
        <f t="shared" si="68"/>
        <v>40.769999999998568</v>
      </c>
      <c r="C1079">
        <f t="shared" si="66"/>
        <v>5.3703431603766406E-4</v>
      </c>
      <c r="D1079">
        <f t="shared" si="69"/>
        <v>5.3703431603766406E-4</v>
      </c>
      <c r="E1079" s="3">
        <f t="shared" si="67"/>
        <v>49990.859024081772</v>
      </c>
    </row>
    <row r="1080" spans="1:5" x14ac:dyDescent="0.3">
      <c r="A1080">
        <f t="shared" si="68"/>
        <v>10.779999999999815</v>
      </c>
      <c r="B1080">
        <f t="shared" si="68"/>
        <v>40.779999999998566</v>
      </c>
      <c r="C1080">
        <f t="shared" si="66"/>
        <v>5.3740512602776312E-4</v>
      </c>
      <c r="D1080">
        <f t="shared" si="69"/>
        <v>5.3740512602776312E-4</v>
      </c>
      <c r="E1080" s="3">
        <f t="shared" si="67"/>
        <v>50035.586801443205</v>
      </c>
    </row>
    <row r="1081" spans="1:5" x14ac:dyDescent="0.3">
      <c r="A1081">
        <f t="shared" si="68"/>
        <v>10.789999999999814</v>
      </c>
      <c r="B1081">
        <f t="shared" si="68"/>
        <v>40.789999999998564</v>
      </c>
      <c r="C1081">
        <f t="shared" si="66"/>
        <v>5.377763697250093E-4</v>
      </c>
      <c r="D1081">
        <f t="shared" si="69"/>
        <v>5.377763697250093E-4</v>
      </c>
      <c r="E1081" s="3">
        <f t="shared" si="67"/>
        <v>50080.332524846061</v>
      </c>
    </row>
    <row r="1082" spans="1:5" x14ac:dyDescent="0.3">
      <c r="A1082">
        <f t="shared" si="68"/>
        <v>10.799999999999814</v>
      </c>
      <c r="B1082">
        <f t="shared" si="68"/>
        <v>40.799999999998562</v>
      </c>
      <c r="C1082">
        <f t="shared" si="66"/>
        <v>5.3814804763667565E-4</v>
      </c>
      <c r="D1082">
        <f t="shared" si="69"/>
        <v>5.3814804763667565E-4</v>
      </c>
      <c r="E1082" s="3">
        <f t="shared" si="67"/>
        <v>50125.09620168047</v>
      </c>
    </row>
    <row r="1083" spans="1:5" x14ac:dyDescent="0.3">
      <c r="A1083">
        <f t="shared" si="68"/>
        <v>10.809999999999814</v>
      </c>
      <c r="B1083">
        <f t="shared" si="68"/>
        <v>40.80999999999856</v>
      </c>
      <c r="C1083">
        <f t="shared" si="66"/>
        <v>5.3852016027062881E-4</v>
      </c>
      <c r="D1083">
        <f t="shared" si="69"/>
        <v>5.3852016027062881E-4</v>
      </c>
      <c r="E1083" s="3">
        <f t="shared" si="67"/>
        <v>50169.877839340086</v>
      </c>
    </row>
    <row r="1084" spans="1:5" x14ac:dyDescent="0.3">
      <c r="A1084">
        <f t="shared" si="68"/>
        <v>10.819999999999814</v>
      </c>
      <c r="B1084">
        <f t="shared" si="68"/>
        <v>40.819999999998558</v>
      </c>
      <c r="C1084">
        <f t="shared" si="66"/>
        <v>5.3889270813532828E-4</v>
      </c>
      <c r="D1084">
        <f t="shared" si="69"/>
        <v>5.3889270813532828E-4</v>
      </c>
      <c r="E1084" s="3">
        <f t="shared" si="67"/>
        <v>50214.677445222093</v>
      </c>
    </row>
    <row r="1085" spans="1:5" x14ac:dyDescent="0.3">
      <c r="A1085">
        <f t="shared" si="68"/>
        <v>10.829999999999814</v>
      </c>
      <c r="B1085">
        <f t="shared" si="68"/>
        <v>40.829999999998556</v>
      </c>
      <c r="C1085">
        <f t="shared" si="66"/>
        <v>5.3926569173982962E-4</v>
      </c>
      <c r="D1085">
        <f t="shared" si="69"/>
        <v>5.3926569173982962E-4</v>
      </c>
      <c r="E1085" s="3">
        <f t="shared" si="67"/>
        <v>50259.495026727214</v>
      </c>
    </row>
    <row r="1086" spans="1:5" x14ac:dyDescent="0.3">
      <c r="A1086">
        <f t="shared" si="68"/>
        <v>10.839999999999813</v>
      </c>
      <c r="B1086">
        <f t="shared" si="68"/>
        <v>40.839999999998554</v>
      </c>
      <c r="C1086">
        <f t="shared" si="66"/>
        <v>5.3963911159378311E-4</v>
      </c>
      <c r="D1086">
        <f t="shared" si="69"/>
        <v>5.3963911159378311E-4</v>
      </c>
      <c r="E1086" s="3">
        <f t="shared" si="67"/>
        <v>50304.330591259684</v>
      </c>
    </row>
    <row r="1087" spans="1:5" x14ac:dyDescent="0.3">
      <c r="A1087">
        <f t="shared" si="68"/>
        <v>10.849999999999813</v>
      </c>
      <c r="B1087">
        <f t="shared" si="68"/>
        <v>40.849999999998552</v>
      </c>
      <c r="C1087">
        <f t="shared" si="66"/>
        <v>5.4001296820743521E-4</v>
      </c>
      <c r="D1087">
        <f t="shared" si="69"/>
        <v>5.4001296820743521E-4</v>
      </c>
      <c r="E1087" s="3">
        <f t="shared" si="67"/>
        <v>50349.184146227286</v>
      </c>
    </row>
    <row r="1088" spans="1:5" x14ac:dyDescent="0.3">
      <c r="A1088">
        <f t="shared" si="68"/>
        <v>10.859999999999813</v>
      </c>
      <c r="B1088">
        <f t="shared" si="68"/>
        <v>40.85999999999855</v>
      </c>
      <c r="C1088">
        <f t="shared" si="66"/>
        <v>5.4038726209162968E-4</v>
      </c>
      <c r="D1088">
        <f t="shared" si="69"/>
        <v>5.4038726209162968E-4</v>
      </c>
      <c r="E1088" s="3">
        <f t="shared" si="67"/>
        <v>50394.055699041339</v>
      </c>
    </row>
    <row r="1089" spans="1:5" x14ac:dyDescent="0.3">
      <c r="A1089">
        <f t="shared" si="68"/>
        <v>10.869999999999813</v>
      </c>
      <c r="B1089">
        <f t="shared" si="68"/>
        <v>40.869999999998548</v>
      </c>
      <c r="C1089">
        <f t="shared" si="66"/>
        <v>5.4076199375780658E-4</v>
      </c>
      <c r="D1089">
        <f t="shared" si="69"/>
        <v>5.4076199375780658E-4</v>
      </c>
      <c r="E1089" s="3">
        <f t="shared" si="67"/>
        <v>50438.945257116713</v>
      </c>
    </row>
    <row r="1090" spans="1:5" x14ac:dyDescent="0.3">
      <c r="A1090">
        <f t="shared" si="68"/>
        <v>10.879999999999812</v>
      </c>
      <c r="B1090">
        <f t="shared" si="68"/>
        <v>40.879999999998546</v>
      </c>
      <c r="C1090">
        <f t="shared" si="66"/>
        <v>5.4113716371800532E-4</v>
      </c>
      <c r="D1090">
        <f t="shared" si="69"/>
        <v>5.4113716371800532E-4</v>
      </c>
      <c r="E1090" s="3">
        <f t="shared" si="67"/>
        <v>50483.8528278718</v>
      </c>
    </row>
    <row r="1091" spans="1:5" x14ac:dyDescent="0.3">
      <c r="A1091">
        <f t="shared" si="68"/>
        <v>10.889999999999812</v>
      </c>
      <c r="B1091">
        <f t="shared" si="68"/>
        <v>40.889999999998544</v>
      </c>
      <c r="C1091">
        <f t="shared" ref="C1091:C1154" si="70">$N$2 + $N$3*$N$4^(B1091)</f>
        <v>5.415127724848638E-4</v>
      </c>
      <c r="D1091">
        <f t="shared" si="69"/>
        <v>5.415127724848638E-4</v>
      </c>
      <c r="E1091" s="3">
        <f t="shared" ref="E1091:E1154" si="71">IF(ROUND(A1091, 2)=$N$10,$N$6,(E1092-$N$5*($N$7-$N$8-($N$6+$N$9)*D1091))/(1+$N$5*$N$11+$N$5*D1091))</f>
        <v>50528.778418728558</v>
      </c>
    </row>
    <row r="1092" spans="1:5" x14ac:dyDescent="0.3">
      <c r="A1092">
        <f t="shared" ref="A1092:B1155" si="72">A1091+$N$5</f>
        <v>10.899999999999812</v>
      </c>
      <c r="B1092">
        <f t="shared" si="72"/>
        <v>40.899999999998542</v>
      </c>
      <c r="C1092">
        <f t="shared" si="70"/>
        <v>5.4188882057161947E-4</v>
      </c>
      <c r="D1092">
        <f t="shared" si="69"/>
        <v>5.4188882057161947E-4</v>
      </c>
      <c r="E1092" s="3">
        <f t="shared" si="71"/>
        <v>50573.722037112486</v>
      </c>
    </row>
    <row r="1093" spans="1:5" x14ac:dyDescent="0.3">
      <c r="A1093">
        <f t="shared" si="72"/>
        <v>10.909999999999812</v>
      </c>
      <c r="B1093">
        <f t="shared" si="72"/>
        <v>40.90999999999854</v>
      </c>
      <c r="C1093">
        <f t="shared" si="70"/>
        <v>5.4226530849211033E-4</v>
      </c>
      <c r="D1093">
        <f t="shared" si="69"/>
        <v>5.4226530849211033E-4</v>
      </c>
      <c r="E1093" s="3">
        <f t="shared" si="71"/>
        <v>50618.683690452621</v>
      </c>
    </row>
    <row r="1094" spans="1:5" x14ac:dyDescent="0.3">
      <c r="A1094">
        <f t="shared" si="72"/>
        <v>10.919999999999812</v>
      </c>
      <c r="B1094">
        <f t="shared" si="72"/>
        <v>40.919999999998538</v>
      </c>
      <c r="C1094">
        <f t="shared" si="70"/>
        <v>5.4264223676077459E-4</v>
      </c>
      <c r="D1094">
        <f t="shared" si="69"/>
        <v>5.4264223676077459E-4</v>
      </c>
      <c r="E1094" s="3">
        <f t="shared" si="71"/>
        <v>50663.663386181586</v>
      </c>
    </row>
    <row r="1095" spans="1:5" x14ac:dyDescent="0.3">
      <c r="A1095">
        <f t="shared" si="72"/>
        <v>10.929999999999811</v>
      </c>
      <c r="B1095">
        <f t="shared" si="72"/>
        <v>40.929999999998536</v>
      </c>
      <c r="C1095">
        <f t="shared" si="70"/>
        <v>5.4301960589265294E-4</v>
      </c>
      <c r="D1095">
        <f t="shared" si="69"/>
        <v>5.4301960589265294E-4</v>
      </c>
      <c r="E1095" s="3">
        <f t="shared" si="71"/>
        <v>50708.66113173552</v>
      </c>
    </row>
    <row r="1096" spans="1:5" x14ac:dyDescent="0.3">
      <c r="A1096">
        <f t="shared" si="72"/>
        <v>10.939999999999811</v>
      </c>
      <c r="B1096">
        <f t="shared" si="72"/>
        <v>40.939999999998534</v>
      </c>
      <c r="C1096">
        <f t="shared" si="70"/>
        <v>5.4339741640338848E-4</v>
      </c>
      <c r="D1096">
        <f t="shared" si="69"/>
        <v>5.4339741640338848E-4</v>
      </c>
      <c r="E1096" s="3">
        <f t="shared" si="71"/>
        <v>50753.676934554154</v>
      </c>
    </row>
    <row r="1097" spans="1:5" x14ac:dyDescent="0.3">
      <c r="A1097">
        <f t="shared" si="72"/>
        <v>10.949999999999811</v>
      </c>
      <c r="B1097">
        <f t="shared" si="72"/>
        <v>40.949999999998532</v>
      </c>
      <c r="C1097">
        <f t="shared" si="70"/>
        <v>5.43775668809227E-4</v>
      </c>
      <c r="D1097">
        <f t="shared" si="69"/>
        <v>5.43775668809227E-4</v>
      </c>
      <c r="E1097" s="3">
        <f t="shared" si="71"/>
        <v>50798.710802080757</v>
      </c>
    </row>
    <row r="1098" spans="1:5" x14ac:dyDescent="0.3">
      <c r="A1098">
        <f t="shared" si="72"/>
        <v>10.959999999999811</v>
      </c>
      <c r="B1098">
        <f t="shared" si="72"/>
        <v>40.95999999999853</v>
      </c>
      <c r="C1098">
        <f t="shared" si="70"/>
        <v>5.4415436362701851E-4</v>
      </c>
      <c r="D1098">
        <f t="shared" si="69"/>
        <v>5.4415436362701851E-4</v>
      </c>
      <c r="E1098" s="3">
        <f t="shared" si="71"/>
        <v>50843.762741762184</v>
      </c>
    </row>
    <row r="1099" spans="1:5" x14ac:dyDescent="0.3">
      <c r="A1099">
        <f t="shared" si="72"/>
        <v>10.969999999999811</v>
      </c>
      <c r="B1099">
        <f t="shared" si="72"/>
        <v>40.969999999998528</v>
      </c>
      <c r="C1099">
        <f t="shared" si="70"/>
        <v>5.4453350137421692E-4</v>
      </c>
      <c r="D1099">
        <f t="shared" si="69"/>
        <v>5.4453350137421692E-4</v>
      </c>
      <c r="E1099" s="3">
        <f t="shared" si="71"/>
        <v>50888.832761048856</v>
      </c>
    </row>
    <row r="1100" spans="1:5" x14ac:dyDescent="0.3">
      <c r="A1100">
        <f t="shared" si="72"/>
        <v>10.97999999999981</v>
      </c>
      <c r="B1100">
        <f t="shared" si="72"/>
        <v>40.979999999998526</v>
      </c>
      <c r="C1100">
        <f t="shared" si="70"/>
        <v>5.4491308256888202E-4</v>
      </c>
      <c r="D1100">
        <f t="shared" si="69"/>
        <v>5.4491308256888202E-4</v>
      </c>
      <c r="E1100" s="3">
        <f t="shared" si="71"/>
        <v>50933.920867394743</v>
      </c>
    </row>
    <row r="1101" spans="1:5" x14ac:dyDescent="0.3">
      <c r="A1101">
        <f t="shared" si="72"/>
        <v>10.98999999999981</v>
      </c>
      <c r="B1101">
        <f t="shared" si="72"/>
        <v>40.989999999998524</v>
      </c>
      <c r="C1101">
        <f t="shared" si="70"/>
        <v>5.452931077296791E-4</v>
      </c>
      <c r="D1101">
        <f t="shared" si="69"/>
        <v>5.452931077296791E-4</v>
      </c>
      <c r="E1101" s="3">
        <f t="shared" si="71"/>
        <v>50979.027068257405</v>
      </c>
    </row>
    <row r="1102" spans="1:5" x14ac:dyDescent="0.3">
      <c r="A1102">
        <f t="shared" si="72"/>
        <v>10.99999999999981</v>
      </c>
      <c r="B1102">
        <f t="shared" si="72"/>
        <v>40.999999999998522</v>
      </c>
      <c r="C1102">
        <f t="shared" si="70"/>
        <v>5.456735773758805E-4</v>
      </c>
      <c r="D1102">
        <f t="shared" si="69"/>
        <v>5.456735773758805E-4</v>
      </c>
      <c r="E1102" s="3">
        <f t="shared" si="71"/>
        <v>51024.151371097971</v>
      </c>
    </row>
    <row r="1103" spans="1:5" x14ac:dyDescent="0.3">
      <c r="A1103">
        <f t="shared" si="72"/>
        <v>11.00999999999981</v>
      </c>
      <c r="B1103">
        <f t="shared" si="72"/>
        <v>41.00999999999852</v>
      </c>
      <c r="C1103">
        <f t="shared" si="70"/>
        <v>5.4605449202736582E-4</v>
      </c>
      <c r="D1103">
        <f t="shared" si="69"/>
        <v>5.4605449202736582E-4</v>
      </c>
      <c r="E1103" s="3">
        <f t="shared" si="71"/>
        <v>51069.293783381137</v>
      </c>
    </row>
    <row r="1104" spans="1:5" x14ac:dyDescent="0.3">
      <c r="A1104">
        <f t="shared" si="72"/>
        <v>11.01999999999981</v>
      </c>
      <c r="B1104">
        <f t="shared" si="72"/>
        <v>41.019999999998518</v>
      </c>
      <c r="C1104">
        <f t="shared" si="70"/>
        <v>5.4643585220462204E-4</v>
      </c>
      <c r="D1104">
        <f t="shared" si="69"/>
        <v>5.4643585220462204E-4</v>
      </c>
      <c r="E1104" s="3">
        <f t="shared" si="71"/>
        <v>51114.45431257521</v>
      </c>
    </row>
    <row r="1105" spans="1:5" x14ac:dyDescent="0.3">
      <c r="A1105">
        <f t="shared" si="72"/>
        <v>11.029999999999809</v>
      </c>
      <c r="B1105">
        <f t="shared" si="72"/>
        <v>41.029999999998516</v>
      </c>
      <c r="C1105">
        <f t="shared" si="70"/>
        <v>5.4681765842874567E-4</v>
      </c>
      <c r="D1105">
        <f t="shared" si="69"/>
        <v>5.4681765842874567E-4</v>
      </c>
      <c r="E1105" s="3">
        <f t="shared" si="71"/>
        <v>51159.632966152058</v>
      </c>
    </row>
    <row r="1106" spans="1:5" x14ac:dyDescent="0.3">
      <c r="A1106">
        <f t="shared" si="72"/>
        <v>11.039999999999809</v>
      </c>
      <c r="B1106">
        <f t="shared" si="72"/>
        <v>41.039999999998514</v>
      </c>
      <c r="C1106">
        <f t="shared" si="70"/>
        <v>5.4719991122144265E-4</v>
      </c>
      <c r="D1106">
        <f t="shared" si="69"/>
        <v>5.4719991122144265E-4</v>
      </c>
      <c r="E1106" s="3">
        <f t="shared" si="71"/>
        <v>51204.829751587131</v>
      </c>
    </row>
    <row r="1107" spans="1:5" x14ac:dyDescent="0.3">
      <c r="A1107">
        <f t="shared" si="72"/>
        <v>11.049999999999809</v>
      </c>
      <c r="B1107">
        <f t="shared" si="72"/>
        <v>41.049999999998512</v>
      </c>
      <c r="C1107">
        <f t="shared" si="70"/>
        <v>5.475826111050289E-4</v>
      </c>
      <c r="D1107">
        <f t="shared" si="69"/>
        <v>5.475826111050289E-4</v>
      </c>
      <c r="E1107" s="3">
        <f t="shared" si="71"/>
        <v>51250.044676359488</v>
      </c>
    </row>
    <row r="1108" spans="1:5" x14ac:dyDescent="0.3">
      <c r="A1108">
        <f t="shared" si="72"/>
        <v>11.059999999999809</v>
      </c>
      <c r="B1108">
        <f t="shared" si="72"/>
        <v>41.05999999999851</v>
      </c>
      <c r="C1108">
        <f t="shared" si="70"/>
        <v>5.479657586024315E-4</v>
      </c>
      <c r="D1108">
        <f t="shared" si="69"/>
        <v>5.479657586024315E-4</v>
      </c>
      <c r="E1108" s="3">
        <f t="shared" si="71"/>
        <v>51295.277747951754</v>
      </c>
    </row>
    <row r="1109" spans="1:5" x14ac:dyDescent="0.3">
      <c r="A1109">
        <f t="shared" si="72"/>
        <v>11.069999999999808</v>
      </c>
      <c r="B1109">
        <f t="shared" si="72"/>
        <v>41.069999999998508</v>
      </c>
      <c r="C1109">
        <f t="shared" si="70"/>
        <v>5.4834935423718847E-4</v>
      </c>
      <c r="D1109">
        <f t="shared" si="69"/>
        <v>5.4834935423718847E-4</v>
      </c>
      <c r="E1109" s="3">
        <f t="shared" si="71"/>
        <v>51340.528973850174</v>
      </c>
    </row>
    <row r="1110" spans="1:5" x14ac:dyDescent="0.3">
      <c r="A1110">
        <f t="shared" si="72"/>
        <v>11.079999999999808</v>
      </c>
      <c r="B1110">
        <f t="shared" si="72"/>
        <v>41.079999999998506</v>
      </c>
      <c r="C1110">
        <f t="shared" si="70"/>
        <v>5.4873339853345085E-4</v>
      </c>
      <c r="D1110">
        <f t="shared" si="69"/>
        <v>5.4873339853345085E-4</v>
      </c>
      <c r="E1110" s="3">
        <f t="shared" si="71"/>
        <v>51385.79836154457</v>
      </c>
    </row>
    <row r="1111" spans="1:5" x14ac:dyDescent="0.3">
      <c r="A1111">
        <f t="shared" si="72"/>
        <v>11.089999999999808</v>
      </c>
      <c r="B1111">
        <f t="shared" si="72"/>
        <v>41.089999999998504</v>
      </c>
      <c r="C1111">
        <f t="shared" si="70"/>
        <v>5.4911789201598268E-4</v>
      </c>
      <c r="D1111">
        <f t="shared" ref="D1111:D1174" si="73">IF(A1111&lt;=2, (0.9)^(2-A1111)*C1111, C1111)</f>
        <v>5.4911789201598268E-4</v>
      </c>
      <c r="E1111" s="3">
        <f t="shared" si="71"/>
        <v>51431.08591852837</v>
      </c>
    </row>
    <row r="1112" spans="1:5" x14ac:dyDescent="0.3">
      <c r="A1112">
        <f t="shared" si="72"/>
        <v>11.099999999999808</v>
      </c>
      <c r="B1112">
        <f t="shared" si="72"/>
        <v>41.099999999998502</v>
      </c>
      <c r="C1112">
        <f t="shared" si="70"/>
        <v>5.4950283521016166E-4</v>
      </c>
      <c r="D1112">
        <f t="shared" si="73"/>
        <v>5.4950283521016166E-4</v>
      </c>
      <c r="E1112" s="3">
        <f t="shared" si="71"/>
        <v>51476.391652298604</v>
      </c>
    </row>
    <row r="1113" spans="1:5" x14ac:dyDescent="0.3">
      <c r="A1113">
        <f t="shared" si="72"/>
        <v>11.109999999999808</v>
      </c>
      <c r="B1113">
        <f t="shared" si="72"/>
        <v>41.1099999999985</v>
      </c>
      <c r="C1113">
        <f t="shared" si="70"/>
        <v>5.4988822864198014E-4</v>
      </c>
      <c r="D1113">
        <f t="shared" si="73"/>
        <v>5.4988822864198014E-4</v>
      </c>
      <c r="E1113" s="3">
        <f t="shared" si="71"/>
        <v>51521.715570355904</v>
      </c>
    </row>
    <row r="1114" spans="1:5" x14ac:dyDescent="0.3">
      <c r="A1114">
        <f t="shared" si="72"/>
        <v>11.119999999999807</v>
      </c>
      <c r="B1114">
        <f t="shared" si="72"/>
        <v>41.119999999998498</v>
      </c>
      <c r="C1114">
        <f t="shared" si="70"/>
        <v>5.5027407283804507E-4</v>
      </c>
      <c r="D1114">
        <f t="shared" si="73"/>
        <v>5.5027407283804507E-4</v>
      </c>
      <c r="E1114" s="3">
        <f t="shared" si="71"/>
        <v>51567.057680204518</v>
      </c>
    </row>
    <row r="1115" spans="1:5" x14ac:dyDescent="0.3">
      <c r="A1115">
        <f t="shared" si="72"/>
        <v>11.129999999999807</v>
      </c>
      <c r="B1115">
        <f t="shared" si="72"/>
        <v>41.129999999998496</v>
      </c>
      <c r="C1115">
        <f t="shared" si="70"/>
        <v>5.506603683255799E-4</v>
      </c>
      <c r="D1115">
        <f t="shared" si="73"/>
        <v>5.506603683255799E-4</v>
      </c>
      <c r="E1115" s="3">
        <f t="shared" si="71"/>
        <v>51612.417989352296</v>
      </c>
    </row>
    <row r="1116" spans="1:5" x14ac:dyDescent="0.3">
      <c r="A1116">
        <f t="shared" si="72"/>
        <v>11.139999999999807</v>
      </c>
      <c r="B1116">
        <f t="shared" si="72"/>
        <v>41.139999999998494</v>
      </c>
      <c r="C1116">
        <f t="shared" si="70"/>
        <v>5.5104711563242479E-4</v>
      </c>
      <c r="D1116">
        <f t="shared" si="73"/>
        <v>5.5104711563242479E-4</v>
      </c>
      <c r="E1116" s="3">
        <f t="shared" si="71"/>
        <v>51657.796505310711</v>
      </c>
    </row>
    <row r="1117" spans="1:5" x14ac:dyDescent="0.3">
      <c r="A1117">
        <f t="shared" si="72"/>
        <v>11.149999999999807</v>
      </c>
      <c r="B1117">
        <f t="shared" si="72"/>
        <v>41.149999999998492</v>
      </c>
      <c r="C1117">
        <f t="shared" si="70"/>
        <v>5.5143431528703699E-4</v>
      </c>
      <c r="D1117">
        <f t="shared" si="73"/>
        <v>5.5143431528703699E-4</v>
      </c>
      <c r="E1117" s="3">
        <f t="shared" si="71"/>
        <v>51703.193235594845</v>
      </c>
    </row>
    <row r="1118" spans="1:5" x14ac:dyDescent="0.3">
      <c r="A1118">
        <f t="shared" si="72"/>
        <v>11.159999999999807</v>
      </c>
      <c r="B1118">
        <f t="shared" si="72"/>
        <v>41.15999999999849</v>
      </c>
      <c r="C1118">
        <f t="shared" si="70"/>
        <v>5.5182196781849221E-4</v>
      </c>
      <c r="D1118">
        <f t="shared" si="73"/>
        <v>5.5182196781849221E-4</v>
      </c>
      <c r="E1118" s="3">
        <f t="shared" si="71"/>
        <v>51748.608187723388</v>
      </c>
    </row>
    <row r="1119" spans="1:5" x14ac:dyDescent="0.3">
      <c r="A1119">
        <f t="shared" si="72"/>
        <v>11.169999999999806</v>
      </c>
      <c r="B1119">
        <f t="shared" si="72"/>
        <v>41.169999999998488</v>
      </c>
      <c r="C1119">
        <f t="shared" si="70"/>
        <v>5.5221007375648413E-4</v>
      </c>
      <c r="D1119">
        <f t="shared" si="73"/>
        <v>5.5221007375648413E-4</v>
      </c>
      <c r="E1119" s="3">
        <f t="shared" si="71"/>
        <v>51794.04136921867</v>
      </c>
    </row>
    <row r="1120" spans="1:5" x14ac:dyDescent="0.3">
      <c r="A1120">
        <f t="shared" si="72"/>
        <v>11.179999999999806</v>
      </c>
      <c r="B1120">
        <f t="shared" si="72"/>
        <v>41.179999999998486</v>
      </c>
      <c r="C1120">
        <f t="shared" si="70"/>
        <v>5.5259863363132694E-4</v>
      </c>
      <c r="D1120">
        <f t="shared" si="73"/>
        <v>5.5259863363132694E-4</v>
      </c>
      <c r="E1120" s="3">
        <f t="shared" si="71"/>
        <v>51839.492787606643</v>
      </c>
    </row>
    <row r="1121" spans="1:5" x14ac:dyDescent="0.3">
      <c r="A1121">
        <f t="shared" si="72"/>
        <v>11.189999999999806</v>
      </c>
      <c r="B1121">
        <f t="shared" si="72"/>
        <v>41.189999999998484</v>
      </c>
      <c r="C1121">
        <f t="shared" si="70"/>
        <v>5.5298764797395456E-4</v>
      </c>
      <c r="D1121">
        <f t="shared" si="73"/>
        <v>5.5298764797395456E-4</v>
      </c>
      <c r="E1121" s="3">
        <f t="shared" si="71"/>
        <v>51884.962450416882</v>
      </c>
    </row>
    <row r="1122" spans="1:5" x14ac:dyDescent="0.3">
      <c r="A1122">
        <f t="shared" si="72"/>
        <v>11.199999999999806</v>
      </c>
      <c r="B1122">
        <f t="shared" si="72"/>
        <v>41.199999999998482</v>
      </c>
      <c r="C1122">
        <f t="shared" si="70"/>
        <v>5.5337711731592214E-4</v>
      </c>
      <c r="D1122">
        <f t="shared" si="73"/>
        <v>5.5337711731592214E-4</v>
      </c>
      <c r="E1122" s="3">
        <f t="shared" si="71"/>
        <v>51930.450365182587</v>
      </c>
    </row>
    <row r="1123" spans="1:5" x14ac:dyDescent="0.3">
      <c r="A1123">
        <f t="shared" si="72"/>
        <v>11.209999999999805</v>
      </c>
      <c r="B1123">
        <f t="shared" si="72"/>
        <v>41.20999999999848</v>
      </c>
      <c r="C1123">
        <f t="shared" si="70"/>
        <v>5.5376704218940674E-4</v>
      </c>
      <c r="D1123">
        <f t="shared" si="73"/>
        <v>5.5376704218940674E-4</v>
      </c>
      <c r="E1123" s="3">
        <f t="shared" si="71"/>
        <v>51975.95653944058</v>
      </c>
    </row>
    <row r="1124" spans="1:5" x14ac:dyDescent="0.3">
      <c r="A1124">
        <f t="shared" si="72"/>
        <v>11.219999999999805</v>
      </c>
      <c r="B1124">
        <f t="shared" si="72"/>
        <v>41.219999999998478</v>
      </c>
      <c r="C1124">
        <f t="shared" si="70"/>
        <v>5.5415742312720699E-4</v>
      </c>
      <c r="D1124">
        <f t="shared" si="73"/>
        <v>5.5415742312720699E-4</v>
      </c>
      <c r="E1124" s="3">
        <f t="shared" si="71"/>
        <v>52021.480980731343</v>
      </c>
    </row>
    <row r="1125" spans="1:5" x14ac:dyDescent="0.3">
      <c r="A1125">
        <f t="shared" si="72"/>
        <v>11.229999999999805</v>
      </c>
      <c r="B1125">
        <f t="shared" si="72"/>
        <v>41.229999999998476</v>
      </c>
      <c r="C1125">
        <f t="shared" si="70"/>
        <v>5.545482606627457E-4</v>
      </c>
      <c r="D1125">
        <f t="shared" si="73"/>
        <v>5.545482606627457E-4</v>
      </c>
      <c r="E1125" s="3">
        <f t="shared" si="71"/>
        <v>52067.023696598982</v>
      </c>
    </row>
    <row r="1126" spans="1:5" x14ac:dyDescent="0.3">
      <c r="A1126">
        <f t="shared" si="72"/>
        <v>11.239999999999805</v>
      </c>
      <c r="B1126">
        <f t="shared" si="72"/>
        <v>41.239999999998474</v>
      </c>
      <c r="C1126">
        <f t="shared" si="70"/>
        <v>5.5493955533006888E-4</v>
      </c>
      <c r="D1126">
        <f t="shared" si="73"/>
        <v>5.5493955533006888E-4</v>
      </c>
      <c r="E1126" s="3">
        <f t="shared" si="71"/>
        <v>52112.584694591249</v>
      </c>
    </row>
    <row r="1127" spans="1:5" x14ac:dyDescent="0.3">
      <c r="A1127">
        <f t="shared" si="72"/>
        <v>11.249999999999805</v>
      </c>
      <c r="B1127">
        <f t="shared" si="72"/>
        <v>41.249999999998472</v>
      </c>
      <c r="C1127">
        <f t="shared" si="70"/>
        <v>5.5533130766384779E-4</v>
      </c>
      <c r="D1127">
        <f t="shared" si="73"/>
        <v>5.5533130766384779E-4</v>
      </c>
      <c r="E1127" s="3">
        <f t="shared" si="71"/>
        <v>52158.163982259524</v>
      </c>
    </row>
    <row r="1128" spans="1:5" x14ac:dyDescent="0.3">
      <c r="A1128">
        <f t="shared" si="72"/>
        <v>11.259999999999804</v>
      </c>
      <c r="B1128">
        <f t="shared" si="72"/>
        <v>41.25999999999847</v>
      </c>
      <c r="C1128">
        <f t="shared" si="70"/>
        <v>5.5572351819937874E-4</v>
      </c>
      <c r="D1128">
        <f t="shared" si="73"/>
        <v>5.5572351819937874E-4</v>
      </c>
      <c r="E1128" s="3">
        <f t="shared" si="71"/>
        <v>52203.761567158857</v>
      </c>
    </row>
    <row r="1129" spans="1:5" x14ac:dyDescent="0.3">
      <c r="A1129">
        <f t="shared" si="72"/>
        <v>11.269999999999804</v>
      </c>
      <c r="B1129">
        <f t="shared" si="72"/>
        <v>41.269999999998468</v>
      </c>
      <c r="C1129">
        <f t="shared" si="70"/>
        <v>5.5611618747258373E-4</v>
      </c>
      <c r="D1129">
        <f t="shared" si="73"/>
        <v>5.5611618747258373E-4</v>
      </c>
      <c r="E1129" s="3">
        <f t="shared" si="71"/>
        <v>52249.377456847935</v>
      </c>
    </row>
    <row r="1130" spans="1:5" x14ac:dyDescent="0.3">
      <c r="A1130">
        <f t="shared" si="72"/>
        <v>11.279999999999804</v>
      </c>
      <c r="B1130">
        <f t="shared" si="72"/>
        <v>41.279999999998466</v>
      </c>
      <c r="C1130">
        <f t="shared" si="70"/>
        <v>5.5650931602001209E-4</v>
      </c>
      <c r="D1130">
        <f t="shared" si="73"/>
        <v>5.5650931602001209E-4</v>
      </c>
      <c r="E1130" s="3">
        <f t="shared" si="71"/>
        <v>52295.011658889096</v>
      </c>
    </row>
    <row r="1131" spans="1:5" x14ac:dyDescent="0.3">
      <c r="A1131">
        <f t="shared" si="72"/>
        <v>11.289999999999804</v>
      </c>
      <c r="B1131">
        <f t="shared" si="72"/>
        <v>41.289999999998464</v>
      </c>
      <c r="C1131">
        <f t="shared" si="70"/>
        <v>5.5690290437884077E-4</v>
      </c>
      <c r="D1131">
        <f t="shared" si="73"/>
        <v>5.5690290437884077E-4</v>
      </c>
      <c r="E1131" s="3">
        <f t="shared" si="71"/>
        <v>52340.664180848333</v>
      </c>
    </row>
    <row r="1132" spans="1:5" x14ac:dyDescent="0.3">
      <c r="A1132">
        <f t="shared" si="72"/>
        <v>11.299999999999804</v>
      </c>
      <c r="B1132">
        <f t="shared" si="72"/>
        <v>41.299999999998462</v>
      </c>
      <c r="C1132">
        <f t="shared" si="70"/>
        <v>5.5729695308687471E-4</v>
      </c>
      <c r="D1132">
        <f t="shared" si="73"/>
        <v>5.5729695308687471E-4</v>
      </c>
      <c r="E1132" s="3">
        <f t="shared" si="71"/>
        <v>52386.335030295282</v>
      </c>
    </row>
    <row r="1133" spans="1:5" x14ac:dyDescent="0.3">
      <c r="A1133">
        <f t="shared" si="72"/>
        <v>11.309999999999803</v>
      </c>
      <c r="B1133">
        <f t="shared" si="72"/>
        <v>41.30999999999846</v>
      </c>
      <c r="C1133">
        <f t="shared" si="70"/>
        <v>5.5769146268254833E-4</v>
      </c>
      <c r="D1133">
        <f t="shared" si="73"/>
        <v>5.5769146268254833E-4</v>
      </c>
      <c r="E1133" s="3">
        <f t="shared" si="71"/>
        <v>52432.024214803278</v>
      </c>
    </row>
    <row r="1134" spans="1:5" x14ac:dyDescent="0.3">
      <c r="A1134">
        <f t="shared" si="72"/>
        <v>11.319999999999803</v>
      </c>
      <c r="B1134">
        <f t="shared" si="72"/>
        <v>41.319999999998458</v>
      </c>
      <c r="C1134">
        <f t="shared" si="70"/>
        <v>5.5808643370492501E-4</v>
      </c>
      <c r="D1134">
        <f t="shared" si="73"/>
        <v>5.5808643370492501E-4</v>
      </c>
      <c r="E1134" s="3">
        <f t="shared" si="71"/>
        <v>52477.731741949268</v>
      </c>
    </row>
    <row r="1135" spans="1:5" x14ac:dyDescent="0.3">
      <c r="A1135">
        <f t="shared" si="72"/>
        <v>11.329999999999803</v>
      </c>
      <c r="B1135">
        <f t="shared" si="72"/>
        <v>41.329999999998456</v>
      </c>
      <c r="C1135">
        <f t="shared" si="70"/>
        <v>5.5848186669369912E-4</v>
      </c>
      <c r="D1135">
        <f t="shared" si="73"/>
        <v>5.5848186669369912E-4</v>
      </c>
      <c r="E1135" s="3">
        <f t="shared" si="71"/>
        <v>52523.457619313915</v>
      </c>
    </row>
    <row r="1136" spans="1:5" x14ac:dyDescent="0.3">
      <c r="A1136">
        <f t="shared" si="72"/>
        <v>11.339999999999803</v>
      </c>
      <c r="B1136">
        <f t="shared" si="72"/>
        <v>41.339999999998454</v>
      </c>
      <c r="C1136">
        <f t="shared" si="70"/>
        <v>5.5887776218919657E-4</v>
      </c>
      <c r="D1136">
        <f t="shared" si="73"/>
        <v>5.5887776218919657E-4</v>
      </c>
      <c r="E1136" s="3">
        <f t="shared" si="71"/>
        <v>52569.201854481507</v>
      </c>
    </row>
    <row r="1137" spans="1:5" x14ac:dyDescent="0.3">
      <c r="A1137">
        <f t="shared" si="72"/>
        <v>11.349999999999802</v>
      </c>
      <c r="B1137">
        <f t="shared" si="72"/>
        <v>41.349999999998452</v>
      </c>
      <c r="C1137">
        <f t="shared" si="70"/>
        <v>5.5927412073237474E-4</v>
      </c>
      <c r="D1137">
        <f t="shared" si="73"/>
        <v>5.5927412073237474E-4</v>
      </c>
      <c r="E1137" s="3">
        <f t="shared" si="71"/>
        <v>52614.964455040026</v>
      </c>
    </row>
    <row r="1138" spans="1:5" x14ac:dyDescent="0.3">
      <c r="A1138">
        <f t="shared" si="72"/>
        <v>11.359999999999802</v>
      </c>
      <c r="B1138">
        <f t="shared" si="72"/>
        <v>41.35999999999845</v>
      </c>
      <c r="C1138">
        <f t="shared" si="70"/>
        <v>5.5967094286482426E-4</v>
      </c>
      <c r="D1138">
        <f t="shared" si="73"/>
        <v>5.5967094286482426E-4</v>
      </c>
      <c r="E1138" s="3">
        <f t="shared" si="71"/>
        <v>52660.74542858114</v>
      </c>
    </row>
    <row r="1139" spans="1:5" x14ac:dyDescent="0.3">
      <c r="A1139">
        <f t="shared" si="72"/>
        <v>11.369999999999802</v>
      </c>
      <c r="B1139">
        <f t="shared" si="72"/>
        <v>41.369999999998448</v>
      </c>
      <c r="C1139">
        <f t="shared" si="70"/>
        <v>5.600682291287682E-4</v>
      </c>
      <c r="D1139">
        <f t="shared" si="73"/>
        <v>5.600682291287682E-4</v>
      </c>
      <c r="E1139" s="3">
        <f t="shared" si="71"/>
        <v>52706.544782700163</v>
      </c>
    </row>
    <row r="1140" spans="1:5" x14ac:dyDescent="0.3">
      <c r="A1140">
        <f t="shared" si="72"/>
        <v>11.379999999999802</v>
      </c>
      <c r="B1140">
        <f t="shared" si="72"/>
        <v>41.379999999998446</v>
      </c>
      <c r="C1140">
        <f t="shared" si="70"/>
        <v>5.6046598006706495E-4</v>
      </c>
      <c r="D1140">
        <f t="shared" si="73"/>
        <v>5.6046598006706495E-4</v>
      </c>
      <c r="E1140" s="3">
        <f t="shared" si="71"/>
        <v>52752.362524996111</v>
      </c>
    </row>
    <row r="1141" spans="1:5" x14ac:dyDescent="0.3">
      <c r="A1141">
        <f t="shared" si="72"/>
        <v>11.389999999999802</v>
      </c>
      <c r="B1141">
        <f t="shared" si="72"/>
        <v>41.389999999998444</v>
      </c>
      <c r="C1141">
        <f t="shared" si="70"/>
        <v>5.6086419622320739E-4</v>
      </c>
      <c r="D1141">
        <f t="shared" si="73"/>
        <v>5.6086419622320739E-4</v>
      </c>
      <c r="E1141" s="3">
        <f t="shared" si="71"/>
        <v>52798.198663071678</v>
      </c>
    </row>
    <row r="1142" spans="1:5" x14ac:dyDescent="0.3">
      <c r="A1142">
        <f t="shared" si="72"/>
        <v>11.399999999999801</v>
      </c>
      <c r="B1142">
        <f t="shared" si="72"/>
        <v>41.399999999998442</v>
      </c>
      <c r="C1142">
        <f t="shared" si="70"/>
        <v>5.6126287814132385E-4</v>
      </c>
      <c r="D1142">
        <f t="shared" si="73"/>
        <v>5.6126287814132385E-4</v>
      </c>
      <c r="E1142" s="3">
        <f t="shared" si="71"/>
        <v>52844.053204533229</v>
      </c>
    </row>
    <row r="1143" spans="1:5" x14ac:dyDescent="0.3">
      <c r="A1143">
        <f t="shared" si="72"/>
        <v>11.409999999999801</v>
      </c>
      <c r="B1143">
        <f t="shared" si="72"/>
        <v>41.409999999998441</v>
      </c>
      <c r="C1143">
        <f t="shared" si="70"/>
        <v>5.6166202636617985E-4</v>
      </c>
      <c r="D1143">
        <f t="shared" si="73"/>
        <v>5.6166202636617985E-4</v>
      </c>
      <c r="E1143" s="3">
        <f t="shared" si="71"/>
        <v>52889.926156990849</v>
      </c>
    </row>
    <row r="1144" spans="1:5" x14ac:dyDescent="0.3">
      <c r="A1144">
        <f t="shared" si="72"/>
        <v>11.419999999999801</v>
      </c>
      <c r="B1144">
        <f t="shared" si="72"/>
        <v>41.419999999998439</v>
      </c>
      <c r="C1144">
        <f t="shared" si="70"/>
        <v>5.6206164144317688E-4</v>
      </c>
      <c r="D1144">
        <f t="shared" si="73"/>
        <v>5.6206164144317688E-4</v>
      </c>
      <c r="E1144" s="3">
        <f t="shared" si="71"/>
        <v>52935.81752805828</v>
      </c>
    </row>
    <row r="1145" spans="1:5" x14ac:dyDescent="0.3">
      <c r="A1145">
        <f t="shared" si="72"/>
        <v>11.429999999999801</v>
      </c>
      <c r="B1145">
        <f t="shared" si="72"/>
        <v>41.429999999998437</v>
      </c>
      <c r="C1145">
        <f t="shared" si="70"/>
        <v>5.6246172391835516E-4</v>
      </c>
      <c r="D1145">
        <f t="shared" si="73"/>
        <v>5.6246172391835516E-4</v>
      </c>
      <c r="E1145" s="3">
        <f t="shared" si="71"/>
        <v>52981.727325352971</v>
      </c>
    </row>
    <row r="1146" spans="1:5" x14ac:dyDescent="0.3">
      <c r="A1146">
        <f t="shared" si="72"/>
        <v>11.439999999999801</v>
      </c>
      <c r="B1146">
        <f t="shared" si="72"/>
        <v>41.439999999998435</v>
      </c>
      <c r="C1146">
        <f t="shared" si="70"/>
        <v>5.628622743383936E-4</v>
      </c>
      <c r="D1146">
        <f t="shared" si="73"/>
        <v>5.628622743383936E-4</v>
      </c>
      <c r="E1146" s="3">
        <f t="shared" si="71"/>
        <v>53027.655556496065</v>
      </c>
    </row>
    <row r="1147" spans="1:5" x14ac:dyDescent="0.3">
      <c r="A1147">
        <f t="shared" si="72"/>
        <v>11.4499999999998</v>
      </c>
      <c r="B1147">
        <f t="shared" si="72"/>
        <v>41.449999999998433</v>
      </c>
      <c r="C1147">
        <f t="shared" si="70"/>
        <v>5.6326329325061015E-4</v>
      </c>
      <c r="D1147">
        <f t="shared" si="73"/>
        <v>5.6326329325061015E-4</v>
      </c>
      <c r="E1147" s="3">
        <f t="shared" si="71"/>
        <v>53073.602229112417</v>
      </c>
    </row>
    <row r="1148" spans="1:5" x14ac:dyDescent="0.3">
      <c r="A1148">
        <f t="shared" si="72"/>
        <v>11.4599999999998</v>
      </c>
      <c r="B1148">
        <f t="shared" si="72"/>
        <v>41.459999999998431</v>
      </c>
      <c r="C1148">
        <f t="shared" si="70"/>
        <v>5.6366478120296361E-4</v>
      </c>
      <c r="D1148">
        <f t="shared" si="73"/>
        <v>5.6366478120296361E-4</v>
      </c>
      <c r="E1148" s="3">
        <f t="shared" si="71"/>
        <v>53119.56735083057</v>
      </c>
    </row>
    <row r="1149" spans="1:5" x14ac:dyDescent="0.3">
      <c r="A1149">
        <f t="shared" si="72"/>
        <v>11.4699999999998</v>
      </c>
      <c r="B1149">
        <f t="shared" si="72"/>
        <v>41.469999999998429</v>
      </c>
      <c r="C1149">
        <f t="shared" si="70"/>
        <v>5.6406673874405248E-4</v>
      </c>
      <c r="D1149">
        <f t="shared" si="73"/>
        <v>5.6406673874405248E-4</v>
      </c>
      <c r="E1149" s="3">
        <f t="shared" si="71"/>
        <v>53165.550929282777</v>
      </c>
    </row>
    <row r="1150" spans="1:5" x14ac:dyDescent="0.3">
      <c r="A1150">
        <f t="shared" si="72"/>
        <v>11.4799999999998</v>
      </c>
      <c r="B1150">
        <f t="shared" si="72"/>
        <v>41.479999999998427</v>
      </c>
      <c r="C1150">
        <f t="shared" si="70"/>
        <v>5.6446916642311775E-4</v>
      </c>
      <c r="D1150">
        <f t="shared" si="73"/>
        <v>5.6446916642311775E-4</v>
      </c>
      <c r="E1150" s="3">
        <f t="shared" si="71"/>
        <v>53211.552972105004</v>
      </c>
    </row>
    <row r="1151" spans="1:5" x14ac:dyDescent="0.3">
      <c r="A1151">
        <f t="shared" si="72"/>
        <v>11.489999999999799</v>
      </c>
      <c r="B1151">
        <f t="shared" si="72"/>
        <v>41.489999999998425</v>
      </c>
      <c r="C1151">
        <f t="shared" si="70"/>
        <v>5.6487206479004291E-4</v>
      </c>
      <c r="D1151">
        <f t="shared" si="73"/>
        <v>5.6487206479004291E-4</v>
      </c>
      <c r="E1151" s="3">
        <f t="shared" si="71"/>
        <v>53257.573486936933</v>
      </c>
    </row>
    <row r="1152" spans="1:5" x14ac:dyDescent="0.3">
      <c r="A1152">
        <f t="shared" si="72"/>
        <v>11.499999999999799</v>
      </c>
      <c r="B1152">
        <f t="shared" si="72"/>
        <v>41.499999999998423</v>
      </c>
      <c r="C1152">
        <f t="shared" si="70"/>
        <v>5.6527543439535417E-4</v>
      </c>
      <c r="D1152">
        <f t="shared" si="73"/>
        <v>5.6527543439535417E-4</v>
      </c>
      <c r="E1152" s="3">
        <f t="shared" si="71"/>
        <v>53303.612481421929</v>
      </c>
    </row>
    <row r="1153" spans="1:5" x14ac:dyDescent="0.3">
      <c r="A1153">
        <f t="shared" si="72"/>
        <v>11.509999999999799</v>
      </c>
      <c r="B1153">
        <f t="shared" si="72"/>
        <v>41.509999999998421</v>
      </c>
      <c r="C1153">
        <f t="shared" si="70"/>
        <v>5.6567927579022218E-4</v>
      </c>
      <c r="D1153">
        <f t="shared" si="73"/>
        <v>5.6567927579022218E-4</v>
      </c>
      <c r="E1153" s="3">
        <f t="shared" si="71"/>
        <v>53349.669963207103</v>
      </c>
    </row>
    <row r="1154" spans="1:5" x14ac:dyDescent="0.3">
      <c r="A1154">
        <f t="shared" si="72"/>
        <v>11.519999999999799</v>
      </c>
      <c r="B1154">
        <f t="shared" si="72"/>
        <v>41.519999999998419</v>
      </c>
      <c r="C1154">
        <f t="shared" si="70"/>
        <v>5.6608358952646139E-4</v>
      </c>
      <c r="D1154">
        <f t="shared" si="73"/>
        <v>5.6608358952646139E-4</v>
      </c>
      <c r="E1154" s="3">
        <f t="shared" si="71"/>
        <v>53395.745939943285</v>
      </c>
    </row>
    <row r="1155" spans="1:5" x14ac:dyDescent="0.3">
      <c r="A1155">
        <f t="shared" si="72"/>
        <v>11.529999999999799</v>
      </c>
      <c r="B1155">
        <f t="shared" si="72"/>
        <v>41.529999999998417</v>
      </c>
      <c r="C1155">
        <f t="shared" ref="C1155:C1218" si="74">$N$2 + $N$3*$N$4^(B1155)</f>
        <v>5.6648837615653244E-4</v>
      </c>
      <c r="D1155">
        <f t="shared" si="73"/>
        <v>5.6648837615653244E-4</v>
      </c>
      <c r="E1155" s="3">
        <f t="shared" ref="E1155:E1218" si="75">IF(ROUND(A1155, 2)=$N$10,$N$6,(E1156-$N$5*($N$7-$N$8-($N$6+$N$9)*D1155))/(1+$N$5*$N$11+$N$5*D1155))</f>
        <v>53441.840419285014</v>
      </c>
    </row>
    <row r="1156" spans="1:5" x14ac:dyDescent="0.3">
      <c r="A1156">
        <f t="shared" ref="A1156:B1219" si="76">A1155+$N$5</f>
        <v>11.539999999999798</v>
      </c>
      <c r="B1156">
        <f t="shared" si="76"/>
        <v>41.539999999998415</v>
      </c>
      <c r="C1156">
        <f t="shared" si="74"/>
        <v>5.6689363623354183E-4</v>
      </c>
      <c r="D1156">
        <f t="shared" si="73"/>
        <v>5.6689363623354183E-4</v>
      </c>
      <c r="E1156" s="3">
        <f t="shared" si="75"/>
        <v>53487.953408890549</v>
      </c>
    </row>
    <row r="1157" spans="1:5" x14ac:dyDescent="0.3">
      <c r="A1157">
        <f t="shared" si="76"/>
        <v>11.549999999999798</v>
      </c>
      <c r="B1157">
        <f t="shared" si="76"/>
        <v>41.549999999998413</v>
      </c>
      <c r="C1157">
        <f t="shared" si="74"/>
        <v>5.672993703112431E-4</v>
      </c>
      <c r="D1157">
        <f t="shared" si="73"/>
        <v>5.672993703112431E-4</v>
      </c>
      <c r="E1157" s="3">
        <f t="shared" si="75"/>
        <v>53534.084916421896</v>
      </c>
    </row>
    <row r="1158" spans="1:5" x14ac:dyDescent="0.3">
      <c r="A1158">
        <f t="shared" si="76"/>
        <v>11.559999999999798</v>
      </c>
      <c r="B1158">
        <f t="shared" si="76"/>
        <v>41.559999999998411</v>
      </c>
      <c r="C1158">
        <f t="shared" si="74"/>
        <v>5.6770557894403773E-4</v>
      </c>
      <c r="D1158">
        <f t="shared" si="73"/>
        <v>5.6770557894403773E-4</v>
      </c>
      <c r="E1158" s="3">
        <f t="shared" si="75"/>
        <v>53580.234949544778</v>
      </c>
    </row>
    <row r="1159" spans="1:5" x14ac:dyDescent="0.3">
      <c r="A1159">
        <f t="shared" si="76"/>
        <v>11.569999999999798</v>
      </c>
      <c r="B1159">
        <f t="shared" si="76"/>
        <v>41.569999999998409</v>
      </c>
      <c r="C1159">
        <f t="shared" si="74"/>
        <v>5.6811226268697456E-4</v>
      </c>
      <c r="D1159">
        <f t="shared" si="73"/>
        <v>5.6811226268697456E-4</v>
      </c>
      <c r="E1159" s="3">
        <f t="shared" si="75"/>
        <v>53626.403515928672</v>
      </c>
    </row>
    <row r="1160" spans="1:5" x14ac:dyDescent="0.3">
      <c r="A1160">
        <f t="shared" si="76"/>
        <v>11.579999999999798</v>
      </c>
      <c r="B1160">
        <f t="shared" si="76"/>
        <v>41.579999999998407</v>
      </c>
      <c r="C1160">
        <f t="shared" si="74"/>
        <v>5.6851942209575296E-4</v>
      </c>
      <c r="D1160">
        <f t="shared" si="73"/>
        <v>5.6851942209575296E-4</v>
      </c>
      <c r="E1160" s="3">
        <f t="shared" si="75"/>
        <v>53672.590623246761</v>
      </c>
    </row>
    <row r="1161" spans="1:5" x14ac:dyDescent="0.3">
      <c r="A1161">
        <f t="shared" si="76"/>
        <v>11.589999999999797</v>
      </c>
      <c r="B1161">
        <f t="shared" si="76"/>
        <v>41.589999999998405</v>
      </c>
      <c r="C1161">
        <f t="shared" si="74"/>
        <v>5.6892705772672129E-4</v>
      </c>
      <c r="D1161">
        <f t="shared" si="73"/>
        <v>5.6892705772672129E-4</v>
      </c>
      <c r="E1161" s="3">
        <f t="shared" si="75"/>
        <v>53718.796279176</v>
      </c>
    </row>
    <row r="1162" spans="1:5" x14ac:dyDescent="0.3">
      <c r="A1162">
        <f t="shared" si="76"/>
        <v>11.599999999999797</v>
      </c>
      <c r="B1162">
        <f t="shared" si="76"/>
        <v>41.599999999998403</v>
      </c>
      <c r="C1162">
        <f t="shared" si="74"/>
        <v>5.6933517013687943E-4</v>
      </c>
      <c r="D1162">
        <f t="shared" si="73"/>
        <v>5.6933517013687943E-4</v>
      </c>
      <c r="E1162" s="3">
        <f t="shared" si="75"/>
        <v>53765.020491397059</v>
      </c>
    </row>
    <row r="1163" spans="1:5" x14ac:dyDescent="0.3">
      <c r="A1163">
        <f t="shared" si="76"/>
        <v>11.609999999999797</v>
      </c>
      <c r="B1163">
        <f t="shared" si="76"/>
        <v>41.609999999998401</v>
      </c>
      <c r="C1163">
        <f t="shared" si="74"/>
        <v>5.6974375988387842E-4</v>
      </c>
      <c r="D1163">
        <f t="shared" si="73"/>
        <v>5.6974375988387842E-4</v>
      </c>
      <c r="E1163" s="3">
        <f t="shared" si="75"/>
        <v>53811.263267594375</v>
      </c>
    </row>
    <row r="1164" spans="1:5" x14ac:dyDescent="0.3">
      <c r="A1164">
        <f t="shared" si="76"/>
        <v>11.619999999999797</v>
      </c>
      <c r="B1164">
        <f t="shared" si="76"/>
        <v>41.619999999998399</v>
      </c>
      <c r="C1164">
        <f t="shared" si="74"/>
        <v>5.7015282752602078E-4</v>
      </c>
      <c r="D1164">
        <f t="shared" si="73"/>
        <v>5.7015282752602078E-4</v>
      </c>
      <c r="E1164" s="3">
        <f t="shared" si="75"/>
        <v>53857.524615456103</v>
      </c>
    </row>
    <row r="1165" spans="1:5" x14ac:dyDescent="0.3">
      <c r="A1165">
        <f t="shared" si="76"/>
        <v>11.629999999999797</v>
      </c>
      <c r="B1165">
        <f t="shared" si="76"/>
        <v>41.629999999998397</v>
      </c>
      <c r="C1165">
        <f t="shared" si="74"/>
        <v>5.7056237362226305E-4</v>
      </c>
      <c r="D1165">
        <f t="shared" si="73"/>
        <v>5.7056237362226305E-4</v>
      </c>
      <c r="E1165" s="3">
        <f t="shared" si="75"/>
        <v>53903.804542674188</v>
      </c>
    </row>
    <row r="1166" spans="1:5" x14ac:dyDescent="0.3">
      <c r="A1166">
        <f t="shared" si="76"/>
        <v>11.639999999999796</v>
      </c>
      <c r="B1166">
        <f t="shared" si="76"/>
        <v>41.639999999998395</v>
      </c>
      <c r="C1166">
        <f t="shared" si="74"/>
        <v>5.7097239873221532E-4</v>
      </c>
      <c r="D1166">
        <f t="shared" si="73"/>
        <v>5.7097239873221532E-4</v>
      </c>
      <c r="E1166" s="3">
        <f t="shared" si="75"/>
        <v>53950.103056944303</v>
      </c>
    </row>
    <row r="1167" spans="1:5" x14ac:dyDescent="0.3">
      <c r="A1167">
        <f t="shared" si="76"/>
        <v>11.649999999999796</v>
      </c>
      <c r="B1167">
        <f t="shared" si="76"/>
        <v>41.649999999998393</v>
      </c>
      <c r="C1167">
        <f t="shared" si="74"/>
        <v>5.7138290341614197E-4</v>
      </c>
      <c r="D1167">
        <f t="shared" si="73"/>
        <v>5.7138290341614197E-4</v>
      </c>
      <c r="E1167" s="3">
        <f t="shared" si="75"/>
        <v>53996.420165965894</v>
      </c>
    </row>
    <row r="1168" spans="1:5" x14ac:dyDescent="0.3">
      <c r="A1168">
        <f t="shared" si="76"/>
        <v>11.659999999999796</v>
      </c>
      <c r="B1168">
        <f t="shared" si="76"/>
        <v>41.659999999998391</v>
      </c>
      <c r="C1168">
        <f t="shared" si="74"/>
        <v>5.7179388823496314E-4</v>
      </c>
      <c r="D1168">
        <f t="shared" si="73"/>
        <v>5.7179388823496314E-4</v>
      </c>
      <c r="E1168" s="3">
        <f t="shared" si="75"/>
        <v>54042.755877442149</v>
      </c>
    </row>
    <row r="1169" spans="1:5" x14ac:dyDescent="0.3">
      <c r="A1169">
        <f t="shared" si="76"/>
        <v>11.669999999999796</v>
      </c>
      <c r="B1169">
        <f t="shared" si="76"/>
        <v>41.669999999998389</v>
      </c>
      <c r="C1169">
        <f t="shared" si="74"/>
        <v>5.7220535375025392E-4</v>
      </c>
      <c r="D1169">
        <f t="shared" si="73"/>
        <v>5.7220535375025392E-4</v>
      </c>
      <c r="E1169" s="3">
        <f t="shared" si="75"/>
        <v>54089.110199080031</v>
      </c>
    </row>
    <row r="1170" spans="1:5" x14ac:dyDescent="0.3">
      <c r="A1170">
        <f t="shared" si="76"/>
        <v>11.679999999999795</v>
      </c>
      <c r="B1170">
        <f t="shared" si="76"/>
        <v>41.679999999998387</v>
      </c>
      <c r="C1170">
        <f t="shared" si="74"/>
        <v>5.7261730052424761E-4</v>
      </c>
      <c r="D1170">
        <f t="shared" si="73"/>
        <v>5.7261730052424761E-4</v>
      </c>
      <c r="E1170" s="3">
        <f t="shared" si="75"/>
        <v>54135.483138590258</v>
      </c>
    </row>
    <row r="1171" spans="1:5" x14ac:dyDescent="0.3">
      <c r="A1171">
        <f t="shared" si="76"/>
        <v>11.689999999999795</v>
      </c>
      <c r="B1171">
        <f t="shared" si="76"/>
        <v>41.689999999998385</v>
      </c>
      <c r="C1171">
        <f t="shared" si="74"/>
        <v>5.7302972911983413E-4</v>
      </c>
      <c r="D1171">
        <f t="shared" si="73"/>
        <v>5.7302972911983413E-4</v>
      </c>
      <c r="E1171" s="3">
        <f t="shared" si="75"/>
        <v>54181.874703687346</v>
      </c>
    </row>
    <row r="1172" spans="1:5" x14ac:dyDescent="0.3">
      <c r="A1172">
        <f t="shared" si="76"/>
        <v>11.699999999999795</v>
      </c>
      <c r="B1172">
        <f t="shared" si="76"/>
        <v>41.699999999998383</v>
      </c>
      <c r="C1172">
        <f t="shared" si="74"/>
        <v>5.7344264010056236E-4</v>
      </c>
      <c r="D1172">
        <f t="shared" si="73"/>
        <v>5.7344264010056236E-4</v>
      </c>
      <c r="E1172" s="3">
        <f t="shared" si="75"/>
        <v>54228.284902089537</v>
      </c>
    </row>
    <row r="1173" spans="1:5" x14ac:dyDescent="0.3">
      <c r="A1173">
        <f t="shared" si="76"/>
        <v>11.709999999999795</v>
      </c>
      <c r="B1173">
        <f t="shared" si="76"/>
        <v>41.709999999998381</v>
      </c>
      <c r="C1173">
        <f t="shared" si="74"/>
        <v>5.7385603403064026E-4</v>
      </c>
      <c r="D1173">
        <f t="shared" si="73"/>
        <v>5.7385603403064026E-4</v>
      </c>
      <c r="E1173" s="3">
        <f t="shared" si="75"/>
        <v>54274.713741518892</v>
      </c>
    </row>
    <row r="1174" spans="1:5" x14ac:dyDescent="0.3">
      <c r="A1174">
        <f t="shared" si="76"/>
        <v>11.719999999999795</v>
      </c>
      <c r="B1174">
        <f t="shared" si="76"/>
        <v>41.719999999998379</v>
      </c>
      <c r="C1174">
        <f t="shared" si="74"/>
        <v>5.74269911474935E-4</v>
      </c>
      <c r="D1174">
        <f t="shared" si="73"/>
        <v>5.74269911474935E-4</v>
      </c>
      <c r="E1174" s="3">
        <f t="shared" si="75"/>
        <v>54321.161229701218</v>
      </c>
    </row>
    <row r="1175" spans="1:5" x14ac:dyDescent="0.3">
      <c r="A1175">
        <f t="shared" si="76"/>
        <v>11.729999999999794</v>
      </c>
      <c r="B1175">
        <f t="shared" si="76"/>
        <v>41.729999999998377</v>
      </c>
      <c r="C1175">
        <f t="shared" si="74"/>
        <v>5.7468427299897532E-4</v>
      </c>
      <c r="D1175">
        <f t="shared" ref="D1175:D1238" si="77">IF(A1175&lt;=2, (0.9)^(2-A1175)*C1175, C1175)</f>
        <v>5.7468427299897532E-4</v>
      </c>
      <c r="E1175" s="3">
        <f t="shared" si="75"/>
        <v>54367.627374366122</v>
      </c>
    </row>
    <row r="1176" spans="1:5" x14ac:dyDescent="0.3">
      <c r="A1176">
        <f t="shared" si="76"/>
        <v>11.739999999999794</v>
      </c>
      <c r="B1176">
        <f t="shared" si="76"/>
        <v>41.739999999998375</v>
      </c>
      <c r="C1176">
        <f t="shared" si="74"/>
        <v>5.7509911916895078E-4</v>
      </c>
      <c r="D1176">
        <f t="shared" si="77"/>
        <v>5.7509911916895078E-4</v>
      </c>
      <c r="E1176" s="3">
        <f t="shared" si="75"/>
        <v>54414.112183246987</v>
      </c>
    </row>
    <row r="1177" spans="1:5" x14ac:dyDescent="0.3">
      <c r="A1177">
        <f t="shared" si="76"/>
        <v>11.749999999999794</v>
      </c>
      <c r="B1177">
        <f t="shared" si="76"/>
        <v>41.749999999998373</v>
      </c>
      <c r="C1177">
        <f t="shared" si="74"/>
        <v>5.7551445055171384E-4</v>
      </c>
      <c r="D1177">
        <f t="shared" si="77"/>
        <v>5.7551445055171384E-4</v>
      </c>
      <c r="E1177" s="3">
        <f t="shared" si="75"/>
        <v>54460.615664080986</v>
      </c>
    </row>
    <row r="1178" spans="1:5" x14ac:dyDescent="0.3">
      <c r="A1178">
        <f t="shared" si="76"/>
        <v>11.759999999999794</v>
      </c>
      <c r="B1178">
        <f t="shared" si="76"/>
        <v>41.759999999998371</v>
      </c>
      <c r="C1178">
        <f t="shared" si="74"/>
        <v>5.7593026771477949E-4</v>
      </c>
      <c r="D1178">
        <f t="shared" si="77"/>
        <v>5.7593026771477949E-4</v>
      </c>
      <c r="E1178" s="3">
        <f t="shared" si="75"/>
        <v>54507.137824609075</v>
      </c>
    </row>
    <row r="1179" spans="1:5" x14ac:dyDescent="0.3">
      <c r="A1179">
        <f t="shared" si="76"/>
        <v>11.769999999999794</v>
      </c>
      <c r="B1179">
        <f t="shared" si="76"/>
        <v>41.769999999998369</v>
      </c>
      <c r="C1179">
        <f t="shared" si="74"/>
        <v>5.7634657122632616E-4</v>
      </c>
      <c r="D1179">
        <f t="shared" si="77"/>
        <v>5.7634657122632616E-4</v>
      </c>
      <c r="E1179" s="3">
        <f t="shared" si="75"/>
        <v>54553.678672575996</v>
      </c>
    </row>
    <row r="1180" spans="1:5" x14ac:dyDescent="0.3">
      <c r="A1180">
        <f t="shared" si="76"/>
        <v>11.779999999999793</v>
      </c>
      <c r="B1180">
        <f t="shared" si="76"/>
        <v>41.779999999998367</v>
      </c>
      <c r="C1180">
        <f t="shared" si="74"/>
        <v>5.7676336165519754E-4</v>
      </c>
      <c r="D1180">
        <f t="shared" si="77"/>
        <v>5.7676336165519754E-4</v>
      </c>
      <c r="E1180" s="3">
        <f t="shared" si="75"/>
        <v>54600.2382157303</v>
      </c>
    </row>
    <row r="1181" spans="1:5" x14ac:dyDescent="0.3">
      <c r="A1181">
        <f t="shared" si="76"/>
        <v>11.789999999999793</v>
      </c>
      <c r="B1181">
        <f t="shared" si="76"/>
        <v>41.789999999998365</v>
      </c>
      <c r="C1181">
        <f t="shared" si="74"/>
        <v>5.7718063957090226E-4</v>
      </c>
      <c r="D1181">
        <f t="shared" si="77"/>
        <v>5.7718063957090226E-4</v>
      </c>
      <c r="E1181" s="3">
        <f t="shared" si="75"/>
        <v>54646.816461824332</v>
      </c>
    </row>
    <row r="1182" spans="1:5" x14ac:dyDescent="0.3">
      <c r="A1182">
        <f t="shared" si="76"/>
        <v>11.799999999999793</v>
      </c>
      <c r="B1182">
        <f t="shared" si="76"/>
        <v>41.799999999998363</v>
      </c>
      <c r="C1182">
        <f t="shared" si="74"/>
        <v>5.7759840554361531E-4</v>
      </c>
      <c r="D1182">
        <f t="shared" si="77"/>
        <v>5.7759840554361531E-4</v>
      </c>
      <c r="E1182" s="3">
        <f t="shared" si="75"/>
        <v>54693.413418614247</v>
      </c>
    </row>
    <row r="1183" spans="1:5" x14ac:dyDescent="0.3">
      <c r="A1183">
        <f t="shared" si="76"/>
        <v>11.809999999999793</v>
      </c>
      <c r="B1183">
        <f t="shared" si="76"/>
        <v>41.809999999998361</v>
      </c>
      <c r="C1183">
        <f t="shared" si="74"/>
        <v>5.7801666014417814E-4</v>
      </c>
      <c r="D1183">
        <f t="shared" si="77"/>
        <v>5.7801666014417814E-4</v>
      </c>
      <c r="E1183" s="3">
        <f t="shared" si="75"/>
        <v>54740.029093859994</v>
      </c>
    </row>
    <row r="1184" spans="1:5" x14ac:dyDescent="0.3">
      <c r="A1184">
        <f t="shared" si="76"/>
        <v>11.819999999999792</v>
      </c>
      <c r="B1184">
        <f t="shared" si="76"/>
        <v>41.819999999998359</v>
      </c>
      <c r="C1184">
        <f t="shared" si="74"/>
        <v>5.7843540394410069E-4</v>
      </c>
      <c r="D1184">
        <f t="shared" si="77"/>
        <v>5.7843540394410069E-4</v>
      </c>
      <c r="E1184" s="3">
        <f t="shared" si="75"/>
        <v>54786.663495325316</v>
      </c>
    </row>
    <row r="1185" spans="1:5" x14ac:dyDescent="0.3">
      <c r="A1185">
        <f t="shared" si="76"/>
        <v>11.829999999999792</v>
      </c>
      <c r="B1185">
        <f t="shared" si="76"/>
        <v>41.829999999998357</v>
      </c>
      <c r="C1185">
        <f t="shared" si="74"/>
        <v>5.7885463751556016E-4</v>
      </c>
      <c r="D1185">
        <f t="shared" si="77"/>
        <v>5.7885463751556016E-4</v>
      </c>
      <c r="E1185" s="3">
        <f t="shared" si="75"/>
        <v>54833.316630777801</v>
      </c>
    </row>
    <row r="1186" spans="1:5" x14ac:dyDescent="0.3">
      <c r="A1186">
        <f t="shared" si="76"/>
        <v>11.839999999999792</v>
      </c>
      <c r="B1186">
        <f t="shared" si="76"/>
        <v>41.839999999998355</v>
      </c>
      <c r="C1186">
        <f t="shared" si="74"/>
        <v>5.7927436143140386E-4</v>
      </c>
      <c r="D1186">
        <f t="shared" si="77"/>
        <v>5.7927436143140386E-4</v>
      </c>
      <c r="E1186" s="3">
        <f t="shared" si="75"/>
        <v>54879.988507988812</v>
      </c>
    </row>
    <row r="1187" spans="1:5" x14ac:dyDescent="0.3">
      <c r="A1187">
        <f t="shared" si="76"/>
        <v>11.849999999999792</v>
      </c>
      <c r="B1187">
        <f t="shared" si="76"/>
        <v>41.849999999998353</v>
      </c>
      <c r="C1187">
        <f t="shared" si="74"/>
        <v>5.7969457626514884E-4</v>
      </c>
      <c r="D1187">
        <f t="shared" si="77"/>
        <v>5.7969457626514884E-4</v>
      </c>
      <c r="E1187" s="3">
        <f t="shared" si="75"/>
        <v>54926.67913473356</v>
      </c>
    </row>
    <row r="1188" spans="1:5" x14ac:dyDescent="0.3">
      <c r="A1188">
        <f t="shared" si="76"/>
        <v>11.859999999999792</v>
      </c>
      <c r="B1188">
        <f t="shared" si="76"/>
        <v>41.859999999998351</v>
      </c>
      <c r="C1188">
        <f t="shared" si="74"/>
        <v>5.8011528259098303E-4</v>
      </c>
      <c r="D1188">
        <f t="shared" si="77"/>
        <v>5.8011528259098303E-4</v>
      </c>
      <c r="E1188" s="3">
        <f t="shared" si="75"/>
        <v>54973.388518791056</v>
      </c>
    </row>
    <row r="1189" spans="1:5" x14ac:dyDescent="0.3">
      <c r="A1189">
        <f t="shared" si="76"/>
        <v>11.869999999999791</v>
      </c>
      <c r="B1189">
        <f t="shared" si="76"/>
        <v>41.869999999998349</v>
      </c>
      <c r="C1189">
        <f t="shared" si="74"/>
        <v>5.8053648098376636E-4</v>
      </c>
      <c r="D1189">
        <f t="shared" si="77"/>
        <v>5.8053648098376636E-4</v>
      </c>
      <c r="E1189" s="3">
        <f t="shared" si="75"/>
        <v>55020.116667944138</v>
      </c>
    </row>
    <row r="1190" spans="1:5" x14ac:dyDescent="0.3">
      <c r="A1190">
        <f t="shared" si="76"/>
        <v>11.879999999999791</v>
      </c>
      <c r="B1190">
        <f t="shared" si="76"/>
        <v>41.879999999998347</v>
      </c>
      <c r="C1190">
        <f t="shared" si="74"/>
        <v>5.8095817201902979E-4</v>
      </c>
      <c r="D1190">
        <f t="shared" si="77"/>
        <v>5.8095817201902979E-4</v>
      </c>
      <c r="E1190" s="3">
        <f t="shared" si="75"/>
        <v>55066.863589979461</v>
      </c>
    </row>
    <row r="1191" spans="1:5" x14ac:dyDescent="0.3">
      <c r="A1191">
        <f t="shared" si="76"/>
        <v>11.889999999999791</v>
      </c>
      <c r="B1191">
        <f t="shared" si="76"/>
        <v>41.889999999998345</v>
      </c>
      <c r="C1191">
        <f t="shared" si="74"/>
        <v>5.8138035627297861E-4</v>
      </c>
      <c r="D1191">
        <f t="shared" si="77"/>
        <v>5.8138035627297861E-4</v>
      </c>
      <c r="E1191" s="3">
        <f t="shared" si="75"/>
        <v>55113.629292687532</v>
      </c>
    </row>
    <row r="1192" spans="1:5" x14ac:dyDescent="0.3">
      <c r="A1192">
        <f t="shared" si="76"/>
        <v>11.899999999999791</v>
      </c>
      <c r="B1192">
        <f t="shared" si="76"/>
        <v>41.899999999998343</v>
      </c>
      <c r="C1192">
        <f t="shared" si="74"/>
        <v>5.8180303432249188E-4</v>
      </c>
      <c r="D1192">
        <f t="shared" si="77"/>
        <v>5.8180303432249188E-4</v>
      </c>
      <c r="E1192" s="3">
        <f t="shared" si="75"/>
        <v>55160.413783862678</v>
      </c>
    </row>
    <row r="1193" spans="1:5" x14ac:dyDescent="0.3">
      <c r="A1193">
        <f t="shared" si="76"/>
        <v>11.909999999999791</v>
      </c>
      <c r="B1193">
        <f t="shared" si="76"/>
        <v>41.909999999998341</v>
      </c>
      <c r="C1193">
        <f t="shared" si="74"/>
        <v>5.8222620674512322E-4</v>
      </c>
      <c r="D1193">
        <f t="shared" si="77"/>
        <v>5.8222620674512322E-4</v>
      </c>
      <c r="E1193" s="3">
        <f t="shared" si="75"/>
        <v>55207.217071303043</v>
      </c>
    </row>
    <row r="1194" spans="1:5" x14ac:dyDescent="0.3">
      <c r="A1194">
        <f t="shared" si="76"/>
        <v>11.91999999999979</v>
      </c>
      <c r="B1194">
        <f t="shared" si="76"/>
        <v>41.919999999998339</v>
      </c>
      <c r="C1194">
        <f t="shared" si="74"/>
        <v>5.8264987411910227E-4</v>
      </c>
      <c r="D1194">
        <f t="shared" si="77"/>
        <v>5.8264987411910227E-4</v>
      </c>
      <c r="E1194" s="3">
        <f t="shared" si="75"/>
        <v>55254.039162810615</v>
      </c>
    </row>
    <row r="1195" spans="1:5" x14ac:dyDescent="0.3">
      <c r="A1195">
        <f t="shared" si="76"/>
        <v>11.92999999999979</v>
      </c>
      <c r="B1195">
        <f t="shared" si="76"/>
        <v>41.929999999998337</v>
      </c>
      <c r="C1195">
        <f t="shared" si="74"/>
        <v>5.8307403702333356E-4</v>
      </c>
      <c r="D1195">
        <f t="shared" si="77"/>
        <v>5.8307403702333356E-4</v>
      </c>
      <c r="E1195" s="3">
        <f t="shared" si="75"/>
        <v>55300.880066191246</v>
      </c>
    </row>
    <row r="1196" spans="1:5" x14ac:dyDescent="0.3">
      <c r="A1196">
        <f t="shared" si="76"/>
        <v>11.93999999999979</v>
      </c>
      <c r="B1196">
        <f t="shared" si="76"/>
        <v>41.939999999998335</v>
      </c>
      <c r="C1196">
        <f t="shared" si="74"/>
        <v>5.8349869603740025E-4</v>
      </c>
      <c r="D1196">
        <f t="shared" si="77"/>
        <v>5.8349869603740025E-4</v>
      </c>
      <c r="E1196" s="3">
        <f t="shared" si="75"/>
        <v>55347.739789254614</v>
      </c>
    </row>
    <row r="1197" spans="1:5" x14ac:dyDescent="0.3">
      <c r="A1197">
        <f t="shared" si="76"/>
        <v>11.94999999999979</v>
      </c>
      <c r="B1197">
        <f t="shared" si="76"/>
        <v>41.949999999998333</v>
      </c>
      <c r="C1197">
        <f t="shared" si="74"/>
        <v>5.8392385174156267E-4</v>
      </c>
      <c r="D1197">
        <f t="shared" si="77"/>
        <v>5.8392385174156267E-4</v>
      </c>
      <c r="E1197" s="3">
        <f t="shared" si="75"/>
        <v>55394.618339814224</v>
      </c>
    </row>
    <row r="1198" spans="1:5" x14ac:dyDescent="0.3">
      <c r="A1198">
        <f t="shared" si="76"/>
        <v>11.959999999999789</v>
      </c>
      <c r="B1198">
        <f t="shared" si="76"/>
        <v>41.959999999998331</v>
      </c>
      <c r="C1198">
        <f t="shared" si="74"/>
        <v>5.843495047167601E-4</v>
      </c>
      <c r="D1198">
        <f t="shared" si="77"/>
        <v>5.843495047167601E-4</v>
      </c>
      <c r="E1198" s="3">
        <f t="shared" si="75"/>
        <v>55441.515725687466</v>
      </c>
    </row>
    <row r="1199" spans="1:5" x14ac:dyDescent="0.3">
      <c r="A1199">
        <f t="shared" si="76"/>
        <v>11.969999999999789</v>
      </c>
      <c r="B1199">
        <f t="shared" si="76"/>
        <v>41.969999999998329</v>
      </c>
      <c r="C1199">
        <f t="shared" si="74"/>
        <v>5.8477565554461148E-4</v>
      </c>
      <c r="D1199">
        <f t="shared" si="77"/>
        <v>5.8477565554461148E-4</v>
      </c>
      <c r="E1199" s="3">
        <f t="shared" si="75"/>
        <v>55488.431954695574</v>
      </c>
    </row>
    <row r="1200" spans="1:5" x14ac:dyDescent="0.3">
      <c r="A1200">
        <f t="shared" si="76"/>
        <v>11.979999999999789</v>
      </c>
      <c r="B1200">
        <f t="shared" si="76"/>
        <v>41.979999999998327</v>
      </c>
      <c r="C1200">
        <f t="shared" si="74"/>
        <v>5.8520230480741493E-4</v>
      </c>
      <c r="D1200">
        <f t="shared" si="77"/>
        <v>5.8520230480741493E-4</v>
      </c>
      <c r="E1200" s="3">
        <f t="shared" si="75"/>
        <v>55535.367034663621</v>
      </c>
    </row>
    <row r="1201" spans="1:5" x14ac:dyDescent="0.3">
      <c r="A1201">
        <f t="shared" si="76"/>
        <v>11.989999999999789</v>
      </c>
      <c r="B1201">
        <f t="shared" si="76"/>
        <v>41.989999999998325</v>
      </c>
      <c r="C1201">
        <f t="shared" si="74"/>
        <v>5.8562945308815093E-4</v>
      </c>
      <c r="D1201">
        <f t="shared" si="77"/>
        <v>5.8562945308815093E-4</v>
      </c>
      <c r="E1201" s="3">
        <f t="shared" si="75"/>
        <v>55582.320973420552</v>
      </c>
    </row>
    <row r="1202" spans="1:5" x14ac:dyDescent="0.3">
      <c r="A1202">
        <f t="shared" si="76"/>
        <v>11.999999999999789</v>
      </c>
      <c r="B1202">
        <f t="shared" si="76"/>
        <v>41.999999999998323</v>
      </c>
      <c r="C1202">
        <f t="shared" si="74"/>
        <v>5.8605710097048118E-4</v>
      </c>
      <c r="D1202">
        <f t="shared" si="77"/>
        <v>5.8605710097048118E-4</v>
      </c>
      <c r="E1202" s="3">
        <f t="shared" si="75"/>
        <v>55629.293778799161</v>
      </c>
    </row>
    <row r="1203" spans="1:5" x14ac:dyDescent="0.3">
      <c r="A1203">
        <f t="shared" si="76"/>
        <v>12.009999999999788</v>
      </c>
      <c r="B1203">
        <f t="shared" si="76"/>
        <v>42.009999999998321</v>
      </c>
      <c r="C1203">
        <f t="shared" si="74"/>
        <v>5.8648524903875043E-4</v>
      </c>
      <c r="D1203">
        <f t="shared" si="77"/>
        <v>5.8648524903875043E-4</v>
      </c>
      <c r="E1203" s="3">
        <f t="shared" si="75"/>
        <v>55676.285458636114</v>
      </c>
    </row>
    <row r="1204" spans="1:5" x14ac:dyDescent="0.3">
      <c r="A1204">
        <f t="shared" si="76"/>
        <v>12.019999999999788</v>
      </c>
      <c r="B1204">
        <f t="shared" si="76"/>
        <v>42.019999999998319</v>
      </c>
      <c r="C1204">
        <f t="shared" si="74"/>
        <v>5.8691389787798669E-4</v>
      </c>
      <c r="D1204">
        <f t="shared" si="77"/>
        <v>5.8691389787798669E-4</v>
      </c>
      <c r="E1204" s="3">
        <f t="shared" si="75"/>
        <v>55723.296020771952</v>
      </c>
    </row>
    <row r="1205" spans="1:5" x14ac:dyDescent="0.3">
      <c r="A1205">
        <f t="shared" si="76"/>
        <v>12.029999999999788</v>
      </c>
      <c r="B1205">
        <f t="shared" si="76"/>
        <v>42.029999999998317</v>
      </c>
      <c r="C1205">
        <f t="shared" si="74"/>
        <v>5.8734304807390178E-4</v>
      </c>
      <c r="D1205">
        <f t="shared" si="77"/>
        <v>5.8734304807390178E-4</v>
      </c>
      <c r="E1205" s="3">
        <f t="shared" si="75"/>
        <v>55770.325473051082</v>
      </c>
    </row>
    <row r="1206" spans="1:5" x14ac:dyDescent="0.3">
      <c r="A1206">
        <f t="shared" si="76"/>
        <v>12.039999999999788</v>
      </c>
      <c r="B1206">
        <f t="shared" si="76"/>
        <v>42.039999999998315</v>
      </c>
      <c r="C1206">
        <f t="shared" si="74"/>
        <v>5.8777270021289306E-4</v>
      </c>
      <c r="D1206">
        <f t="shared" si="77"/>
        <v>5.8777270021289306E-4</v>
      </c>
      <c r="E1206" s="3">
        <f t="shared" si="75"/>
        <v>55817.373823321774</v>
      </c>
    </row>
    <row r="1207" spans="1:5" x14ac:dyDescent="0.3">
      <c r="A1207">
        <f t="shared" si="76"/>
        <v>12.049999999999788</v>
      </c>
      <c r="B1207">
        <f t="shared" si="76"/>
        <v>42.049999999998313</v>
      </c>
      <c r="C1207">
        <f t="shared" si="74"/>
        <v>5.8820285488204397E-4</v>
      </c>
      <c r="D1207">
        <f t="shared" si="77"/>
        <v>5.8820285488204397E-4</v>
      </c>
      <c r="E1207" s="3">
        <f t="shared" si="75"/>
        <v>55864.441079436197</v>
      </c>
    </row>
    <row r="1208" spans="1:5" x14ac:dyDescent="0.3">
      <c r="A1208">
        <f t="shared" si="76"/>
        <v>12.059999999999787</v>
      </c>
      <c r="B1208">
        <f t="shared" si="76"/>
        <v>42.059999999998311</v>
      </c>
      <c r="C1208">
        <f t="shared" si="74"/>
        <v>5.8863351266912414E-4</v>
      </c>
      <c r="D1208">
        <f t="shared" si="77"/>
        <v>5.8863351266912414E-4</v>
      </c>
      <c r="E1208" s="3">
        <f t="shared" si="75"/>
        <v>55911.527249250386</v>
      </c>
    </row>
    <row r="1209" spans="1:5" x14ac:dyDescent="0.3">
      <c r="A1209">
        <f t="shared" si="76"/>
        <v>12.069999999999787</v>
      </c>
      <c r="B1209">
        <f t="shared" si="76"/>
        <v>42.069999999998309</v>
      </c>
      <c r="C1209">
        <f t="shared" si="74"/>
        <v>5.8906467416259135E-4</v>
      </c>
      <c r="D1209">
        <f t="shared" si="77"/>
        <v>5.8906467416259135E-4</v>
      </c>
      <c r="E1209" s="3">
        <f t="shared" si="75"/>
        <v>55958.632340624245</v>
      </c>
    </row>
    <row r="1210" spans="1:5" x14ac:dyDescent="0.3">
      <c r="A1210">
        <f t="shared" si="76"/>
        <v>12.079999999999787</v>
      </c>
      <c r="B1210">
        <f t="shared" si="76"/>
        <v>42.079999999998307</v>
      </c>
      <c r="C1210">
        <f t="shared" si="74"/>
        <v>5.8949633995159022E-4</v>
      </c>
      <c r="D1210">
        <f t="shared" si="77"/>
        <v>5.8949633995159022E-4</v>
      </c>
      <c r="E1210" s="3">
        <f t="shared" si="75"/>
        <v>56005.756361421598</v>
      </c>
    </row>
    <row r="1211" spans="1:5" x14ac:dyDescent="0.3">
      <c r="A1211">
        <f t="shared" si="76"/>
        <v>12.089999999999787</v>
      </c>
      <c r="B1211">
        <f t="shared" si="76"/>
        <v>42.089999999998305</v>
      </c>
      <c r="C1211">
        <f t="shared" si="74"/>
        <v>5.89928510625956E-4</v>
      </c>
      <c r="D1211">
        <f t="shared" si="77"/>
        <v>5.89928510625956E-4</v>
      </c>
      <c r="E1211" s="3">
        <f t="shared" si="75"/>
        <v>56052.899319510114</v>
      </c>
    </row>
    <row r="1212" spans="1:5" x14ac:dyDescent="0.3">
      <c r="A1212">
        <f t="shared" si="76"/>
        <v>12.099999999999786</v>
      </c>
      <c r="B1212">
        <f t="shared" si="76"/>
        <v>42.099999999998303</v>
      </c>
      <c r="C1212">
        <f t="shared" si="74"/>
        <v>5.9036118677621317E-4</v>
      </c>
      <c r="D1212">
        <f t="shared" si="77"/>
        <v>5.9036118677621317E-4</v>
      </c>
      <c r="E1212" s="3">
        <f t="shared" si="75"/>
        <v>56100.061222761404</v>
      </c>
    </row>
    <row r="1213" spans="1:5" x14ac:dyDescent="0.3">
      <c r="A1213">
        <f t="shared" si="76"/>
        <v>12.109999999999786</v>
      </c>
      <c r="B1213">
        <f t="shared" si="76"/>
        <v>42.109999999998301</v>
      </c>
      <c r="C1213">
        <f t="shared" si="74"/>
        <v>5.9079436899357686E-4</v>
      </c>
      <c r="D1213">
        <f t="shared" si="77"/>
        <v>5.9079436899357686E-4</v>
      </c>
      <c r="E1213" s="3">
        <f t="shared" si="75"/>
        <v>56147.24207905095</v>
      </c>
    </row>
    <row r="1214" spans="1:5" x14ac:dyDescent="0.3">
      <c r="A1214">
        <f t="shared" si="76"/>
        <v>12.119999999999786</v>
      </c>
      <c r="B1214">
        <f t="shared" si="76"/>
        <v>42.119999999998299</v>
      </c>
      <c r="C1214">
        <f t="shared" si="74"/>
        <v>5.9122805786995412E-4</v>
      </c>
      <c r="D1214">
        <f t="shared" si="77"/>
        <v>5.9122805786995412E-4</v>
      </c>
      <c r="E1214" s="3">
        <f t="shared" si="75"/>
        <v>56194.441896258126</v>
      </c>
    </row>
    <row r="1215" spans="1:5" x14ac:dyDescent="0.3">
      <c r="A1215">
        <f t="shared" si="76"/>
        <v>12.129999999999786</v>
      </c>
      <c r="B1215">
        <f t="shared" si="76"/>
        <v>42.129999999998297</v>
      </c>
      <c r="C1215">
        <f t="shared" si="74"/>
        <v>5.916622539979433E-4</v>
      </c>
      <c r="D1215">
        <f t="shared" si="77"/>
        <v>5.916622539979433E-4</v>
      </c>
      <c r="E1215" s="3">
        <f t="shared" si="75"/>
        <v>56241.660682266207</v>
      </c>
    </row>
    <row r="1216" spans="1:5" x14ac:dyDescent="0.3">
      <c r="A1216">
        <f t="shared" si="76"/>
        <v>12.139999999999786</v>
      </c>
      <c r="B1216">
        <f t="shared" si="76"/>
        <v>42.139999999998295</v>
      </c>
      <c r="C1216">
        <f t="shared" si="74"/>
        <v>5.9209695797083695E-4</v>
      </c>
      <c r="D1216">
        <f t="shared" si="77"/>
        <v>5.9209695797083695E-4</v>
      </c>
      <c r="E1216" s="3">
        <f t="shared" si="75"/>
        <v>56288.898444962389</v>
      </c>
    </row>
    <row r="1217" spans="1:5" x14ac:dyDescent="0.3">
      <c r="A1217">
        <f t="shared" si="76"/>
        <v>12.149999999999785</v>
      </c>
      <c r="B1217">
        <f t="shared" si="76"/>
        <v>42.149999999998293</v>
      </c>
      <c r="C1217">
        <f t="shared" si="74"/>
        <v>5.9253217038262099E-4</v>
      </c>
      <c r="D1217">
        <f t="shared" si="77"/>
        <v>5.9253217038262099E-4</v>
      </c>
      <c r="E1217" s="3">
        <f t="shared" si="75"/>
        <v>56336.155192237777</v>
      </c>
    </row>
    <row r="1218" spans="1:5" x14ac:dyDescent="0.3">
      <c r="A1218">
        <f t="shared" si="76"/>
        <v>12.159999999999785</v>
      </c>
      <c r="B1218">
        <f t="shared" si="76"/>
        <v>42.159999999998291</v>
      </c>
      <c r="C1218">
        <f t="shared" si="74"/>
        <v>5.9296789182797629E-4</v>
      </c>
      <c r="D1218">
        <f t="shared" si="77"/>
        <v>5.9296789182797629E-4</v>
      </c>
      <c r="E1218" s="3">
        <f t="shared" si="75"/>
        <v>56383.43093198735</v>
      </c>
    </row>
    <row r="1219" spans="1:5" x14ac:dyDescent="0.3">
      <c r="A1219">
        <f t="shared" si="76"/>
        <v>12.169999999999785</v>
      </c>
      <c r="B1219">
        <f t="shared" si="76"/>
        <v>42.169999999998289</v>
      </c>
      <c r="C1219">
        <f t="shared" ref="C1219:C1282" si="78">$N$2 + $N$3*$N$4^(B1219)</f>
        <v>5.9340412290227957E-4</v>
      </c>
      <c r="D1219">
        <f t="shared" si="77"/>
        <v>5.9340412290227957E-4</v>
      </c>
      <c r="E1219" s="3">
        <f t="shared" ref="E1219:E1282" si="79">IF(ROUND(A1219, 2)=$N$10,$N$6,(E1220-$N$5*($N$7-$N$8-($N$6+$N$9)*D1219))/(1+$N$5*$N$11+$N$5*D1219))</f>
        <v>56430.725672110057</v>
      </c>
    </row>
    <row r="1220" spans="1:5" x14ac:dyDescent="0.3">
      <c r="A1220">
        <f t="shared" ref="A1220:B1283" si="80">A1219+$N$5</f>
        <v>12.179999999999785</v>
      </c>
      <c r="B1220">
        <f t="shared" si="80"/>
        <v>42.179999999998287</v>
      </c>
      <c r="C1220">
        <f t="shared" si="78"/>
        <v>5.9384086420160285E-4</v>
      </c>
      <c r="D1220">
        <f t="shared" si="77"/>
        <v>5.9384086420160285E-4</v>
      </c>
      <c r="E1220" s="3">
        <f t="shared" si="79"/>
        <v>56478.039420508714</v>
      </c>
    </row>
    <row r="1221" spans="1:5" x14ac:dyDescent="0.3">
      <c r="A1221">
        <f t="shared" si="80"/>
        <v>12.189999999999785</v>
      </c>
      <c r="B1221">
        <f t="shared" si="80"/>
        <v>42.189999999998285</v>
      </c>
      <c r="C1221">
        <f t="shared" si="78"/>
        <v>5.9427811632271628E-4</v>
      </c>
      <c r="D1221">
        <f t="shared" si="77"/>
        <v>5.9427811632271628E-4</v>
      </c>
      <c r="E1221" s="3">
        <f t="shared" si="79"/>
        <v>56525.372185090084</v>
      </c>
    </row>
    <row r="1222" spans="1:5" x14ac:dyDescent="0.3">
      <c r="A1222">
        <f t="shared" si="80"/>
        <v>12.199999999999784</v>
      </c>
      <c r="B1222">
        <f t="shared" si="80"/>
        <v>42.199999999998283</v>
      </c>
      <c r="C1222">
        <f t="shared" si="78"/>
        <v>5.9471587986308788E-4</v>
      </c>
      <c r="D1222">
        <f t="shared" si="77"/>
        <v>5.9471587986308788E-4</v>
      </c>
      <c r="E1222" s="3">
        <f t="shared" si="79"/>
        <v>56572.723973764856</v>
      </c>
    </row>
    <row r="1223" spans="1:5" x14ac:dyDescent="0.3">
      <c r="A1223">
        <f t="shared" si="80"/>
        <v>12.209999999999784</v>
      </c>
      <c r="B1223">
        <f t="shared" si="80"/>
        <v>42.209999999998281</v>
      </c>
      <c r="C1223">
        <f t="shared" si="78"/>
        <v>5.9515415542088425E-4</v>
      </c>
      <c r="D1223">
        <f t="shared" si="77"/>
        <v>5.9515415542088425E-4</v>
      </c>
      <c r="E1223" s="3">
        <f t="shared" si="79"/>
        <v>56620.094794447628</v>
      </c>
    </row>
    <row r="1224" spans="1:5" x14ac:dyDescent="0.3">
      <c r="A1224">
        <f t="shared" si="80"/>
        <v>12.219999999999784</v>
      </c>
      <c r="B1224">
        <f t="shared" si="80"/>
        <v>42.219999999998279</v>
      </c>
      <c r="C1224">
        <f t="shared" si="78"/>
        <v>5.9559294359497205E-4</v>
      </c>
      <c r="D1224">
        <f t="shared" si="77"/>
        <v>5.9559294359497205E-4</v>
      </c>
      <c r="E1224" s="3">
        <f t="shared" si="79"/>
        <v>56667.484655056956</v>
      </c>
    </row>
    <row r="1225" spans="1:5" x14ac:dyDescent="0.3">
      <c r="A1225">
        <f t="shared" si="80"/>
        <v>12.229999999999784</v>
      </c>
      <c r="B1225">
        <f t="shared" si="80"/>
        <v>42.229999999998277</v>
      </c>
      <c r="C1225">
        <f t="shared" si="78"/>
        <v>5.9603224498491747E-4</v>
      </c>
      <c r="D1225">
        <f t="shared" si="77"/>
        <v>5.9603224498491747E-4</v>
      </c>
      <c r="E1225" s="3">
        <f t="shared" si="79"/>
        <v>56714.893563515296</v>
      </c>
    </row>
    <row r="1226" spans="1:5" x14ac:dyDescent="0.3">
      <c r="A1226">
        <f t="shared" si="80"/>
        <v>12.239999999999783</v>
      </c>
      <c r="B1226">
        <f t="shared" si="80"/>
        <v>42.239999999998275</v>
      </c>
      <c r="C1226">
        <f t="shared" si="78"/>
        <v>5.9647206019098882E-4</v>
      </c>
      <c r="D1226">
        <f t="shared" si="77"/>
        <v>5.9647206019098882E-4</v>
      </c>
      <c r="E1226" s="3">
        <f t="shared" si="79"/>
        <v>56762.32152774906</v>
      </c>
    </row>
    <row r="1227" spans="1:5" x14ac:dyDescent="0.3">
      <c r="A1227">
        <f t="shared" si="80"/>
        <v>12.249999999999783</v>
      </c>
      <c r="B1227">
        <f t="shared" si="80"/>
        <v>42.249999999998273</v>
      </c>
      <c r="C1227">
        <f t="shared" si="78"/>
        <v>5.9691238981415611E-4</v>
      </c>
      <c r="D1227">
        <f t="shared" si="77"/>
        <v>5.9691238981415611E-4</v>
      </c>
      <c r="E1227" s="3">
        <f t="shared" si="79"/>
        <v>56809.768555688592</v>
      </c>
    </row>
    <row r="1228" spans="1:5" x14ac:dyDescent="0.3">
      <c r="A1228">
        <f t="shared" si="80"/>
        <v>12.259999999999783</v>
      </c>
      <c r="B1228">
        <f t="shared" si="80"/>
        <v>42.259999999998271</v>
      </c>
      <c r="C1228">
        <f t="shared" si="78"/>
        <v>5.9735323445609268E-4</v>
      </c>
      <c r="D1228">
        <f t="shared" si="77"/>
        <v>5.9735323445609268E-4</v>
      </c>
      <c r="E1228" s="3">
        <f t="shared" si="79"/>
        <v>56857.234655268177</v>
      </c>
    </row>
    <row r="1229" spans="1:5" x14ac:dyDescent="0.3">
      <c r="A1229">
        <f t="shared" si="80"/>
        <v>12.269999999999783</v>
      </c>
      <c r="B1229">
        <f t="shared" si="80"/>
        <v>42.269999999998269</v>
      </c>
      <c r="C1229">
        <f t="shared" si="78"/>
        <v>5.977945947191754E-4</v>
      </c>
      <c r="D1229">
        <f t="shared" si="77"/>
        <v>5.977945947191754E-4</v>
      </c>
      <c r="E1229" s="3">
        <f t="shared" si="79"/>
        <v>56904.719834426061</v>
      </c>
    </row>
    <row r="1230" spans="1:5" x14ac:dyDescent="0.3">
      <c r="A1230">
        <f t="shared" si="80"/>
        <v>12.279999999999783</v>
      </c>
      <c r="B1230">
        <f t="shared" si="80"/>
        <v>42.279999999998267</v>
      </c>
      <c r="C1230">
        <f t="shared" si="78"/>
        <v>5.9823647120648489E-4</v>
      </c>
      <c r="D1230">
        <f t="shared" si="77"/>
        <v>5.9823647120648489E-4</v>
      </c>
      <c r="E1230" s="3">
        <f t="shared" si="79"/>
        <v>56952.224101104424</v>
      </c>
    </row>
    <row r="1231" spans="1:5" x14ac:dyDescent="0.3">
      <c r="A1231">
        <f t="shared" si="80"/>
        <v>12.289999999999782</v>
      </c>
      <c r="B1231">
        <f t="shared" si="80"/>
        <v>42.289999999998265</v>
      </c>
      <c r="C1231">
        <f t="shared" si="78"/>
        <v>5.9867886452180837E-4</v>
      </c>
      <c r="D1231">
        <f t="shared" si="77"/>
        <v>5.9867886452180837E-4</v>
      </c>
      <c r="E1231" s="3">
        <f t="shared" si="79"/>
        <v>56999.747463249398</v>
      </c>
    </row>
    <row r="1232" spans="1:5" x14ac:dyDescent="0.3">
      <c r="A1232">
        <f t="shared" si="80"/>
        <v>12.299999999999782</v>
      </c>
      <c r="B1232">
        <f t="shared" si="80"/>
        <v>42.299999999998263</v>
      </c>
      <c r="C1232">
        <f t="shared" si="78"/>
        <v>5.991217752696384E-4</v>
      </c>
      <c r="D1232">
        <f t="shared" si="77"/>
        <v>5.991217752696384E-4</v>
      </c>
      <c r="E1232" s="3">
        <f t="shared" si="79"/>
        <v>57047.289928811064</v>
      </c>
    </row>
    <row r="1233" spans="1:5" x14ac:dyDescent="0.3">
      <c r="A1233">
        <f t="shared" si="80"/>
        <v>12.309999999999782</v>
      </c>
      <c r="B1233">
        <f t="shared" si="80"/>
        <v>42.309999999998261</v>
      </c>
      <c r="C1233">
        <f t="shared" si="78"/>
        <v>5.9956520405517535E-4</v>
      </c>
      <c r="D1233">
        <f t="shared" si="77"/>
        <v>5.9956520405517535E-4</v>
      </c>
      <c r="E1233" s="3">
        <f t="shared" si="79"/>
        <v>57094.851505743492</v>
      </c>
    </row>
    <row r="1234" spans="1:5" x14ac:dyDescent="0.3">
      <c r="A1234">
        <f t="shared" si="80"/>
        <v>12.319999999999782</v>
      </c>
      <c r="B1234">
        <f t="shared" si="80"/>
        <v>42.319999999998259</v>
      </c>
      <c r="C1234">
        <f t="shared" si="78"/>
        <v>6.0000915148432691E-4</v>
      </c>
      <c r="D1234">
        <f t="shared" si="77"/>
        <v>6.0000915148432691E-4</v>
      </c>
      <c r="E1234" s="3">
        <f t="shared" si="79"/>
        <v>57142.432202004667</v>
      </c>
    </row>
    <row r="1235" spans="1:5" x14ac:dyDescent="0.3">
      <c r="A1235">
        <f t="shared" si="80"/>
        <v>12.329999999999782</v>
      </c>
      <c r="B1235">
        <f t="shared" si="80"/>
        <v>42.329999999998257</v>
      </c>
      <c r="C1235">
        <f t="shared" si="78"/>
        <v>6.0045361816370906E-4</v>
      </c>
      <c r="D1235">
        <f t="shared" si="77"/>
        <v>6.0045361816370906E-4</v>
      </c>
      <c r="E1235" s="3">
        <f t="shared" si="79"/>
        <v>57190.032025556568</v>
      </c>
    </row>
    <row r="1236" spans="1:5" x14ac:dyDescent="0.3">
      <c r="A1236">
        <f t="shared" si="80"/>
        <v>12.339999999999781</v>
      </c>
      <c r="B1236">
        <f t="shared" si="80"/>
        <v>42.339999999998255</v>
      </c>
      <c r="C1236">
        <f t="shared" si="78"/>
        <v>6.0089860470064816E-4</v>
      </c>
      <c r="D1236">
        <f t="shared" si="77"/>
        <v>6.0089860470064816E-4</v>
      </c>
      <c r="E1236" s="3">
        <f t="shared" si="79"/>
        <v>57237.650984365151</v>
      </c>
    </row>
    <row r="1237" spans="1:5" x14ac:dyDescent="0.3">
      <c r="A1237">
        <f t="shared" si="80"/>
        <v>12.349999999999781</v>
      </c>
      <c r="B1237">
        <f t="shared" si="80"/>
        <v>42.349999999998253</v>
      </c>
      <c r="C1237">
        <f t="shared" si="78"/>
        <v>6.0134411170318031E-4</v>
      </c>
      <c r="D1237">
        <f t="shared" si="77"/>
        <v>6.0134411170318031E-4</v>
      </c>
      <c r="E1237" s="3">
        <f t="shared" si="79"/>
        <v>57285.28908640032</v>
      </c>
    </row>
    <row r="1238" spans="1:5" x14ac:dyDescent="0.3">
      <c r="A1238">
        <f t="shared" si="80"/>
        <v>12.359999999999781</v>
      </c>
      <c r="B1238">
        <f t="shared" si="80"/>
        <v>42.359999999998251</v>
      </c>
      <c r="C1238">
        <f t="shared" si="78"/>
        <v>6.0179013978005325E-4</v>
      </c>
      <c r="D1238">
        <f t="shared" si="77"/>
        <v>6.0179013978005325E-4</v>
      </c>
      <c r="E1238" s="3">
        <f t="shared" si="79"/>
        <v>57332.946339635972</v>
      </c>
    </row>
    <row r="1239" spans="1:5" x14ac:dyDescent="0.3">
      <c r="A1239">
        <f t="shared" si="80"/>
        <v>12.369999999999781</v>
      </c>
      <c r="B1239">
        <f t="shared" si="80"/>
        <v>42.36999999999825</v>
      </c>
      <c r="C1239">
        <f t="shared" si="78"/>
        <v>6.0223668954072673E-4</v>
      </c>
      <c r="D1239">
        <f t="shared" ref="D1239:D1302" si="81">IF(A1239&lt;=2, (0.9)^(2-A1239)*C1239, C1239)</f>
        <v>6.0223668954072673E-4</v>
      </c>
      <c r="E1239" s="3">
        <f t="shared" si="79"/>
        <v>57380.622752049967</v>
      </c>
    </row>
    <row r="1240" spans="1:5" x14ac:dyDescent="0.3">
      <c r="A1240">
        <f t="shared" si="80"/>
        <v>12.379999999999781</v>
      </c>
      <c r="B1240">
        <f t="shared" si="80"/>
        <v>42.379999999998248</v>
      </c>
      <c r="C1240">
        <f t="shared" si="78"/>
        <v>6.0268376159537218E-4</v>
      </c>
      <c r="D1240">
        <f t="shared" si="81"/>
        <v>6.0268376159537218E-4</v>
      </c>
      <c r="E1240" s="3">
        <f t="shared" si="79"/>
        <v>57428.318331624141</v>
      </c>
    </row>
    <row r="1241" spans="1:5" x14ac:dyDescent="0.3">
      <c r="A1241">
        <f t="shared" si="80"/>
        <v>12.38999999999978</v>
      </c>
      <c r="B1241">
        <f t="shared" si="80"/>
        <v>42.389999999998246</v>
      </c>
      <c r="C1241">
        <f t="shared" si="78"/>
        <v>6.0313135655487625E-4</v>
      </c>
      <c r="D1241">
        <f t="shared" si="81"/>
        <v>6.0313135655487625E-4</v>
      </c>
      <c r="E1241" s="3">
        <f t="shared" si="79"/>
        <v>57476.033086344331</v>
      </c>
    </row>
    <row r="1242" spans="1:5" x14ac:dyDescent="0.3">
      <c r="A1242">
        <f t="shared" si="80"/>
        <v>12.39999999999978</v>
      </c>
      <c r="B1242">
        <f t="shared" si="80"/>
        <v>42.399999999998244</v>
      </c>
      <c r="C1242">
        <f t="shared" si="78"/>
        <v>6.0357947503083913E-4</v>
      </c>
      <c r="D1242">
        <f t="shared" si="81"/>
        <v>6.0357947503083913E-4</v>
      </c>
      <c r="E1242" s="3">
        <f t="shared" si="79"/>
        <v>57523.767024200351</v>
      </c>
    </row>
    <row r="1243" spans="1:5" x14ac:dyDescent="0.3">
      <c r="A1243">
        <f t="shared" si="80"/>
        <v>12.40999999999978</v>
      </c>
      <c r="B1243">
        <f t="shared" si="80"/>
        <v>42.409999999998242</v>
      </c>
      <c r="C1243">
        <f t="shared" si="78"/>
        <v>6.040281176355769E-4</v>
      </c>
      <c r="D1243">
        <f t="shared" si="81"/>
        <v>6.040281176355769E-4</v>
      </c>
      <c r="E1243" s="3">
        <f t="shared" si="79"/>
        <v>57571.520153186022</v>
      </c>
    </row>
    <row r="1244" spans="1:5" x14ac:dyDescent="0.3">
      <c r="A1244">
        <f t="shared" si="80"/>
        <v>12.41999999999978</v>
      </c>
      <c r="B1244">
        <f t="shared" si="80"/>
        <v>42.41999999999824</v>
      </c>
      <c r="C1244">
        <f t="shared" si="78"/>
        <v>6.0447728498212185E-4</v>
      </c>
      <c r="D1244">
        <f t="shared" si="81"/>
        <v>6.0447728498212185E-4</v>
      </c>
      <c r="E1244" s="3">
        <f t="shared" si="79"/>
        <v>57619.292481299133</v>
      </c>
    </row>
    <row r="1245" spans="1:5" x14ac:dyDescent="0.3">
      <c r="A1245">
        <f t="shared" si="80"/>
        <v>12.429999999999779</v>
      </c>
      <c r="B1245">
        <f t="shared" si="80"/>
        <v>42.429999999998238</v>
      </c>
      <c r="C1245">
        <f t="shared" si="78"/>
        <v>6.0492697768422231E-4</v>
      </c>
      <c r="D1245">
        <f t="shared" si="81"/>
        <v>6.0492697768422231E-4</v>
      </c>
      <c r="E1245" s="3">
        <f t="shared" si="79"/>
        <v>57667.084016541485</v>
      </c>
    </row>
    <row r="1246" spans="1:5" x14ac:dyDescent="0.3">
      <c r="A1246">
        <f t="shared" si="80"/>
        <v>12.439999999999779</v>
      </c>
      <c r="B1246">
        <f t="shared" si="80"/>
        <v>42.439999999998236</v>
      </c>
      <c r="C1246">
        <f t="shared" si="78"/>
        <v>6.053771963563455E-4</v>
      </c>
      <c r="D1246">
        <f t="shared" si="81"/>
        <v>6.053771963563455E-4</v>
      </c>
      <c r="E1246" s="3">
        <f t="shared" si="79"/>
        <v>57714.894766918878</v>
      </c>
    </row>
    <row r="1247" spans="1:5" x14ac:dyDescent="0.3">
      <c r="A1247">
        <f t="shared" si="80"/>
        <v>12.449999999999779</v>
      </c>
      <c r="B1247">
        <f t="shared" si="80"/>
        <v>42.449999999998234</v>
      </c>
      <c r="C1247">
        <f t="shared" si="78"/>
        <v>6.0582794161367698E-4</v>
      </c>
      <c r="D1247">
        <f t="shared" si="81"/>
        <v>6.0582794161367698E-4</v>
      </c>
      <c r="E1247" s="3">
        <f t="shared" si="79"/>
        <v>57762.724740441103</v>
      </c>
    </row>
    <row r="1248" spans="1:5" x14ac:dyDescent="0.3">
      <c r="A1248">
        <f t="shared" si="80"/>
        <v>12.459999999999779</v>
      </c>
      <c r="B1248">
        <f t="shared" si="80"/>
        <v>42.459999999998232</v>
      </c>
      <c r="C1248">
        <f t="shared" si="78"/>
        <v>6.0627921407212194E-4</v>
      </c>
      <c r="D1248">
        <f t="shared" si="81"/>
        <v>6.0627921407212194E-4</v>
      </c>
      <c r="E1248" s="3">
        <f t="shared" si="79"/>
        <v>57810.573945121978</v>
      </c>
    </row>
    <row r="1249" spans="1:5" x14ac:dyDescent="0.3">
      <c r="A1249">
        <f t="shared" si="80"/>
        <v>12.469999999999779</v>
      </c>
      <c r="B1249">
        <f t="shared" si="80"/>
        <v>42.46999999999823</v>
      </c>
      <c r="C1249">
        <f t="shared" si="78"/>
        <v>6.0673101434830607E-4</v>
      </c>
      <c r="D1249">
        <f t="shared" si="81"/>
        <v>6.0673101434830607E-4</v>
      </c>
      <c r="E1249" s="3">
        <f t="shared" si="79"/>
        <v>57858.442388979318</v>
      </c>
    </row>
    <row r="1250" spans="1:5" x14ac:dyDescent="0.3">
      <c r="A1250">
        <f t="shared" si="80"/>
        <v>12.479999999999778</v>
      </c>
      <c r="B1250">
        <f t="shared" si="80"/>
        <v>42.479999999998228</v>
      </c>
      <c r="C1250">
        <f t="shared" si="78"/>
        <v>6.071833430595755E-4</v>
      </c>
      <c r="D1250">
        <f t="shared" si="81"/>
        <v>6.071833430595755E-4</v>
      </c>
      <c r="E1250" s="3">
        <f t="shared" si="79"/>
        <v>57906.330080034946</v>
      </c>
    </row>
    <row r="1251" spans="1:5" x14ac:dyDescent="0.3">
      <c r="A1251">
        <f t="shared" si="80"/>
        <v>12.489999999999778</v>
      </c>
      <c r="B1251">
        <f t="shared" si="80"/>
        <v>42.489999999998226</v>
      </c>
      <c r="C1251">
        <f t="shared" si="78"/>
        <v>6.076362008239993E-4</v>
      </c>
      <c r="D1251">
        <f t="shared" si="81"/>
        <v>6.076362008239993E-4</v>
      </c>
      <c r="E1251" s="3">
        <f t="shared" si="79"/>
        <v>57954.23702631471</v>
      </c>
    </row>
    <row r="1252" spans="1:5" x14ac:dyDescent="0.3">
      <c r="A1252">
        <f t="shared" si="80"/>
        <v>12.499999999999778</v>
      </c>
      <c r="B1252">
        <f t="shared" si="80"/>
        <v>42.499999999998224</v>
      </c>
      <c r="C1252">
        <f t="shared" si="78"/>
        <v>6.0808958826036915E-4</v>
      </c>
      <c r="D1252">
        <f t="shared" si="81"/>
        <v>6.0808958826036915E-4</v>
      </c>
      <c r="E1252" s="3">
        <f t="shared" si="79"/>
        <v>58002.163235848493</v>
      </c>
    </row>
    <row r="1253" spans="1:5" x14ac:dyDescent="0.3">
      <c r="A1253">
        <f t="shared" si="80"/>
        <v>12.509999999999778</v>
      </c>
      <c r="B1253">
        <f t="shared" si="80"/>
        <v>42.509999999998222</v>
      </c>
      <c r="C1253">
        <f t="shared" si="78"/>
        <v>6.0854350598820047E-4</v>
      </c>
      <c r="D1253">
        <f t="shared" si="81"/>
        <v>6.0854350598820047E-4</v>
      </c>
      <c r="E1253" s="3">
        <f t="shared" si="79"/>
        <v>58050.108716670169</v>
      </c>
    </row>
    <row r="1254" spans="1:5" x14ac:dyDescent="0.3">
      <c r="A1254">
        <f t="shared" si="80"/>
        <v>12.519999999999778</v>
      </c>
      <c r="B1254">
        <f t="shared" si="80"/>
        <v>42.51999999999822</v>
      </c>
      <c r="C1254">
        <f t="shared" si="78"/>
        <v>6.0899795462773375E-4</v>
      </c>
      <c r="D1254">
        <f t="shared" si="81"/>
        <v>6.0899795462773375E-4</v>
      </c>
      <c r="E1254" s="3">
        <f t="shared" si="79"/>
        <v>58098.073476817663</v>
      </c>
    </row>
    <row r="1255" spans="1:5" x14ac:dyDescent="0.3">
      <c r="A1255">
        <f t="shared" si="80"/>
        <v>12.529999999999777</v>
      </c>
      <c r="B1255">
        <f t="shared" si="80"/>
        <v>42.529999999998218</v>
      </c>
      <c r="C1255">
        <f t="shared" si="78"/>
        <v>6.0945293479993355E-4</v>
      </c>
      <c r="D1255">
        <f t="shared" si="81"/>
        <v>6.0945293479993355E-4</v>
      </c>
      <c r="E1255" s="3">
        <f t="shared" si="79"/>
        <v>58146.057524332908</v>
      </c>
    </row>
    <row r="1256" spans="1:5" x14ac:dyDescent="0.3">
      <c r="A1256">
        <f t="shared" si="80"/>
        <v>12.539999999999777</v>
      </c>
      <c r="B1256">
        <f t="shared" si="80"/>
        <v>42.539999999998216</v>
      </c>
      <c r="C1256">
        <f t="shared" si="78"/>
        <v>6.0990844712649212E-4</v>
      </c>
      <c r="D1256">
        <f t="shared" si="81"/>
        <v>6.0990844712649212E-4</v>
      </c>
      <c r="E1256" s="3">
        <f t="shared" si="79"/>
        <v>58194.060867261898</v>
      </c>
    </row>
    <row r="1257" spans="1:5" x14ac:dyDescent="0.3">
      <c r="A1257">
        <f t="shared" si="80"/>
        <v>12.549999999999777</v>
      </c>
      <c r="B1257">
        <f t="shared" si="80"/>
        <v>42.549999999998214</v>
      </c>
      <c r="C1257">
        <f t="shared" si="78"/>
        <v>6.1036449222982825E-4</v>
      </c>
      <c r="D1257">
        <f t="shared" si="81"/>
        <v>6.1036449222982825E-4</v>
      </c>
      <c r="E1257" s="3">
        <f t="shared" si="79"/>
        <v>58242.08351365463</v>
      </c>
    </row>
    <row r="1258" spans="1:5" x14ac:dyDescent="0.3">
      <c r="A1258">
        <f t="shared" si="80"/>
        <v>12.559999999999777</v>
      </c>
      <c r="B1258">
        <f t="shared" si="80"/>
        <v>42.559999999998212</v>
      </c>
      <c r="C1258">
        <f t="shared" si="78"/>
        <v>6.1082107073308909E-4</v>
      </c>
      <c r="D1258">
        <f t="shared" si="81"/>
        <v>6.1082107073308909E-4</v>
      </c>
      <c r="E1258" s="3">
        <f t="shared" si="79"/>
        <v>58290.125471565159</v>
      </c>
    </row>
    <row r="1259" spans="1:5" x14ac:dyDescent="0.3">
      <c r="A1259">
        <f t="shared" si="80"/>
        <v>12.569999999999776</v>
      </c>
      <c r="B1259">
        <f t="shared" si="80"/>
        <v>42.56999999999821</v>
      </c>
      <c r="C1259">
        <f t="shared" si="78"/>
        <v>6.1127818326015037E-4</v>
      </c>
      <c r="D1259">
        <f t="shared" si="81"/>
        <v>6.1127818326015037E-4</v>
      </c>
      <c r="E1259" s="3">
        <f t="shared" si="79"/>
        <v>58338.18674905158</v>
      </c>
    </row>
    <row r="1260" spans="1:5" x14ac:dyDescent="0.3">
      <c r="A1260">
        <f t="shared" si="80"/>
        <v>12.579999999999776</v>
      </c>
      <c r="B1260">
        <f t="shared" si="80"/>
        <v>42.579999999998208</v>
      </c>
      <c r="C1260">
        <f t="shared" si="78"/>
        <v>6.1173583043561727E-4</v>
      </c>
      <c r="D1260">
        <f t="shared" si="81"/>
        <v>6.1173583043561727E-4</v>
      </c>
      <c r="E1260" s="3">
        <f t="shared" si="79"/>
        <v>58386.267354176045</v>
      </c>
    </row>
    <row r="1261" spans="1:5" x14ac:dyDescent="0.3">
      <c r="A1261">
        <f t="shared" si="80"/>
        <v>12.589999999999776</v>
      </c>
      <c r="B1261">
        <f t="shared" si="80"/>
        <v>42.589999999998206</v>
      </c>
      <c r="C1261">
        <f t="shared" si="78"/>
        <v>6.1219401288482573E-4</v>
      </c>
      <c r="D1261">
        <f t="shared" si="81"/>
        <v>6.1219401288482573E-4</v>
      </c>
      <c r="E1261" s="3">
        <f t="shared" si="79"/>
        <v>58434.36729500474</v>
      </c>
    </row>
    <row r="1262" spans="1:5" x14ac:dyDescent="0.3">
      <c r="A1262">
        <f t="shared" si="80"/>
        <v>12.599999999999776</v>
      </c>
      <c r="B1262">
        <f t="shared" si="80"/>
        <v>42.599999999998204</v>
      </c>
      <c r="C1262">
        <f t="shared" si="78"/>
        <v>6.1265273123384343E-4</v>
      </c>
      <c r="D1262">
        <f t="shared" si="81"/>
        <v>6.1265273123384343E-4</v>
      </c>
      <c r="E1262" s="3">
        <f t="shared" si="79"/>
        <v>58482.486579607896</v>
      </c>
    </row>
    <row r="1263" spans="1:5" x14ac:dyDescent="0.3">
      <c r="A1263">
        <f t="shared" si="80"/>
        <v>12.609999999999776</v>
      </c>
      <c r="B1263">
        <f t="shared" si="80"/>
        <v>42.609999999998202</v>
      </c>
      <c r="C1263">
        <f t="shared" si="78"/>
        <v>6.1311198610946986E-4</v>
      </c>
      <c r="D1263">
        <f t="shared" si="81"/>
        <v>6.1311198610946986E-4</v>
      </c>
      <c r="E1263" s="3">
        <f t="shared" si="79"/>
        <v>58530.625216059823</v>
      </c>
    </row>
    <row r="1264" spans="1:5" x14ac:dyDescent="0.3">
      <c r="A1264">
        <f t="shared" si="80"/>
        <v>12.619999999999775</v>
      </c>
      <c r="B1264">
        <f t="shared" si="80"/>
        <v>42.6199999999982</v>
      </c>
      <c r="C1264">
        <f t="shared" si="78"/>
        <v>6.135717781392383E-4</v>
      </c>
      <c r="D1264">
        <f t="shared" si="81"/>
        <v>6.135717781392383E-4</v>
      </c>
      <c r="E1264" s="3">
        <f t="shared" si="79"/>
        <v>58578.783212438881</v>
      </c>
    </row>
    <row r="1265" spans="1:5" x14ac:dyDescent="0.3">
      <c r="A1265">
        <f t="shared" si="80"/>
        <v>12.629999999999775</v>
      </c>
      <c r="B1265">
        <f t="shared" si="80"/>
        <v>42.629999999998198</v>
      </c>
      <c r="C1265">
        <f t="shared" si="78"/>
        <v>6.1403210795141466E-4</v>
      </c>
      <c r="D1265">
        <f t="shared" si="81"/>
        <v>6.1403210795141466E-4</v>
      </c>
      <c r="E1265" s="3">
        <f t="shared" si="79"/>
        <v>58626.960576827485</v>
      </c>
    </row>
    <row r="1266" spans="1:5" x14ac:dyDescent="0.3">
      <c r="A1266">
        <f t="shared" si="80"/>
        <v>12.639999999999775</v>
      </c>
      <c r="B1266">
        <f t="shared" si="80"/>
        <v>42.639999999998196</v>
      </c>
      <c r="C1266">
        <f t="shared" si="78"/>
        <v>6.1449297617500098E-4</v>
      </c>
      <c r="D1266">
        <f t="shared" si="81"/>
        <v>6.1449297617500098E-4</v>
      </c>
      <c r="E1266" s="3">
        <f t="shared" si="79"/>
        <v>58675.157317312121</v>
      </c>
    </row>
    <row r="1267" spans="1:5" x14ac:dyDescent="0.3">
      <c r="A1267">
        <f t="shared" si="80"/>
        <v>12.649999999999775</v>
      </c>
      <c r="B1267">
        <f t="shared" si="80"/>
        <v>42.649999999998194</v>
      </c>
      <c r="C1267">
        <f t="shared" si="78"/>
        <v>6.1495438343973452E-4</v>
      </c>
      <c r="D1267">
        <f t="shared" si="81"/>
        <v>6.1495438343973452E-4</v>
      </c>
      <c r="E1267" s="3">
        <f t="shared" si="79"/>
        <v>58723.373441983342</v>
      </c>
    </row>
    <row r="1268" spans="1:5" x14ac:dyDescent="0.3">
      <c r="A1268">
        <f t="shared" si="80"/>
        <v>12.659999999999775</v>
      </c>
      <c r="B1268">
        <f t="shared" si="80"/>
        <v>42.659999999998192</v>
      </c>
      <c r="C1268">
        <f t="shared" si="78"/>
        <v>6.1541633037608915E-4</v>
      </c>
      <c r="D1268">
        <f t="shared" si="81"/>
        <v>6.1541633037608915E-4</v>
      </c>
      <c r="E1268" s="3">
        <f t="shared" si="79"/>
        <v>58771.60895893578</v>
      </c>
    </row>
    <row r="1269" spans="1:5" x14ac:dyDescent="0.3">
      <c r="A1269">
        <f t="shared" si="80"/>
        <v>12.669999999999774</v>
      </c>
      <c r="B1269">
        <f t="shared" si="80"/>
        <v>42.66999999999819</v>
      </c>
      <c r="C1269">
        <f t="shared" si="78"/>
        <v>6.1587881761527641E-4</v>
      </c>
      <c r="D1269">
        <f t="shared" si="81"/>
        <v>6.1587881761527641E-4</v>
      </c>
      <c r="E1269" s="3">
        <f t="shared" si="79"/>
        <v>58819.863876268144</v>
      </c>
    </row>
    <row r="1270" spans="1:5" x14ac:dyDescent="0.3">
      <c r="A1270">
        <f t="shared" si="80"/>
        <v>12.679999999999774</v>
      </c>
      <c r="B1270">
        <f t="shared" si="80"/>
        <v>42.679999999998188</v>
      </c>
      <c r="C1270">
        <f t="shared" si="78"/>
        <v>6.1634184578924513E-4</v>
      </c>
      <c r="D1270">
        <f t="shared" si="81"/>
        <v>6.1634184578924513E-4</v>
      </c>
      <c r="E1270" s="3">
        <f t="shared" si="79"/>
        <v>58868.138202083195</v>
      </c>
    </row>
    <row r="1271" spans="1:5" x14ac:dyDescent="0.3">
      <c r="A1271">
        <f t="shared" si="80"/>
        <v>12.689999999999774</v>
      </c>
      <c r="B1271">
        <f t="shared" si="80"/>
        <v>42.689999999998186</v>
      </c>
      <c r="C1271">
        <f t="shared" si="78"/>
        <v>6.1680541553068441E-4</v>
      </c>
      <c r="D1271">
        <f t="shared" si="81"/>
        <v>6.1680541553068441E-4</v>
      </c>
      <c r="E1271" s="3">
        <f t="shared" si="79"/>
        <v>58916.431944487813</v>
      </c>
    </row>
    <row r="1272" spans="1:5" x14ac:dyDescent="0.3">
      <c r="A1272">
        <f t="shared" si="80"/>
        <v>12.699999999999774</v>
      </c>
      <c r="B1272">
        <f t="shared" si="80"/>
        <v>42.699999999998184</v>
      </c>
      <c r="C1272">
        <f t="shared" si="78"/>
        <v>6.1726952747302288E-4</v>
      </c>
      <c r="D1272">
        <f t="shared" si="81"/>
        <v>6.1726952747302288E-4</v>
      </c>
      <c r="E1272" s="3">
        <f t="shared" si="79"/>
        <v>58964.745111592943</v>
      </c>
    </row>
    <row r="1273" spans="1:5" x14ac:dyDescent="0.3">
      <c r="A1273">
        <f t="shared" si="80"/>
        <v>12.709999999999773</v>
      </c>
      <c r="B1273">
        <f t="shared" si="80"/>
        <v>42.709999999998182</v>
      </c>
      <c r="C1273">
        <f t="shared" si="78"/>
        <v>6.1773418225043013E-4</v>
      </c>
      <c r="D1273">
        <f t="shared" si="81"/>
        <v>6.1773418225043013E-4</v>
      </c>
      <c r="E1273" s="3">
        <f t="shared" si="79"/>
        <v>59013.07771151363</v>
      </c>
    </row>
    <row r="1274" spans="1:5" x14ac:dyDescent="0.3">
      <c r="A1274">
        <f t="shared" si="80"/>
        <v>12.719999999999773</v>
      </c>
      <c r="B1274">
        <f t="shared" si="80"/>
        <v>42.71999999999818</v>
      </c>
      <c r="C1274">
        <f t="shared" si="78"/>
        <v>6.1819938049781776E-4</v>
      </c>
      <c r="D1274">
        <f t="shared" si="81"/>
        <v>6.1819938049781776E-4</v>
      </c>
      <c r="E1274" s="3">
        <f t="shared" si="79"/>
        <v>59061.429752369004</v>
      </c>
    </row>
    <row r="1275" spans="1:5" x14ac:dyDescent="0.3">
      <c r="A1275">
        <f t="shared" si="80"/>
        <v>12.729999999999773</v>
      </c>
      <c r="B1275">
        <f t="shared" si="80"/>
        <v>42.729999999998178</v>
      </c>
      <c r="C1275">
        <f t="shared" si="78"/>
        <v>6.18665122850839E-4</v>
      </c>
      <c r="D1275">
        <f t="shared" si="81"/>
        <v>6.18665122850839E-4</v>
      </c>
      <c r="E1275" s="3">
        <f t="shared" si="79"/>
        <v>59109.801242282294</v>
      </c>
    </row>
    <row r="1276" spans="1:5" x14ac:dyDescent="0.3">
      <c r="A1276">
        <f t="shared" si="80"/>
        <v>12.739999999999773</v>
      </c>
      <c r="B1276">
        <f t="shared" si="80"/>
        <v>42.739999999998176</v>
      </c>
      <c r="C1276">
        <f t="shared" si="78"/>
        <v>6.1913140994589145E-4</v>
      </c>
      <c r="D1276">
        <f t="shared" si="81"/>
        <v>6.1913140994589145E-4</v>
      </c>
      <c r="E1276" s="3">
        <f t="shared" si="79"/>
        <v>59158.192189380825</v>
      </c>
    </row>
    <row r="1277" spans="1:5" x14ac:dyDescent="0.3">
      <c r="A1277">
        <f t="shared" si="80"/>
        <v>12.749999999999773</v>
      </c>
      <c r="B1277">
        <f t="shared" si="80"/>
        <v>42.749999999998174</v>
      </c>
      <c r="C1277">
        <f t="shared" si="78"/>
        <v>6.1959824242011703E-4</v>
      </c>
      <c r="D1277">
        <f t="shared" si="81"/>
        <v>6.1959824242011703E-4</v>
      </c>
      <c r="E1277" s="3">
        <f t="shared" si="79"/>
        <v>59206.602601796025</v>
      </c>
    </row>
    <row r="1278" spans="1:5" x14ac:dyDescent="0.3">
      <c r="A1278">
        <f t="shared" si="80"/>
        <v>12.759999999999772</v>
      </c>
      <c r="B1278">
        <f t="shared" si="80"/>
        <v>42.759999999998172</v>
      </c>
      <c r="C1278">
        <f t="shared" si="78"/>
        <v>6.2006562091140253E-4</v>
      </c>
      <c r="D1278">
        <f t="shared" si="81"/>
        <v>6.2006562091140253E-4</v>
      </c>
      <c r="E1278" s="3">
        <f t="shared" si="79"/>
        <v>59255.03248766344</v>
      </c>
    </row>
    <row r="1279" spans="1:5" x14ac:dyDescent="0.3">
      <c r="A1279">
        <f t="shared" si="80"/>
        <v>12.769999999999772</v>
      </c>
      <c r="B1279">
        <f t="shared" si="80"/>
        <v>42.76999999999817</v>
      </c>
      <c r="C1279">
        <f t="shared" si="78"/>
        <v>6.2053354605838139E-4</v>
      </c>
      <c r="D1279">
        <f t="shared" si="81"/>
        <v>6.2053354605838139E-4</v>
      </c>
      <c r="E1279" s="3">
        <f t="shared" si="79"/>
        <v>59303.481855122707</v>
      </c>
    </row>
    <row r="1280" spans="1:5" x14ac:dyDescent="0.3">
      <c r="A1280">
        <f t="shared" si="80"/>
        <v>12.779999999999772</v>
      </c>
      <c r="B1280">
        <f t="shared" si="80"/>
        <v>42.779999999998168</v>
      </c>
      <c r="C1280">
        <f t="shared" si="78"/>
        <v>6.2100201850043269E-4</v>
      </c>
      <c r="D1280">
        <f t="shared" si="81"/>
        <v>6.2100201850043269E-4</v>
      </c>
      <c r="E1280" s="3">
        <f t="shared" si="79"/>
        <v>59351.950712317586</v>
      </c>
    </row>
    <row r="1281" spans="1:5" x14ac:dyDescent="0.3">
      <c r="A1281">
        <f t="shared" si="80"/>
        <v>12.789999999999772</v>
      </c>
      <c r="B1281">
        <f t="shared" si="80"/>
        <v>42.789999999998166</v>
      </c>
      <c r="C1281">
        <f t="shared" si="78"/>
        <v>6.2147103887768488E-4</v>
      </c>
      <c r="D1281">
        <f t="shared" si="81"/>
        <v>6.2147103887768488E-4</v>
      </c>
      <c r="E1281" s="3">
        <f t="shared" si="79"/>
        <v>59400.43906739595</v>
      </c>
    </row>
    <row r="1282" spans="1:5" x14ac:dyDescent="0.3">
      <c r="A1282">
        <f t="shared" si="80"/>
        <v>12.799999999999772</v>
      </c>
      <c r="B1282">
        <f t="shared" si="80"/>
        <v>42.799999999998164</v>
      </c>
      <c r="C1282">
        <f t="shared" si="78"/>
        <v>6.2194060783101422E-4</v>
      </c>
      <c r="D1282">
        <f t="shared" si="81"/>
        <v>6.2194060783101422E-4</v>
      </c>
      <c r="E1282" s="3">
        <f t="shared" si="79"/>
        <v>59448.946928509795</v>
      </c>
    </row>
    <row r="1283" spans="1:5" x14ac:dyDescent="0.3">
      <c r="A1283">
        <f t="shared" si="80"/>
        <v>12.809999999999771</v>
      </c>
      <c r="B1283">
        <f t="shared" si="80"/>
        <v>42.809999999998162</v>
      </c>
      <c r="C1283">
        <f t="shared" ref="C1283:C1346" si="82">$N$2 + $N$3*$N$4^(B1283)</f>
        <v>6.22410726002047E-4</v>
      </c>
      <c r="D1283">
        <f t="shared" si="81"/>
        <v>6.22410726002047E-4</v>
      </c>
      <c r="E1283" s="3">
        <f t="shared" ref="E1283:E1346" si="83">IF(ROUND(A1283, 2)=$N$10,$N$6,(E1284-$N$5*($N$7-$N$8-($N$6+$N$9)*D1283))/(1+$N$5*$N$11+$N$5*D1283))</f>
        <v>59497.474303815245</v>
      </c>
    </row>
    <row r="1284" spans="1:5" x14ac:dyDescent="0.3">
      <c r="A1284">
        <f t="shared" ref="A1284:B1347" si="84">A1283+$N$5</f>
        <v>12.819999999999771</v>
      </c>
      <c r="B1284">
        <f t="shared" si="84"/>
        <v>42.81999999999816</v>
      </c>
      <c r="C1284">
        <f t="shared" si="82"/>
        <v>6.2288139403315988E-4</v>
      </c>
      <c r="D1284">
        <f t="shared" si="81"/>
        <v>6.2288139403315988E-4</v>
      </c>
      <c r="E1284" s="3">
        <f t="shared" si="83"/>
        <v>59546.02120147254</v>
      </c>
    </row>
    <row r="1285" spans="1:5" x14ac:dyDescent="0.3">
      <c r="A1285">
        <f t="shared" si="84"/>
        <v>12.829999999999771</v>
      </c>
      <c r="B1285">
        <f t="shared" si="84"/>
        <v>42.829999999998158</v>
      </c>
      <c r="C1285">
        <f t="shared" si="82"/>
        <v>6.2335261256748033E-4</v>
      </c>
      <c r="D1285">
        <f t="shared" si="81"/>
        <v>6.2335261256748033E-4</v>
      </c>
      <c r="E1285" s="3">
        <f t="shared" si="83"/>
        <v>59594.587629646048</v>
      </c>
    </row>
    <row r="1286" spans="1:5" x14ac:dyDescent="0.3">
      <c r="A1286">
        <f t="shared" si="84"/>
        <v>12.839999999999771</v>
      </c>
      <c r="B1286">
        <f t="shared" si="84"/>
        <v>42.839999999998156</v>
      </c>
      <c r="C1286">
        <f t="shared" si="82"/>
        <v>6.2382438224888861E-4</v>
      </c>
      <c r="D1286">
        <f t="shared" si="81"/>
        <v>6.2382438224888861E-4</v>
      </c>
      <c r="E1286" s="3">
        <f t="shared" si="83"/>
        <v>59643.173596504283</v>
      </c>
    </row>
    <row r="1287" spans="1:5" x14ac:dyDescent="0.3">
      <c r="A1287">
        <f t="shared" si="84"/>
        <v>12.84999999999977</v>
      </c>
      <c r="B1287">
        <f t="shared" si="84"/>
        <v>42.849999999998154</v>
      </c>
      <c r="C1287">
        <f t="shared" si="82"/>
        <v>6.2429670372201804E-4</v>
      </c>
      <c r="D1287">
        <f t="shared" si="81"/>
        <v>6.2429670372201804E-4</v>
      </c>
      <c r="E1287" s="3">
        <f t="shared" si="83"/>
        <v>59691.779110219868</v>
      </c>
    </row>
    <row r="1288" spans="1:5" x14ac:dyDescent="0.3">
      <c r="A1288">
        <f t="shared" si="84"/>
        <v>12.85999999999977</v>
      </c>
      <c r="B1288">
        <f t="shared" si="84"/>
        <v>42.859999999998152</v>
      </c>
      <c r="C1288">
        <f t="shared" si="82"/>
        <v>6.2476957763225567E-4</v>
      </c>
      <c r="D1288">
        <f t="shared" si="81"/>
        <v>6.2476957763225567E-4</v>
      </c>
      <c r="E1288" s="3">
        <f t="shared" si="83"/>
        <v>59740.404178969613</v>
      </c>
    </row>
    <row r="1289" spans="1:5" x14ac:dyDescent="0.3">
      <c r="A1289">
        <f t="shared" si="84"/>
        <v>12.86999999999977</v>
      </c>
      <c r="B1289">
        <f t="shared" si="84"/>
        <v>42.86999999999815</v>
      </c>
      <c r="C1289">
        <f t="shared" si="82"/>
        <v>6.2524300462574395E-4</v>
      </c>
      <c r="D1289">
        <f t="shared" si="81"/>
        <v>6.2524300462574395E-4</v>
      </c>
      <c r="E1289" s="3">
        <f t="shared" si="83"/>
        <v>59789.04881093443</v>
      </c>
    </row>
    <row r="1290" spans="1:5" x14ac:dyDescent="0.3">
      <c r="A1290">
        <f t="shared" si="84"/>
        <v>12.87999999999977</v>
      </c>
      <c r="B1290">
        <f t="shared" si="84"/>
        <v>42.879999999998148</v>
      </c>
      <c r="C1290">
        <f t="shared" si="82"/>
        <v>6.2571698534938012E-4</v>
      </c>
      <c r="D1290">
        <f t="shared" si="81"/>
        <v>6.2571698534938012E-4</v>
      </c>
      <c r="E1290" s="3">
        <f t="shared" si="83"/>
        <v>59837.713014299392</v>
      </c>
    </row>
    <row r="1291" spans="1:5" x14ac:dyDescent="0.3">
      <c r="A1291">
        <f t="shared" si="84"/>
        <v>12.88999999999977</v>
      </c>
      <c r="B1291">
        <f t="shared" si="84"/>
        <v>42.889999999998146</v>
      </c>
      <c r="C1291">
        <f t="shared" si="82"/>
        <v>6.2619152045081863E-4</v>
      </c>
      <c r="D1291">
        <f t="shared" si="81"/>
        <v>6.2619152045081863E-4</v>
      </c>
      <c r="E1291" s="3">
        <f t="shared" si="83"/>
        <v>59886.396797253743</v>
      </c>
    </row>
    <row r="1292" spans="1:5" x14ac:dyDescent="0.3">
      <c r="A1292">
        <f t="shared" si="84"/>
        <v>12.899999999999769</v>
      </c>
      <c r="B1292">
        <f t="shared" si="84"/>
        <v>42.899999999998144</v>
      </c>
      <c r="C1292">
        <f t="shared" si="82"/>
        <v>6.2666661057847147E-4</v>
      </c>
      <c r="D1292">
        <f t="shared" si="81"/>
        <v>6.2666661057847147E-4</v>
      </c>
      <c r="E1292" s="3">
        <f t="shared" si="83"/>
        <v>59935.100167990844</v>
      </c>
    </row>
    <row r="1293" spans="1:5" x14ac:dyDescent="0.3">
      <c r="A1293">
        <f t="shared" si="84"/>
        <v>12.909999999999769</v>
      </c>
      <c r="B1293">
        <f t="shared" si="84"/>
        <v>42.909999999998142</v>
      </c>
      <c r="C1293">
        <f t="shared" si="82"/>
        <v>6.2714225638150925E-4</v>
      </c>
      <c r="D1293">
        <f t="shared" si="81"/>
        <v>6.2714225638150925E-4</v>
      </c>
      <c r="E1293" s="3">
        <f t="shared" si="83"/>
        <v>59983.823134708226</v>
      </c>
    </row>
    <row r="1294" spans="1:5" x14ac:dyDescent="0.3">
      <c r="A1294">
        <f t="shared" si="84"/>
        <v>12.919999999999769</v>
      </c>
      <c r="B1294">
        <f t="shared" si="84"/>
        <v>42.91999999999814</v>
      </c>
      <c r="C1294">
        <f t="shared" si="82"/>
        <v>6.2761845850986151E-4</v>
      </c>
      <c r="D1294">
        <f t="shared" si="81"/>
        <v>6.2761845850986151E-4</v>
      </c>
      <c r="E1294" s="3">
        <f t="shared" si="83"/>
        <v>60032.565705607587</v>
      </c>
    </row>
    <row r="1295" spans="1:5" x14ac:dyDescent="0.3">
      <c r="A1295">
        <f t="shared" si="84"/>
        <v>12.929999999999769</v>
      </c>
      <c r="B1295">
        <f t="shared" si="84"/>
        <v>42.929999999998138</v>
      </c>
      <c r="C1295">
        <f t="shared" si="82"/>
        <v>6.2809521761421762E-4</v>
      </c>
      <c r="D1295">
        <f t="shared" si="81"/>
        <v>6.2809521761421762E-4</v>
      </c>
      <c r="E1295" s="3">
        <f t="shared" si="83"/>
        <v>60081.327888894812</v>
      </c>
    </row>
    <row r="1296" spans="1:5" x14ac:dyDescent="0.3">
      <c r="A1296">
        <f t="shared" si="84"/>
        <v>12.939999999999769</v>
      </c>
      <c r="B1296">
        <f t="shared" si="84"/>
        <v>42.939999999998136</v>
      </c>
      <c r="C1296">
        <f t="shared" si="82"/>
        <v>6.2857253434602846E-4</v>
      </c>
      <c r="D1296">
        <f t="shared" si="81"/>
        <v>6.2857253434602846E-4</v>
      </c>
      <c r="E1296" s="3">
        <f t="shared" si="83"/>
        <v>60130.109692779901</v>
      </c>
    </row>
    <row r="1297" spans="1:5" x14ac:dyDescent="0.3">
      <c r="A1297">
        <f t="shared" si="84"/>
        <v>12.949999999999768</v>
      </c>
      <c r="B1297">
        <f t="shared" si="84"/>
        <v>42.949999999998134</v>
      </c>
      <c r="C1297">
        <f t="shared" si="82"/>
        <v>6.2905040935750701E-4</v>
      </c>
      <c r="D1297">
        <f t="shared" si="81"/>
        <v>6.2905040935750701E-4</v>
      </c>
      <c r="E1297" s="3">
        <f t="shared" si="83"/>
        <v>60178.911125477069</v>
      </c>
    </row>
    <row r="1298" spans="1:5" x14ac:dyDescent="0.3">
      <c r="A1298">
        <f t="shared" si="84"/>
        <v>12.959999999999768</v>
      </c>
      <c r="B1298">
        <f t="shared" si="84"/>
        <v>42.959999999998132</v>
      </c>
      <c r="C1298">
        <f t="shared" si="82"/>
        <v>6.2952884330162891E-4</v>
      </c>
      <c r="D1298">
        <f t="shared" si="81"/>
        <v>6.2952884330162891E-4</v>
      </c>
      <c r="E1298" s="3">
        <f t="shared" si="83"/>
        <v>60227.732195204684</v>
      </c>
    </row>
    <row r="1299" spans="1:5" x14ac:dyDescent="0.3">
      <c r="A1299">
        <f t="shared" si="84"/>
        <v>12.969999999999768</v>
      </c>
      <c r="B1299">
        <f t="shared" si="84"/>
        <v>42.96999999999813</v>
      </c>
      <c r="C1299">
        <f t="shared" si="82"/>
        <v>6.3000783683213378E-4</v>
      </c>
      <c r="D1299">
        <f t="shared" si="81"/>
        <v>6.3000783683213378E-4</v>
      </c>
      <c r="E1299" s="3">
        <f t="shared" si="83"/>
        <v>60276.572910185292</v>
      </c>
    </row>
    <row r="1300" spans="1:5" x14ac:dyDescent="0.3">
      <c r="A1300">
        <f t="shared" si="84"/>
        <v>12.979999999999768</v>
      </c>
      <c r="B1300">
        <f t="shared" si="84"/>
        <v>42.979999999998128</v>
      </c>
      <c r="C1300">
        <f t="shared" si="82"/>
        <v>6.30487390603525E-4</v>
      </c>
      <c r="D1300">
        <f t="shared" si="81"/>
        <v>6.30487390603525E-4</v>
      </c>
      <c r="E1300" s="3">
        <f t="shared" si="83"/>
        <v>60325.433278645643</v>
      </c>
    </row>
    <row r="1301" spans="1:5" x14ac:dyDescent="0.3">
      <c r="A1301">
        <f t="shared" si="84"/>
        <v>12.989999999999768</v>
      </c>
      <c r="B1301">
        <f t="shared" si="84"/>
        <v>42.989999999998126</v>
      </c>
      <c r="C1301">
        <f t="shared" si="82"/>
        <v>6.3096750527107213E-4</v>
      </c>
      <c r="D1301">
        <f t="shared" si="81"/>
        <v>6.3096750527107213E-4</v>
      </c>
      <c r="E1301" s="3">
        <f t="shared" si="83"/>
        <v>60374.313308816643</v>
      </c>
    </row>
    <row r="1302" spans="1:5" x14ac:dyDescent="0.3">
      <c r="A1302">
        <f t="shared" si="84"/>
        <v>12.999999999999767</v>
      </c>
      <c r="B1302">
        <f t="shared" si="84"/>
        <v>42.999999999998124</v>
      </c>
      <c r="C1302">
        <f t="shared" si="82"/>
        <v>6.3144818149081137E-4</v>
      </c>
      <c r="D1302">
        <f t="shared" si="81"/>
        <v>6.3144818149081137E-4</v>
      </c>
      <c r="E1302" s="3">
        <f t="shared" si="83"/>
        <v>60423.213008933402</v>
      </c>
    </row>
    <row r="1303" spans="1:5" x14ac:dyDescent="0.3">
      <c r="A1303">
        <f t="shared" si="84"/>
        <v>13.009999999999767</v>
      </c>
      <c r="B1303">
        <f t="shared" si="84"/>
        <v>43.009999999998122</v>
      </c>
      <c r="C1303">
        <f t="shared" si="82"/>
        <v>6.3192941991954601E-4</v>
      </c>
      <c r="D1303">
        <f t="shared" ref="D1303:D1366" si="85">IF(A1303&lt;=2, (0.9)^(2-A1303)*C1303, C1303)</f>
        <v>6.3192941991954601E-4</v>
      </c>
      <c r="E1303" s="3">
        <f t="shared" si="83"/>
        <v>60472.13238723523</v>
      </c>
    </row>
    <row r="1304" spans="1:5" x14ac:dyDescent="0.3">
      <c r="A1304">
        <f t="shared" si="84"/>
        <v>13.019999999999767</v>
      </c>
      <c r="B1304">
        <f t="shared" si="84"/>
        <v>43.01999999999812</v>
      </c>
      <c r="C1304">
        <f t="shared" si="82"/>
        <v>6.3241122121484759E-4</v>
      </c>
      <c r="D1304">
        <f t="shared" si="85"/>
        <v>6.3241122121484759E-4</v>
      </c>
      <c r="E1304" s="3">
        <f t="shared" si="83"/>
        <v>60521.07145196561</v>
      </c>
    </row>
    <row r="1305" spans="1:5" x14ac:dyDescent="0.3">
      <c r="A1305">
        <f t="shared" si="84"/>
        <v>13.029999999999767</v>
      </c>
      <c r="B1305">
        <f t="shared" si="84"/>
        <v>43.029999999998118</v>
      </c>
      <c r="C1305">
        <f t="shared" si="82"/>
        <v>6.3289358603505603E-4</v>
      </c>
      <c r="D1305">
        <f t="shared" si="85"/>
        <v>6.3289358603505603E-4</v>
      </c>
      <c r="E1305" s="3">
        <f t="shared" si="83"/>
        <v>60570.030211372235</v>
      </c>
    </row>
    <row r="1306" spans="1:5" x14ac:dyDescent="0.3">
      <c r="A1306">
        <f t="shared" si="84"/>
        <v>13.039999999999766</v>
      </c>
      <c r="B1306">
        <f t="shared" si="84"/>
        <v>43.039999999998116</v>
      </c>
      <c r="C1306">
        <f t="shared" si="82"/>
        <v>6.3337651503928233E-4</v>
      </c>
      <c r="D1306">
        <f t="shared" si="85"/>
        <v>6.3337651503928233E-4</v>
      </c>
      <c r="E1306" s="3">
        <f t="shared" si="83"/>
        <v>60619.008673707009</v>
      </c>
    </row>
    <row r="1307" spans="1:5" x14ac:dyDescent="0.3">
      <c r="A1307">
        <f t="shared" si="84"/>
        <v>13.049999999999766</v>
      </c>
      <c r="B1307">
        <f t="shared" si="84"/>
        <v>43.049999999998114</v>
      </c>
      <c r="C1307">
        <f t="shared" si="82"/>
        <v>6.3386000888740782E-4</v>
      </c>
      <c r="D1307">
        <f t="shared" si="85"/>
        <v>6.3386000888740782E-4</v>
      </c>
      <c r="E1307" s="3">
        <f t="shared" si="83"/>
        <v>60668.006847226032</v>
      </c>
    </row>
    <row r="1308" spans="1:5" x14ac:dyDescent="0.3">
      <c r="A1308">
        <f t="shared" si="84"/>
        <v>13.059999999999766</v>
      </c>
      <c r="B1308">
        <f t="shared" si="84"/>
        <v>43.059999999998112</v>
      </c>
      <c r="C1308">
        <f t="shared" si="82"/>
        <v>6.3434406824008601E-4</v>
      </c>
      <c r="D1308">
        <f t="shared" si="85"/>
        <v>6.3434406824008601E-4</v>
      </c>
      <c r="E1308" s="3">
        <f t="shared" si="83"/>
        <v>60717.024740189627</v>
      </c>
    </row>
    <row r="1309" spans="1:5" x14ac:dyDescent="0.3">
      <c r="A1309">
        <f t="shared" si="84"/>
        <v>13.069999999999766</v>
      </c>
      <c r="B1309">
        <f t="shared" si="84"/>
        <v>43.06999999999811</v>
      </c>
      <c r="C1309">
        <f t="shared" si="82"/>
        <v>6.3482869375874309E-4</v>
      </c>
      <c r="D1309">
        <f t="shared" si="85"/>
        <v>6.3482869375874309E-4</v>
      </c>
      <c r="E1309" s="3">
        <f t="shared" si="83"/>
        <v>60766.062360862321</v>
      </c>
    </row>
    <row r="1310" spans="1:5" x14ac:dyDescent="0.3">
      <c r="A1310">
        <f t="shared" si="84"/>
        <v>13.079999999999766</v>
      </c>
      <c r="B1310">
        <f t="shared" si="84"/>
        <v>43.079999999998108</v>
      </c>
      <c r="C1310">
        <f t="shared" si="82"/>
        <v>6.3531388610557789E-4</v>
      </c>
      <c r="D1310">
        <f t="shared" si="85"/>
        <v>6.3531388610557789E-4</v>
      </c>
      <c r="E1310" s="3">
        <f t="shared" si="83"/>
        <v>60815.119717512847</v>
      </c>
    </row>
    <row r="1311" spans="1:5" x14ac:dyDescent="0.3">
      <c r="A1311">
        <f t="shared" si="84"/>
        <v>13.089999999999765</v>
      </c>
      <c r="B1311">
        <f t="shared" si="84"/>
        <v>43.089999999998106</v>
      </c>
      <c r="C1311">
        <f t="shared" si="82"/>
        <v>6.3579964594356496E-4</v>
      </c>
      <c r="D1311">
        <f t="shared" si="85"/>
        <v>6.3579964594356496E-4</v>
      </c>
      <c r="E1311" s="3">
        <f t="shared" si="83"/>
        <v>60864.196818414151</v>
      </c>
    </row>
    <row r="1312" spans="1:5" x14ac:dyDescent="0.3">
      <c r="A1312">
        <f t="shared" si="84"/>
        <v>13.099999999999765</v>
      </c>
      <c r="B1312">
        <f t="shared" si="84"/>
        <v>43.099999999998104</v>
      </c>
      <c r="C1312">
        <f t="shared" si="82"/>
        <v>6.3628597393645405E-4</v>
      </c>
      <c r="D1312">
        <f t="shared" si="85"/>
        <v>6.3628597393645405E-4</v>
      </c>
      <c r="E1312" s="3">
        <f t="shared" si="83"/>
        <v>60913.293671843458</v>
      </c>
    </row>
    <row r="1313" spans="1:5" x14ac:dyDescent="0.3">
      <c r="A1313">
        <f t="shared" si="84"/>
        <v>13.109999999999765</v>
      </c>
      <c r="B1313">
        <f t="shared" si="84"/>
        <v>43.109999999998102</v>
      </c>
      <c r="C1313">
        <f t="shared" si="82"/>
        <v>6.367728707487708E-4</v>
      </c>
      <c r="D1313">
        <f t="shared" si="85"/>
        <v>6.367728707487708E-4</v>
      </c>
      <c r="E1313" s="3">
        <f t="shared" si="83"/>
        <v>60962.410286082151</v>
      </c>
    </row>
    <row r="1314" spans="1:5" x14ac:dyDescent="0.3">
      <c r="A1314">
        <f t="shared" si="84"/>
        <v>13.119999999999765</v>
      </c>
      <c r="B1314">
        <f t="shared" si="84"/>
        <v>43.1199999999981</v>
      </c>
      <c r="C1314">
        <f t="shared" si="82"/>
        <v>6.3726033704581883E-4</v>
      </c>
      <c r="D1314">
        <f t="shared" si="85"/>
        <v>6.3726033704581883E-4</v>
      </c>
      <c r="E1314" s="3">
        <f t="shared" si="83"/>
        <v>61011.546669415889</v>
      </c>
    </row>
    <row r="1315" spans="1:5" x14ac:dyDescent="0.3">
      <c r="A1315">
        <f t="shared" si="84"/>
        <v>13.129999999999765</v>
      </c>
      <c r="B1315">
        <f t="shared" si="84"/>
        <v>43.129999999998098</v>
      </c>
      <c r="C1315">
        <f t="shared" si="82"/>
        <v>6.3774837349367863E-4</v>
      </c>
      <c r="D1315">
        <f t="shared" si="85"/>
        <v>6.3774837349367863E-4</v>
      </c>
      <c r="E1315" s="3">
        <f t="shared" si="83"/>
        <v>61060.702830134556</v>
      </c>
    </row>
    <row r="1316" spans="1:5" x14ac:dyDescent="0.3">
      <c r="A1316">
        <f t="shared" si="84"/>
        <v>13.139999999999764</v>
      </c>
      <c r="B1316">
        <f t="shared" si="84"/>
        <v>43.139999999998096</v>
      </c>
      <c r="C1316">
        <f t="shared" si="82"/>
        <v>6.3823698075921107E-4</v>
      </c>
      <c r="D1316">
        <f t="shared" si="85"/>
        <v>6.3823698075921107E-4</v>
      </c>
      <c r="E1316" s="3">
        <f t="shared" si="83"/>
        <v>61109.878776532256</v>
      </c>
    </row>
    <row r="1317" spans="1:5" x14ac:dyDescent="0.3">
      <c r="A1317">
        <f t="shared" si="84"/>
        <v>13.149999999999764</v>
      </c>
      <c r="B1317">
        <f t="shared" si="84"/>
        <v>43.149999999998094</v>
      </c>
      <c r="C1317">
        <f t="shared" si="82"/>
        <v>6.3872615951005636E-4</v>
      </c>
      <c r="D1317">
        <f t="shared" si="85"/>
        <v>6.3872615951005636E-4</v>
      </c>
      <c r="E1317" s="3">
        <f t="shared" si="83"/>
        <v>61159.074516907349</v>
      </c>
    </row>
    <row r="1318" spans="1:5" x14ac:dyDescent="0.3">
      <c r="A1318">
        <f t="shared" si="84"/>
        <v>13.159999999999764</v>
      </c>
      <c r="B1318">
        <f t="shared" si="84"/>
        <v>43.159999999998092</v>
      </c>
      <c r="C1318">
        <f t="shared" si="82"/>
        <v>6.3921591041463566E-4</v>
      </c>
      <c r="D1318">
        <f t="shared" si="85"/>
        <v>6.3921591041463566E-4</v>
      </c>
      <c r="E1318" s="3">
        <f t="shared" si="83"/>
        <v>61208.29005956246</v>
      </c>
    </row>
    <row r="1319" spans="1:5" x14ac:dyDescent="0.3">
      <c r="A1319">
        <f t="shared" si="84"/>
        <v>13.169999999999764</v>
      </c>
      <c r="B1319">
        <f t="shared" si="84"/>
        <v>43.16999999999809</v>
      </c>
      <c r="C1319">
        <f t="shared" si="82"/>
        <v>6.3970623414215258E-4</v>
      </c>
      <c r="D1319">
        <f t="shared" si="85"/>
        <v>6.3970623414215258E-4</v>
      </c>
      <c r="E1319" s="3">
        <f t="shared" si="83"/>
        <v>61257.525412804425</v>
      </c>
    </row>
    <row r="1320" spans="1:5" x14ac:dyDescent="0.3">
      <c r="A1320">
        <f t="shared" si="84"/>
        <v>13.179999999999763</v>
      </c>
      <c r="B1320">
        <f t="shared" si="84"/>
        <v>43.179999999998088</v>
      </c>
      <c r="C1320">
        <f t="shared" si="82"/>
        <v>6.4019713136259193E-4</v>
      </c>
      <c r="D1320">
        <f t="shared" si="85"/>
        <v>6.4019713136259193E-4</v>
      </c>
      <c r="E1320" s="3">
        <f t="shared" si="83"/>
        <v>61306.780584944347</v>
      </c>
    </row>
    <row r="1321" spans="1:5" x14ac:dyDescent="0.3">
      <c r="A1321">
        <f t="shared" si="84"/>
        <v>13.189999999999763</v>
      </c>
      <c r="B1321">
        <f t="shared" si="84"/>
        <v>43.189999999998086</v>
      </c>
      <c r="C1321">
        <f t="shared" si="82"/>
        <v>6.4068860274672334E-4</v>
      </c>
      <c r="D1321">
        <f t="shared" si="85"/>
        <v>6.4068860274672334E-4</v>
      </c>
      <c r="E1321" s="3">
        <f t="shared" si="83"/>
        <v>61356.055584297588</v>
      </c>
    </row>
    <row r="1322" spans="1:5" x14ac:dyDescent="0.3">
      <c r="A1322">
        <f t="shared" si="84"/>
        <v>13.199999999999763</v>
      </c>
      <c r="B1322">
        <f t="shared" si="84"/>
        <v>43.199999999998084</v>
      </c>
      <c r="C1322">
        <f t="shared" si="82"/>
        <v>6.4118064896610111E-4</v>
      </c>
      <c r="D1322">
        <f t="shared" si="85"/>
        <v>6.4118064896610111E-4</v>
      </c>
      <c r="E1322" s="3">
        <f t="shared" si="83"/>
        <v>61405.350419183786</v>
      </c>
    </row>
    <row r="1323" spans="1:5" x14ac:dyDescent="0.3">
      <c r="A1323">
        <f t="shared" si="84"/>
        <v>13.209999999999763</v>
      </c>
      <c r="B1323">
        <f t="shared" si="84"/>
        <v>43.209999999998082</v>
      </c>
      <c r="C1323">
        <f t="shared" si="82"/>
        <v>6.4167327069306415E-4</v>
      </c>
      <c r="D1323">
        <f t="shared" si="85"/>
        <v>6.4167327069306415E-4</v>
      </c>
      <c r="E1323" s="3">
        <f t="shared" si="83"/>
        <v>61454.665097926816</v>
      </c>
    </row>
    <row r="1324" spans="1:5" x14ac:dyDescent="0.3">
      <c r="A1324">
        <f t="shared" si="84"/>
        <v>13.219999999999763</v>
      </c>
      <c r="B1324">
        <f t="shared" si="84"/>
        <v>43.21999999999808</v>
      </c>
      <c r="C1324">
        <f t="shared" si="82"/>
        <v>6.4216646860073884E-4</v>
      </c>
      <c r="D1324">
        <f t="shared" si="85"/>
        <v>6.4216646860073884E-4</v>
      </c>
      <c r="E1324" s="3">
        <f t="shared" si="83"/>
        <v>61503.999628854821</v>
      </c>
    </row>
    <row r="1325" spans="1:5" x14ac:dyDescent="0.3">
      <c r="A1325">
        <f t="shared" si="84"/>
        <v>13.229999999999762</v>
      </c>
      <c r="B1325">
        <f t="shared" si="84"/>
        <v>43.229999999998078</v>
      </c>
      <c r="C1325">
        <f t="shared" si="82"/>
        <v>6.4266024336303749E-4</v>
      </c>
      <c r="D1325">
        <f t="shared" si="85"/>
        <v>6.4266024336303749E-4</v>
      </c>
      <c r="E1325" s="3">
        <f t="shared" si="83"/>
        <v>61553.354020300227</v>
      </c>
    </row>
    <row r="1326" spans="1:5" x14ac:dyDescent="0.3">
      <c r="A1326">
        <f t="shared" si="84"/>
        <v>13.239999999999762</v>
      </c>
      <c r="B1326">
        <f t="shared" si="84"/>
        <v>43.239999999998076</v>
      </c>
      <c r="C1326">
        <f t="shared" si="82"/>
        <v>6.4315459565466161E-4</v>
      </c>
      <c r="D1326">
        <f t="shared" si="85"/>
        <v>6.4315459565466161E-4</v>
      </c>
      <c r="E1326" s="3">
        <f t="shared" si="83"/>
        <v>61602.728280599724</v>
      </c>
    </row>
    <row r="1327" spans="1:5" x14ac:dyDescent="0.3">
      <c r="A1327">
        <f t="shared" si="84"/>
        <v>13.249999999999762</v>
      </c>
      <c r="B1327">
        <f t="shared" si="84"/>
        <v>43.249999999998074</v>
      </c>
      <c r="C1327">
        <f t="shared" si="82"/>
        <v>6.4364952615110179E-4</v>
      </c>
      <c r="D1327">
        <f t="shared" si="85"/>
        <v>6.4364952615110179E-4</v>
      </c>
      <c r="E1327" s="3">
        <f t="shared" si="83"/>
        <v>61652.122418094288</v>
      </c>
    </row>
    <row r="1328" spans="1:5" x14ac:dyDescent="0.3">
      <c r="A1328">
        <f t="shared" si="84"/>
        <v>13.259999999999762</v>
      </c>
      <c r="B1328">
        <f t="shared" si="84"/>
        <v>43.259999999998072</v>
      </c>
      <c r="C1328">
        <f t="shared" si="82"/>
        <v>6.4414503552863835E-4</v>
      </c>
      <c r="D1328">
        <f t="shared" si="85"/>
        <v>6.4414503552863835E-4</v>
      </c>
      <c r="E1328" s="3">
        <f t="shared" si="83"/>
        <v>61701.536441129174</v>
      </c>
    </row>
    <row r="1329" spans="1:5" x14ac:dyDescent="0.3">
      <c r="A1329">
        <f t="shared" si="84"/>
        <v>13.269999999999762</v>
      </c>
      <c r="B1329">
        <f t="shared" si="84"/>
        <v>43.26999999999807</v>
      </c>
      <c r="C1329">
        <f t="shared" si="82"/>
        <v>6.4464112446434296E-4</v>
      </c>
      <c r="D1329">
        <f t="shared" si="85"/>
        <v>6.4464112446434296E-4</v>
      </c>
      <c r="E1329" s="3">
        <f t="shared" si="83"/>
        <v>61750.970358053928</v>
      </c>
    </row>
    <row r="1330" spans="1:5" x14ac:dyDescent="0.3">
      <c r="A1330">
        <f t="shared" si="84"/>
        <v>13.279999999999761</v>
      </c>
      <c r="B1330">
        <f t="shared" si="84"/>
        <v>43.279999999998068</v>
      </c>
      <c r="C1330">
        <f t="shared" si="82"/>
        <v>6.4513779363607922E-4</v>
      </c>
      <c r="D1330">
        <f t="shared" si="85"/>
        <v>6.4513779363607922E-4</v>
      </c>
      <c r="E1330" s="3">
        <f t="shared" si="83"/>
        <v>61800.424177222369</v>
      </c>
    </row>
    <row r="1331" spans="1:5" x14ac:dyDescent="0.3">
      <c r="A1331">
        <f t="shared" si="84"/>
        <v>13.289999999999761</v>
      </c>
      <c r="B1331">
        <f t="shared" si="84"/>
        <v>43.289999999998066</v>
      </c>
      <c r="C1331">
        <f t="shared" si="82"/>
        <v>6.4563504372250281E-4</v>
      </c>
      <c r="D1331">
        <f t="shared" si="85"/>
        <v>6.4563504372250281E-4</v>
      </c>
      <c r="E1331" s="3">
        <f t="shared" si="83"/>
        <v>61849.897906992606</v>
      </c>
    </row>
    <row r="1332" spans="1:5" x14ac:dyDescent="0.3">
      <c r="A1332">
        <f t="shared" si="84"/>
        <v>13.299999999999761</v>
      </c>
      <c r="B1332">
        <f t="shared" si="84"/>
        <v>43.299999999998064</v>
      </c>
      <c r="C1332">
        <f t="shared" si="82"/>
        <v>6.4613287540306384E-4</v>
      </c>
      <c r="D1332">
        <f t="shared" si="85"/>
        <v>6.4613287540306384E-4</v>
      </c>
      <c r="E1332" s="3">
        <f t="shared" si="83"/>
        <v>61899.391555727067</v>
      </c>
    </row>
    <row r="1333" spans="1:5" x14ac:dyDescent="0.3">
      <c r="A1333">
        <f t="shared" si="84"/>
        <v>13.309999999999761</v>
      </c>
      <c r="B1333">
        <f t="shared" si="84"/>
        <v>43.309999999998062</v>
      </c>
      <c r="C1333">
        <f t="shared" si="82"/>
        <v>6.4663128935800722E-4</v>
      </c>
      <c r="D1333">
        <f t="shared" si="85"/>
        <v>6.4663128935800722E-4</v>
      </c>
      <c r="E1333" s="3">
        <f t="shared" si="83"/>
        <v>61948.905131792468</v>
      </c>
    </row>
    <row r="1334" spans="1:5" x14ac:dyDescent="0.3">
      <c r="A1334">
        <f t="shared" si="84"/>
        <v>13.31999999999976</v>
      </c>
      <c r="B1334">
        <f t="shared" si="84"/>
        <v>43.319999999998061</v>
      </c>
      <c r="C1334">
        <f t="shared" si="82"/>
        <v>6.4713028626837315E-4</v>
      </c>
      <c r="D1334">
        <f t="shared" si="85"/>
        <v>6.4713028626837315E-4</v>
      </c>
      <c r="E1334" s="3">
        <f t="shared" si="83"/>
        <v>61998.438643559821</v>
      </c>
    </row>
    <row r="1335" spans="1:5" x14ac:dyDescent="0.3">
      <c r="A1335">
        <f t="shared" si="84"/>
        <v>13.32999999999976</v>
      </c>
      <c r="B1335">
        <f t="shared" si="84"/>
        <v>43.329999999998059</v>
      </c>
      <c r="C1335">
        <f t="shared" si="82"/>
        <v>6.4762986681599912E-4</v>
      </c>
      <c r="D1335">
        <f t="shared" si="85"/>
        <v>6.4762986681599912E-4</v>
      </c>
      <c r="E1335" s="3">
        <f t="shared" si="83"/>
        <v>62047.992099404451</v>
      </c>
    </row>
    <row r="1336" spans="1:5" x14ac:dyDescent="0.3">
      <c r="A1336">
        <f t="shared" si="84"/>
        <v>13.33999999999976</v>
      </c>
      <c r="B1336">
        <f t="shared" si="84"/>
        <v>43.339999999998057</v>
      </c>
      <c r="C1336">
        <f t="shared" si="82"/>
        <v>6.4813003168351867E-4</v>
      </c>
      <c r="D1336">
        <f t="shared" si="85"/>
        <v>6.4813003168351867E-4</v>
      </c>
      <c r="E1336" s="3">
        <f t="shared" si="83"/>
        <v>62097.565507706</v>
      </c>
    </row>
    <row r="1337" spans="1:5" x14ac:dyDescent="0.3">
      <c r="A1337">
        <f t="shared" si="84"/>
        <v>13.34999999999976</v>
      </c>
      <c r="B1337">
        <f t="shared" si="84"/>
        <v>43.349999999998055</v>
      </c>
      <c r="C1337">
        <f t="shared" si="82"/>
        <v>6.4863078155436482E-4</v>
      </c>
      <c r="D1337">
        <f t="shared" si="85"/>
        <v>6.4863078155436482E-4</v>
      </c>
      <c r="E1337" s="3">
        <f t="shared" si="83"/>
        <v>62147.1588768484</v>
      </c>
    </row>
    <row r="1338" spans="1:5" x14ac:dyDescent="0.3">
      <c r="A1338">
        <f t="shared" si="84"/>
        <v>13.35999999999976</v>
      </c>
      <c r="B1338">
        <f t="shared" si="84"/>
        <v>43.359999999998053</v>
      </c>
      <c r="C1338">
        <f t="shared" si="82"/>
        <v>6.4913211711276997E-4</v>
      </c>
      <c r="D1338">
        <f t="shared" si="85"/>
        <v>6.4913211711276997E-4</v>
      </c>
      <c r="E1338" s="3">
        <f t="shared" si="83"/>
        <v>62196.772215219913</v>
      </c>
    </row>
    <row r="1339" spans="1:5" x14ac:dyDescent="0.3">
      <c r="A1339">
        <f t="shared" si="84"/>
        <v>13.369999999999759</v>
      </c>
      <c r="B1339">
        <f t="shared" si="84"/>
        <v>43.369999999998051</v>
      </c>
      <c r="C1339">
        <f t="shared" si="82"/>
        <v>6.4963403904376655E-4</v>
      </c>
      <c r="D1339">
        <f t="shared" si="85"/>
        <v>6.4963403904376655E-4</v>
      </c>
      <c r="E1339" s="3">
        <f t="shared" si="83"/>
        <v>62246.405531213139</v>
      </c>
    </row>
    <row r="1340" spans="1:5" x14ac:dyDescent="0.3">
      <c r="A1340">
        <f t="shared" si="84"/>
        <v>13.379999999999759</v>
      </c>
      <c r="B1340">
        <f t="shared" si="84"/>
        <v>43.379999999998049</v>
      </c>
      <c r="C1340">
        <f t="shared" si="82"/>
        <v>6.5013654803318843E-4</v>
      </c>
      <c r="D1340">
        <f t="shared" si="85"/>
        <v>6.5013654803318843E-4</v>
      </c>
      <c r="E1340" s="3">
        <f t="shared" si="83"/>
        <v>62296.058833224997</v>
      </c>
    </row>
    <row r="1341" spans="1:5" x14ac:dyDescent="0.3">
      <c r="A1341">
        <f t="shared" si="84"/>
        <v>13.389999999999759</v>
      </c>
      <c r="B1341">
        <f t="shared" si="84"/>
        <v>43.389999999998047</v>
      </c>
      <c r="C1341">
        <f t="shared" si="82"/>
        <v>6.5063964476767095E-4</v>
      </c>
      <c r="D1341">
        <f t="shared" si="85"/>
        <v>6.5063964476767095E-4</v>
      </c>
      <c r="E1341" s="3">
        <f t="shared" si="83"/>
        <v>62345.73212965671</v>
      </c>
    </row>
    <row r="1342" spans="1:5" x14ac:dyDescent="0.3">
      <c r="A1342">
        <f t="shared" si="84"/>
        <v>13.399999999999759</v>
      </c>
      <c r="B1342">
        <f t="shared" si="84"/>
        <v>43.399999999998045</v>
      </c>
      <c r="C1342">
        <f t="shared" si="82"/>
        <v>6.5114332993465335E-4</v>
      </c>
      <c r="D1342">
        <f t="shared" si="85"/>
        <v>6.5114332993465335E-4</v>
      </c>
      <c r="E1342" s="3">
        <f t="shared" si="83"/>
        <v>62395.425428913855</v>
      </c>
    </row>
    <row r="1343" spans="1:5" x14ac:dyDescent="0.3">
      <c r="A1343">
        <f t="shared" si="84"/>
        <v>13.409999999999759</v>
      </c>
      <c r="B1343">
        <f t="shared" si="84"/>
        <v>43.409999999998043</v>
      </c>
      <c r="C1343">
        <f t="shared" si="82"/>
        <v>6.516476042223785E-4</v>
      </c>
      <c r="D1343">
        <f t="shared" si="85"/>
        <v>6.516476042223785E-4</v>
      </c>
      <c r="E1343" s="3">
        <f t="shared" si="83"/>
        <v>62445.138739406357</v>
      </c>
    </row>
    <row r="1344" spans="1:5" x14ac:dyDescent="0.3">
      <c r="A1344">
        <f t="shared" si="84"/>
        <v>13.419999999999758</v>
      </c>
      <c r="B1344">
        <f t="shared" si="84"/>
        <v>43.419999999998041</v>
      </c>
      <c r="C1344">
        <f t="shared" si="82"/>
        <v>6.5215246831989461E-4</v>
      </c>
      <c r="D1344">
        <f t="shared" si="85"/>
        <v>6.5215246831989461E-4</v>
      </c>
      <c r="E1344" s="3">
        <f t="shared" si="83"/>
        <v>62494.872069548452</v>
      </c>
    </row>
    <row r="1345" spans="1:5" x14ac:dyDescent="0.3">
      <c r="A1345">
        <f t="shared" si="84"/>
        <v>13.429999999999758</v>
      </c>
      <c r="B1345">
        <f t="shared" si="84"/>
        <v>43.429999999998039</v>
      </c>
      <c r="C1345">
        <f t="shared" si="82"/>
        <v>6.5265792291705599E-4</v>
      </c>
      <c r="D1345">
        <f t="shared" si="85"/>
        <v>6.5265792291705599E-4</v>
      </c>
      <c r="E1345" s="3">
        <f t="shared" si="83"/>
        <v>62544.625427758721</v>
      </c>
    </row>
    <row r="1346" spans="1:5" x14ac:dyDescent="0.3">
      <c r="A1346">
        <f t="shared" si="84"/>
        <v>13.439999999999758</v>
      </c>
      <c r="B1346">
        <f t="shared" si="84"/>
        <v>43.439999999998037</v>
      </c>
      <c r="C1346">
        <f t="shared" si="82"/>
        <v>6.5316396870452242E-4</v>
      </c>
      <c r="D1346">
        <f t="shared" si="85"/>
        <v>6.5316396870452242E-4</v>
      </c>
      <c r="E1346" s="3">
        <f t="shared" si="83"/>
        <v>62594.398822460113</v>
      </c>
    </row>
    <row r="1347" spans="1:5" x14ac:dyDescent="0.3">
      <c r="A1347">
        <f t="shared" si="84"/>
        <v>13.449999999999758</v>
      </c>
      <c r="B1347">
        <f t="shared" si="84"/>
        <v>43.449999999998035</v>
      </c>
      <c r="C1347">
        <f t="shared" ref="C1347:C1410" si="86">$N$2 + $N$3*$N$4^(B1347)</f>
        <v>6.5367060637376291E-4</v>
      </c>
      <c r="D1347">
        <f t="shared" si="85"/>
        <v>6.5367060637376291E-4</v>
      </c>
      <c r="E1347" s="3">
        <f t="shared" ref="E1347:E1410" si="87">IF(ROUND(A1347, 2)=$N$10,$N$6,(E1348-$N$5*($N$7-$N$8-($N$6+$N$9)*D1347))/(1+$N$5*$N$11+$N$5*D1347))</f>
        <v>62644.192262079931</v>
      </c>
    </row>
    <row r="1348" spans="1:5" x14ac:dyDescent="0.3">
      <c r="A1348">
        <f t="shared" ref="A1348:B1411" si="88">A1347+$N$5</f>
        <v>13.459999999999757</v>
      </c>
      <c r="B1348">
        <f t="shared" si="88"/>
        <v>43.459999999998033</v>
      </c>
      <c r="C1348">
        <f t="shared" si="86"/>
        <v>6.5417783661705497E-4</v>
      </c>
      <c r="D1348">
        <f t="shared" si="85"/>
        <v>6.5417783661705497E-4</v>
      </c>
      <c r="E1348" s="3">
        <f t="shared" si="87"/>
        <v>62694.00575504981</v>
      </c>
    </row>
    <row r="1349" spans="1:5" x14ac:dyDescent="0.3">
      <c r="A1349">
        <f t="shared" si="88"/>
        <v>13.469999999999757</v>
      </c>
      <c r="B1349">
        <f t="shared" si="88"/>
        <v>43.469999999998031</v>
      </c>
      <c r="C1349">
        <f t="shared" si="86"/>
        <v>6.5468566012748556E-4</v>
      </c>
      <c r="D1349">
        <f t="shared" si="85"/>
        <v>6.5468566012748556E-4</v>
      </c>
      <c r="E1349" s="3">
        <f t="shared" si="87"/>
        <v>62743.839309805742</v>
      </c>
    </row>
    <row r="1350" spans="1:5" x14ac:dyDescent="0.3">
      <c r="A1350">
        <f t="shared" si="88"/>
        <v>13.479999999999757</v>
      </c>
      <c r="B1350">
        <f t="shared" si="88"/>
        <v>43.479999999998029</v>
      </c>
      <c r="C1350">
        <f t="shared" si="86"/>
        <v>6.5519407759895276E-4</v>
      </c>
      <c r="D1350">
        <f t="shared" si="85"/>
        <v>6.5519407759895276E-4</v>
      </c>
      <c r="E1350" s="3">
        <f t="shared" si="87"/>
        <v>62793.692934788109</v>
      </c>
    </row>
    <row r="1351" spans="1:5" x14ac:dyDescent="0.3">
      <c r="A1351">
        <f t="shared" si="88"/>
        <v>13.489999999999757</v>
      </c>
      <c r="B1351">
        <f t="shared" si="88"/>
        <v>43.489999999998027</v>
      </c>
      <c r="C1351">
        <f t="shared" si="86"/>
        <v>6.5570308972616518E-4</v>
      </c>
      <c r="D1351">
        <f t="shared" si="85"/>
        <v>6.5570308972616518E-4</v>
      </c>
      <c r="E1351" s="3">
        <f t="shared" si="87"/>
        <v>62843.566638441633</v>
      </c>
    </row>
    <row r="1352" spans="1:5" x14ac:dyDescent="0.3">
      <c r="A1352">
        <f t="shared" si="88"/>
        <v>13.499999999999757</v>
      </c>
      <c r="B1352">
        <f t="shared" si="88"/>
        <v>43.499999999998025</v>
      </c>
      <c r="C1352">
        <f t="shared" si="86"/>
        <v>6.562126972046448E-4</v>
      </c>
      <c r="D1352">
        <f t="shared" si="85"/>
        <v>6.562126972046448E-4</v>
      </c>
      <c r="E1352" s="3">
        <f t="shared" si="87"/>
        <v>62893.460429215433</v>
      </c>
    </row>
    <row r="1353" spans="1:5" x14ac:dyDescent="0.3">
      <c r="A1353">
        <f t="shared" si="88"/>
        <v>13.509999999999756</v>
      </c>
      <c r="B1353">
        <f t="shared" si="88"/>
        <v>43.509999999998023</v>
      </c>
      <c r="C1353">
        <f t="shared" si="86"/>
        <v>6.567229007307273E-4</v>
      </c>
      <c r="D1353">
        <f t="shared" si="85"/>
        <v>6.567229007307273E-4</v>
      </c>
      <c r="E1353" s="3">
        <f t="shared" si="87"/>
        <v>62943.374315562956</v>
      </c>
    </row>
    <row r="1354" spans="1:5" x14ac:dyDescent="0.3">
      <c r="A1354">
        <f t="shared" si="88"/>
        <v>13.519999999999756</v>
      </c>
      <c r="B1354">
        <f t="shared" si="88"/>
        <v>43.519999999998021</v>
      </c>
      <c r="C1354">
        <f t="shared" si="86"/>
        <v>6.5723370100156226E-4</v>
      </c>
      <c r="D1354">
        <f t="shared" si="85"/>
        <v>6.5723370100156226E-4</v>
      </c>
      <c r="E1354" s="3">
        <f t="shared" si="87"/>
        <v>62993.308305942068</v>
      </c>
    </row>
    <row r="1355" spans="1:5" x14ac:dyDescent="0.3">
      <c r="A1355">
        <f t="shared" si="88"/>
        <v>13.529999999999756</v>
      </c>
      <c r="B1355">
        <f t="shared" si="88"/>
        <v>43.529999999998019</v>
      </c>
      <c r="C1355">
        <f t="shared" si="86"/>
        <v>6.5774509871511524E-4</v>
      </c>
      <c r="D1355">
        <f t="shared" si="85"/>
        <v>6.5774509871511524E-4</v>
      </c>
      <c r="E1355" s="3">
        <f t="shared" si="87"/>
        <v>63043.262408814997</v>
      </c>
    </row>
    <row r="1356" spans="1:5" x14ac:dyDescent="0.3">
      <c r="A1356">
        <f t="shared" si="88"/>
        <v>13.539999999999756</v>
      </c>
      <c r="B1356">
        <f t="shared" si="88"/>
        <v>43.539999999998017</v>
      </c>
      <c r="C1356">
        <f t="shared" si="86"/>
        <v>6.58257094570167E-4</v>
      </c>
      <c r="D1356">
        <f t="shared" si="85"/>
        <v>6.58257094570167E-4</v>
      </c>
      <c r="E1356" s="3">
        <f t="shared" si="87"/>
        <v>63093.236632648368</v>
      </c>
    </row>
    <row r="1357" spans="1:5" x14ac:dyDescent="0.3">
      <c r="A1357">
        <f t="shared" si="88"/>
        <v>13.549999999999756</v>
      </c>
      <c r="B1357">
        <f t="shared" si="88"/>
        <v>43.549999999998015</v>
      </c>
      <c r="C1357">
        <f t="shared" si="86"/>
        <v>6.587696892663169E-4</v>
      </c>
      <c r="D1357">
        <f t="shared" si="85"/>
        <v>6.587696892663169E-4</v>
      </c>
      <c r="E1357" s="3">
        <f t="shared" si="87"/>
        <v>63143.230985913178</v>
      </c>
    </row>
    <row r="1358" spans="1:5" x14ac:dyDescent="0.3">
      <c r="A1358">
        <f t="shared" si="88"/>
        <v>13.559999999999755</v>
      </c>
      <c r="B1358">
        <f t="shared" si="88"/>
        <v>43.559999999998013</v>
      </c>
      <c r="C1358">
        <f t="shared" si="86"/>
        <v>6.5928288350398196E-4</v>
      </c>
      <c r="D1358">
        <f t="shared" si="85"/>
        <v>6.5928288350398196E-4</v>
      </c>
      <c r="E1358" s="3">
        <f t="shared" si="87"/>
        <v>63193.245477084834</v>
      </c>
    </row>
    <row r="1359" spans="1:5" x14ac:dyDescent="0.3">
      <c r="A1359">
        <f t="shared" si="88"/>
        <v>13.569999999999755</v>
      </c>
      <c r="B1359">
        <f t="shared" si="88"/>
        <v>43.569999999998011</v>
      </c>
      <c r="C1359">
        <f t="shared" si="86"/>
        <v>6.5979667798439859E-4</v>
      </c>
      <c r="D1359">
        <f t="shared" si="85"/>
        <v>6.5979667798439859E-4</v>
      </c>
      <c r="E1359" s="3">
        <f t="shared" si="87"/>
        <v>63243.280114643123</v>
      </c>
    </row>
    <row r="1360" spans="1:5" x14ac:dyDescent="0.3">
      <c r="A1360">
        <f t="shared" si="88"/>
        <v>13.579999999999755</v>
      </c>
      <c r="B1360">
        <f t="shared" si="88"/>
        <v>43.579999999998009</v>
      </c>
      <c r="C1360">
        <f t="shared" si="86"/>
        <v>6.6031107340962355E-4</v>
      </c>
      <c r="D1360">
        <f t="shared" si="85"/>
        <v>6.6031107340962355E-4</v>
      </c>
      <c r="E1360" s="3">
        <f t="shared" si="87"/>
        <v>63293.33490707224</v>
      </c>
    </row>
    <row r="1361" spans="1:5" x14ac:dyDescent="0.3">
      <c r="A1361">
        <f t="shared" si="88"/>
        <v>13.589999999999755</v>
      </c>
      <c r="B1361">
        <f t="shared" si="88"/>
        <v>43.589999999998007</v>
      </c>
      <c r="C1361">
        <f t="shared" si="86"/>
        <v>6.6082607048253397E-4</v>
      </c>
      <c r="D1361">
        <f t="shared" si="85"/>
        <v>6.6082607048253397E-4</v>
      </c>
      <c r="E1361" s="3">
        <f t="shared" si="87"/>
        <v>63343.40986286079</v>
      </c>
    </row>
    <row r="1362" spans="1:5" x14ac:dyDescent="0.3">
      <c r="A1362">
        <f t="shared" si="88"/>
        <v>13.599999999999755</v>
      </c>
      <c r="B1362">
        <f t="shared" si="88"/>
        <v>43.599999999998005</v>
      </c>
      <c r="C1362">
        <f t="shared" si="86"/>
        <v>6.6134166990682985E-4</v>
      </c>
      <c r="D1362">
        <f t="shared" si="85"/>
        <v>6.6134166990682985E-4</v>
      </c>
      <c r="E1362" s="3">
        <f t="shared" si="87"/>
        <v>63393.504990501759</v>
      </c>
    </row>
    <row r="1363" spans="1:5" x14ac:dyDescent="0.3">
      <c r="A1363">
        <f t="shared" si="88"/>
        <v>13.609999999999754</v>
      </c>
      <c r="B1363">
        <f t="shared" si="88"/>
        <v>43.609999999998003</v>
      </c>
      <c r="C1363">
        <f t="shared" si="86"/>
        <v>6.6185787238703399E-4</v>
      </c>
      <c r="D1363">
        <f t="shared" si="85"/>
        <v>6.6185787238703399E-4</v>
      </c>
      <c r="E1363" s="3">
        <f t="shared" si="87"/>
        <v>63443.620298492577</v>
      </c>
    </row>
    <row r="1364" spans="1:5" x14ac:dyDescent="0.3">
      <c r="A1364">
        <f t="shared" si="88"/>
        <v>13.619999999999754</v>
      </c>
      <c r="B1364">
        <f t="shared" si="88"/>
        <v>43.619999999998001</v>
      </c>
      <c r="C1364">
        <f t="shared" si="86"/>
        <v>6.6237467862849321E-4</v>
      </c>
      <c r="D1364">
        <f t="shared" si="85"/>
        <v>6.6237467862849321E-4</v>
      </c>
      <c r="E1364" s="3">
        <f t="shared" si="87"/>
        <v>63493.755795335062</v>
      </c>
    </row>
    <row r="1365" spans="1:5" x14ac:dyDescent="0.3">
      <c r="A1365">
        <f t="shared" si="88"/>
        <v>13.629999999999754</v>
      </c>
      <c r="B1365">
        <f t="shared" si="88"/>
        <v>43.629999999997999</v>
      </c>
      <c r="C1365">
        <f t="shared" si="86"/>
        <v>6.6289208933737983E-4</v>
      </c>
      <c r="D1365">
        <f t="shared" si="85"/>
        <v>6.6289208933737983E-4</v>
      </c>
      <c r="E1365" s="3">
        <f t="shared" si="87"/>
        <v>63543.911489535472</v>
      </c>
    </row>
    <row r="1366" spans="1:5" x14ac:dyDescent="0.3">
      <c r="A1366">
        <f t="shared" si="88"/>
        <v>13.639999999999754</v>
      </c>
      <c r="B1366">
        <f t="shared" si="88"/>
        <v>43.639999999997997</v>
      </c>
      <c r="C1366">
        <f t="shared" si="86"/>
        <v>6.634101052206909E-4</v>
      </c>
      <c r="D1366">
        <f t="shared" si="85"/>
        <v>6.634101052206909E-4</v>
      </c>
      <c r="E1366" s="3">
        <f t="shared" si="87"/>
        <v>63594.087389604465</v>
      </c>
    </row>
    <row r="1367" spans="1:5" x14ac:dyDescent="0.3">
      <c r="A1367">
        <f t="shared" si="88"/>
        <v>13.649999999999753</v>
      </c>
      <c r="B1367">
        <f t="shared" si="88"/>
        <v>43.649999999997995</v>
      </c>
      <c r="C1367">
        <f t="shared" si="86"/>
        <v>6.6392872698625141E-4</v>
      </c>
      <c r="D1367">
        <f t="shared" ref="D1367:D1430" si="89">IF(A1367&lt;=2, (0.9)^(2-A1367)*C1367, C1367)</f>
        <v>6.6392872698625141E-4</v>
      </c>
      <c r="E1367" s="3">
        <f t="shared" si="87"/>
        <v>63644.283504057159</v>
      </c>
    </row>
    <row r="1368" spans="1:5" x14ac:dyDescent="0.3">
      <c r="A1368">
        <f t="shared" si="88"/>
        <v>13.659999999999753</v>
      </c>
      <c r="B1368">
        <f t="shared" si="88"/>
        <v>43.659999999997993</v>
      </c>
      <c r="C1368">
        <f t="shared" si="86"/>
        <v>6.6444795534271388E-4</v>
      </c>
      <c r="D1368">
        <f t="shared" si="89"/>
        <v>6.6444795534271388E-4</v>
      </c>
      <c r="E1368" s="3">
        <f t="shared" si="87"/>
        <v>63694.499841413068</v>
      </c>
    </row>
    <row r="1369" spans="1:5" x14ac:dyDescent="0.3">
      <c r="A1369">
        <f t="shared" si="88"/>
        <v>13.669999999999753</v>
      </c>
      <c r="B1369">
        <f t="shared" si="88"/>
        <v>43.669999999997991</v>
      </c>
      <c r="C1369">
        <f t="shared" si="86"/>
        <v>6.6496779099955994E-4</v>
      </c>
      <c r="D1369">
        <f t="shared" si="89"/>
        <v>6.6496779099955994E-4</v>
      </c>
      <c r="E1369" s="3">
        <f t="shared" si="87"/>
        <v>63744.73641019615</v>
      </c>
    </row>
    <row r="1370" spans="1:5" x14ac:dyDescent="0.3">
      <c r="A1370">
        <f t="shared" si="88"/>
        <v>13.679999999999753</v>
      </c>
      <c r="B1370">
        <f t="shared" si="88"/>
        <v>43.679999999997989</v>
      </c>
      <c r="C1370">
        <f t="shared" si="86"/>
        <v>6.6548823466710128E-4</v>
      </c>
      <c r="D1370">
        <f t="shared" si="89"/>
        <v>6.6548823466710128E-4</v>
      </c>
      <c r="E1370" s="3">
        <f t="shared" si="87"/>
        <v>63794.993218934811</v>
      </c>
    </row>
    <row r="1371" spans="1:5" x14ac:dyDescent="0.3">
      <c r="A1371">
        <f t="shared" si="88"/>
        <v>13.689999999999753</v>
      </c>
      <c r="B1371">
        <f t="shared" si="88"/>
        <v>43.689999999997987</v>
      </c>
      <c r="C1371">
        <f t="shared" si="86"/>
        <v>6.6600928705647902E-4</v>
      </c>
      <c r="D1371">
        <f t="shared" si="89"/>
        <v>6.6600928705647902E-4</v>
      </c>
      <c r="E1371" s="3">
        <f t="shared" si="87"/>
        <v>63845.270276161893</v>
      </c>
    </row>
    <row r="1372" spans="1:5" x14ac:dyDescent="0.3">
      <c r="A1372">
        <f t="shared" si="88"/>
        <v>13.699999999999752</v>
      </c>
      <c r="B1372">
        <f t="shared" si="88"/>
        <v>43.699999999997985</v>
      </c>
      <c r="C1372">
        <f t="shared" si="86"/>
        <v>6.6653094887966747E-4</v>
      </c>
      <c r="D1372">
        <f t="shared" si="89"/>
        <v>6.6653094887966747E-4</v>
      </c>
      <c r="E1372" s="3">
        <f t="shared" si="87"/>
        <v>63895.567590414677</v>
      </c>
    </row>
    <row r="1373" spans="1:5" x14ac:dyDescent="0.3">
      <c r="A1373">
        <f t="shared" si="88"/>
        <v>13.709999999999752</v>
      </c>
      <c r="B1373">
        <f t="shared" si="88"/>
        <v>43.709999999997983</v>
      </c>
      <c r="C1373">
        <f t="shared" si="86"/>
        <v>6.6705322084947317E-4</v>
      </c>
      <c r="D1373">
        <f t="shared" si="89"/>
        <v>6.6705322084947317E-4</v>
      </c>
      <c r="E1373" s="3">
        <f t="shared" si="87"/>
        <v>63945.885170234913</v>
      </c>
    </row>
    <row r="1374" spans="1:5" x14ac:dyDescent="0.3">
      <c r="A1374">
        <f t="shared" si="88"/>
        <v>13.719999999999752</v>
      </c>
      <c r="B1374">
        <f t="shared" si="88"/>
        <v>43.719999999997981</v>
      </c>
      <c r="C1374">
        <f t="shared" si="86"/>
        <v>6.6757610367953644E-4</v>
      </c>
      <c r="D1374">
        <f t="shared" si="89"/>
        <v>6.6757610367953644E-4</v>
      </c>
      <c r="E1374" s="3">
        <f t="shared" si="87"/>
        <v>63996.223024168787</v>
      </c>
    </row>
    <row r="1375" spans="1:5" x14ac:dyDescent="0.3">
      <c r="A1375">
        <f t="shared" si="88"/>
        <v>13.729999999999752</v>
      </c>
      <c r="B1375">
        <f t="shared" si="88"/>
        <v>43.729999999997979</v>
      </c>
      <c r="C1375">
        <f t="shared" si="86"/>
        <v>6.6809959808433273E-4</v>
      </c>
      <c r="D1375">
        <f t="shared" si="89"/>
        <v>6.6809959808433273E-4</v>
      </c>
      <c r="E1375" s="3">
        <f t="shared" si="87"/>
        <v>64046.581160766938</v>
      </c>
    </row>
    <row r="1376" spans="1:5" x14ac:dyDescent="0.3">
      <c r="A1376">
        <f t="shared" si="88"/>
        <v>13.739999999999752</v>
      </c>
      <c r="B1376">
        <f t="shared" si="88"/>
        <v>43.739999999997977</v>
      </c>
      <c r="C1376">
        <f t="shared" si="86"/>
        <v>6.6862370477917179E-4</v>
      </c>
      <c r="D1376">
        <f t="shared" si="89"/>
        <v>6.6862370477917179E-4</v>
      </c>
      <c r="E1376" s="3">
        <f t="shared" si="87"/>
        <v>64096.959588584483</v>
      </c>
    </row>
    <row r="1377" spans="1:5" x14ac:dyDescent="0.3">
      <c r="A1377">
        <f t="shared" si="88"/>
        <v>13.749999999999751</v>
      </c>
      <c r="B1377">
        <f t="shared" si="88"/>
        <v>43.749999999997975</v>
      </c>
      <c r="C1377">
        <f t="shared" si="86"/>
        <v>6.6914842448020126E-4</v>
      </c>
      <c r="D1377">
        <f t="shared" si="89"/>
        <v>6.6914842448020126E-4</v>
      </c>
      <c r="E1377" s="3">
        <f t="shared" si="87"/>
        <v>64147.358316180987</v>
      </c>
    </row>
    <row r="1378" spans="1:5" x14ac:dyDescent="0.3">
      <c r="A1378">
        <f t="shared" si="88"/>
        <v>13.759999999999751</v>
      </c>
      <c r="B1378">
        <f t="shared" si="88"/>
        <v>43.759999999997973</v>
      </c>
      <c r="C1378">
        <f t="shared" si="86"/>
        <v>6.6967375790440609E-4</v>
      </c>
      <c r="D1378">
        <f t="shared" si="89"/>
        <v>6.6967375790440609E-4</v>
      </c>
      <c r="E1378" s="3">
        <f t="shared" si="87"/>
        <v>64197.777352120487</v>
      </c>
    </row>
    <row r="1379" spans="1:5" x14ac:dyDescent="0.3">
      <c r="A1379">
        <f t="shared" si="88"/>
        <v>13.769999999999751</v>
      </c>
      <c r="B1379">
        <f t="shared" si="88"/>
        <v>43.769999999997971</v>
      </c>
      <c r="C1379">
        <f t="shared" si="86"/>
        <v>6.7019970576960987E-4</v>
      </c>
      <c r="D1379">
        <f t="shared" si="89"/>
        <v>6.7019970576960987E-4</v>
      </c>
      <c r="E1379" s="3">
        <f t="shared" si="87"/>
        <v>64248.216704971521</v>
      </c>
    </row>
    <row r="1380" spans="1:5" x14ac:dyDescent="0.3">
      <c r="A1380">
        <f t="shared" si="88"/>
        <v>13.779999999999751</v>
      </c>
      <c r="B1380">
        <f t="shared" si="88"/>
        <v>43.779999999997969</v>
      </c>
      <c r="C1380">
        <f t="shared" si="86"/>
        <v>6.7072626879447611E-4</v>
      </c>
      <c r="D1380">
        <f t="shared" si="89"/>
        <v>6.7072626879447611E-4</v>
      </c>
      <c r="E1380" s="3">
        <f t="shared" si="87"/>
        <v>64298.676383307065</v>
      </c>
    </row>
    <row r="1381" spans="1:5" x14ac:dyDescent="0.3">
      <c r="A1381">
        <f t="shared" si="88"/>
        <v>13.78999999999975</v>
      </c>
      <c r="B1381">
        <f t="shared" si="88"/>
        <v>43.789999999997967</v>
      </c>
      <c r="C1381">
        <f t="shared" si="86"/>
        <v>6.7125344769850741E-4</v>
      </c>
      <c r="D1381">
        <f t="shared" si="89"/>
        <v>6.7125344769850741E-4</v>
      </c>
      <c r="E1381" s="3">
        <f t="shared" si="87"/>
        <v>64349.15639570458</v>
      </c>
    </row>
    <row r="1382" spans="1:5" x14ac:dyDescent="0.3">
      <c r="A1382">
        <f t="shared" si="88"/>
        <v>13.79999999999975</v>
      </c>
      <c r="B1382">
        <f t="shared" si="88"/>
        <v>43.799999999997965</v>
      </c>
      <c r="C1382">
        <f t="shared" si="86"/>
        <v>6.7178124320204963E-4</v>
      </c>
      <c r="D1382">
        <f t="shared" si="89"/>
        <v>6.7178124320204963E-4</v>
      </c>
      <c r="E1382" s="3">
        <f t="shared" si="87"/>
        <v>64399.656750746028</v>
      </c>
    </row>
    <row r="1383" spans="1:5" x14ac:dyDescent="0.3">
      <c r="A1383">
        <f t="shared" si="88"/>
        <v>13.80999999999975</v>
      </c>
      <c r="B1383">
        <f t="shared" si="88"/>
        <v>43.809999999997963</v>
      </c>
      <c r="C1383">
        <f t="shared" si="86"/>
        <v>6.7230965602629042E-4</v>
      </c>
      <c r="D1383">
        <f t="shared" si="89"/>
        <v>6.7230965602629042E-4</v>
      </c>
      <c r="E1383" s="3">
        <f t="shared" si="87"/>
        <v>64450.17745701786</v>
      </c>
    </row>
    <row r="1384" spans="1:5" x14ac:dyDescent="0.3">
      <c r="A1384">
        <f t="shared" si="88"/>
        <v>13.81999999999975</v>
      </c>
      <c r="B1384">
        <f t="shared" si="88"/>
        <v>43.819999999997961</v>
      </c>
      <c r="C1384">
        <f t="shared" si="86"/>
        <v>6.7283868689326095E-4</v>
      </c>
      <c r="D1384">
        <f t="shared" si="89"/>
        <v>6.7283868689326095E-4</v>
      </c>
      <c r="E1384" s="3">
        <f t="shared" si="87"/>
        <v>64500.71852311102</v>
      </c>
    </row>
    <row r="1385" spans="1:5" x14ac:dyDescent="0.3">
      <c r="A1385">
        <f t="shared" si="88"/>
        <v>13.82999999999975</v>
      </c>
      <c r="B1385">
        <f t="shared" si="88"/>
        <v>43.829999999997959</v>
      </c>
      <c r="C1385">
        <f t="shared" si="86"/>
        <v>6.733683365258374E-4</v>
      </c>
      <c r="D1385">
        <f t="shared" si="89"/>
        <v>6.733683365258374E-4</v>
      </c>
      <c r="E1385" s="3">
        <f t="shared" si="87"/>
        <v>64551.279957620922</v>
      </c>
    </row>
    <row r="1386" spans="1:5" x14ac:dyDescent="0.3">
      <c r="A1386">
        <f t="shared" si="88"/>
        <v>13.839999999999749</v>
      </c>
      <c r="B1386">
        <f t="shared" si="88"/>
        <v>43.839999999997957</v>
      </c>
      <c r="C1386">
        <f t="shared" si="86"/>
        <v>6.7389860564774032E-4</v>
      </c>
      <c r="D1386">
        <f t="shared" si="89"/>
        <v>6.7389860564774032E-4</v>
      </c>
      <c r="E1386" s="3">
        <f t="shared" si="87"/>
        <v>64601.861769147508</v>
      </c>
    </row>
    <row r="1387" spans="1:5" x14ac:dyDescent="0.3">
      <c r="A1387">
        <f t="shared" si="88"/>
        <v>13.849999999999749</v>
      </c>
      <c r="B1387">
        <f t="shared" si="88"/>
        <v>43.849999999997955</v>
      </c>
      <c r="C1387">
        <f t="shared" si="86"/>
        <v>6.7442949498353782E-4</v>
      </c>
      <c r="D1387">
        <f t="shared" si="89"/>
        <v>6.7442949498353782E-4</v>
      </c>
      <c r="E1387" s="3">
        <f t="shared" si="87"/>
        <v>64652.46396629521</v>
      </c>
    </row>
    <row r="1388" spans="1:5" x14ac:dyDescent="0.3">
      <c r="A1388">
        <f t="shared" si="88"/>
        <v>13.859999999999749</v>
      </c>
      <c r="B1388">
        <f t="shared" si="88"/>
        <v>43.859999999997953</v>
      </c>
      <c r="C1388">
        <f t="shared" si="86"/>
        <v>6.7496100525864483E-4</v>
      </c>
      <c r="D1388">
        <f t="shared" si="89"/>
        <v>6.7496100525864483E-4</v>
      </c>
      <c r="E1388" s="3">
        <f t="shared" si="87"/>
        <v>64703.086557672963</v>
      </c>
    </row>
    <row r="1389" spans="1:5" x14ac:dyDescent="0.3">
      <c r="A1389">
        <f t="shared" si="88"/>
        <v>13.869999999999749</v>
      </c>
      <c r="B1389">
        <f t="shared" si="88"/>
        <v>43.869999999997951</v>
      </c>
      <c r="C1389">
        <f t="shared" si="86"/>
        <v>6.7549313719932535E-4</v>
      </c>
      <c r="D1389">
        <f t="shared" si="89"/>
        <v>6.7549313719932535E-4</v>
      </c>
      <c r="E1389" s="3">
        <f t="shared" si="87"/>
        <v>64753.729551894241</v>
      </c>
    </row>
    <row r="1390" spans="1:5" x14ac:dyDescent="0.3">
      <c r="A1390">
        <f t="shared" si="88"/>
        <v>13.879999999999749</v>
      </c>
      <c r="B1390">
        <f t="shared" si="88"/>
        <v>43.879999999997949</v>
      </c>
      <c r="C1390">
        <f t="shared" si="86"/>
        <v>6.7602589153269263E-4</v>
      </c>
      <c r="D1390">
        <f t="shared" si="89"/>
        <v>6.7602589153269263E-4</v>
      </c>
      <c r="E1390" s="3">
        <f t="shared" si="87"/>
        <v>64804.392957577002</v>
      </c>
    </row>
    <row r="1391" spans="1:5" x14ac:dyDescent="0.3">
      <c r="A1391">
        <f t="shared" si="88"/>
        <v>13.889999999999748</v>
      </c>
      <c r="B1391">
        <f t="shared" si="88"/>
        <v>43.889999999997947</v>
      </c>
      <c r="C1391">
        <f t="shared" si="86"/>
        <v>6.7655926898670961E-4</v>
      </c>
      <c r="D1391">
        <f t="shared" si="89"/>
        <v>6.7655926898670961E-4</v>
      </c>
      <c r="E1391" s="3">
        <f t="shared" si="87"/>
        <v>64855.076783343742</v>
      </c>
    </row>
    <row r="1392" spans="1:5" x14ac:dyDescent="0.3">
      <c r="A1392">
        <f t="shared" si="88"/>
        <v>13.899999999999748</v>
      </c>
      <c r="B1392">
        <f t="shared" si="88"/>
        <v>43.899999999997945</v>
      </c>
      <c r="C1392">
        <f t="shared" si="86"/>
        <v>6.7709327029019141E-4</v>
      </c>
      <c r="D1392">
        <f t="shared" si="89"/>
        <v>6.7709327029019141E-4</v>
      </c>
      <c r="E1392" s="3">
        <f t="shared" si="87"/>
        <v>64905.781037821478</v>
      </c>
    </row>
    <row r="1393" spans="1:5" x14ac:dyDescent="0.3">
      <c r="A1393">
        <f t="shared" si="88"/>
        <v>13.909999999999748</v>
      </c>
      <c r="B1393">
        <f t="shared" si="88"/>
        <v>43.909999999997943</v>
      </c>
      <c r="C1393">
        <f t="shared" si="86"/>
        <v>6.7762789617280576E-4</v>
      </c>
      <c r="D1393">
        <f t="shared" si="89"/>
        <v>6.7762789617280576E-4</v>
      </c>
      <c r="E1393" s="3">
        <f t="shared" si="87"/>
        <v>64956.505729641751</v>
      </c>
    </row>
    <row r="1394" spans="1:5" x14ac:dyDescent="0.3">
      <c r="A1394">
        <f t="shared" si="88"/>
        <v>13.919999999999748</v>
      </c>
      <c r="B1394">
        <f t="shared" si="88"/>
        <v>43.919999999997941</v>
      </c>
      <c r="C1394">
        <f t="shared" si="86"/>
        <v>6.7816314736507345E-4</v>
      </c>
      <c r="D1394">
        <f t="shared" si="89"/>
        <v>6.7816314736507345E-4</v>
      </c>
      <c r="E1394" s="3">
        <f t="shared" si="87"/>
        <v>65007.250867440634</v>
      </c>
    </row>
    <row r="1395" spans="1:5" x14ac:dyDescent="0.3">
      <c r="A1395">
        <f t="shared" si="88"/>
        <v>13.929999999999747</v>
      </c>
      <c r="B1395">
        <f t="shared" si="88"/>
        <v>43.929999999997939</v>
      </c>
      <c r="C1395">
        <f t="shared" si="86"/>
        <v>6.7869902459836995E-4</v>
      </c>
      <c r="D1395">
        <f t="shared" si="89"/>
        <v>6.7869902459836995E-4</v>
      </c>
      <c r="E1395" s="3">
        <f t="shared" si="87"/>
        <v>65058.016459858743</v>
      </c>
    </row>
    <row r="1396" spans="1:5" x14ac:dyDescent="0.3">
      <c r="A1396">
        <f t="shared" si="88"/>
        <v>13.939999999999747</v>
      </c>
      <c r="B1396">
        <f t="shared" si="88"/>
        <v>43.939999999997937</v>
      </c>
      <c r="C1396">
        <f t="shared" si="86"/>
        <v>6.7923552860492539E-4</v>
      </c>
      <c r="D1396">
        <f t="shared" si="89"/>
        <v>6.7923552860492539E-4</v>
      </c>
      <c r="E1396" s="3">
        <f t="shared" si="87"/>
        <v>65108.802515541225</v>
      </c>
    </row>
    <row r="1397" spans="1:5" x14ac:dyDescent="0.3">
      <c r="A1397">
        <f t="shared" si="88"/>
        <v>13.949999999999747</v>
      </c>
      <c r="B1397">
        <f t="shared" si="88"/>
        <v>43.949999999997935</v>
      </c>
      <c r="C1397">
        <f t="shared" si="86"/>
        <v>6.797726601178273E-4</v>
      </c>
      <c r="D1397">
        <f t="shared" si="89"/>
        <v>6.797726601178273E-4</v>
      </c>
      <c r="E1397" s="3">
        <f t="shared" si="87"/>
        <v>65159.609043137767</v>
      </c>
    </row>
    <row r="1398" spans="1:5" x14ac:dyDescent="0.3">
      <c r="A1398">
        <f t="shared" si="88"/>
        <v>13.959999999999747</v>
      </c>
      <c r="B1398">
        <f t="shared" si="88"/>
        <v>43.959999999997933</v>
      </c>
      <c r="C1398">
        <f t="shared" si="86"/>
        <v>6.8031041987102027E-4</v>
      </c>
      <c r="D1398">
        <f t="shared" si="89"/>
        <v>6.8031041987102027E-4</v>
      </c>
      <c r="E1398" s="3">
        <f t="shared" si="87"/>
        <v>65210.436051302619</v>
      </c>
    </row>
    <row r="1399" spans="1:5" x14ac:dyDescent="0.3">
      <c r="A1399">
        <f t="shared" si="88"/>
        <v>13.969999999999747</v>
      </c>
      <c r="B1399">
        <f t="shared" si="88"/>
        <v>43.969999999997931</v>
      </c>
      <c r="C1399">
        <f t="shared" si="86"/>
        <v>6.8084880859930737E-4</v>
      </c>
      <c r="D1399">
        <f t="shared" si="89"/>
        <v>6.8084880859930737E-4</v>
      </c>
      <c r="E1399" s="3">
        <f t="shared" si="87"/>
        <v>65261.283548694562</v>
      </c>
    </row>
    <row r="1400" spans="1:5" x14ac:dyDescent="0.3">
      <c r="A1400">
        <f t="shared" si="88"/>
        <v>13.979999999999746</v>
      </c>
      <c r="B1400">
        <f t="shared" si="88"/>
        <v>43.979999999997929</v>
      </c>
      <c r="C1400">
        <f t="shared" si="86"/>
        <v>6.8138782703835142E-4</v>
      </c>
      <c r="D1400">
        <f t="shared" si="89"/>
        <v>6.8138782703835142E-4</v>
      </c>
      <c r="E1400" s="3">
        <f t="shared" si="87"/>
        <v>65312.15154397695</v>
      </c>
    </row>
    <row r="1401" spans="1:5" x14ac:dyDescent="0.3">
      <c r="A1401">
        <f t="shared" si="88"/>
        <v>13.989999999999746</v>
      </c>
      <c r="B1401">
        <f t="shared" si="88"/>
        <v>43.989999999997927</v>
      </c>
      <c r="C1401">
        <f t="shared" si="86"/>
        <v>6.8192747592467449E-4</v>
      </c>
      <c r="D1401">
        <f t="shared" si="89"/>
        <v>6.8192747592467449E-4</v>
      </c>
      <c r="E1401" s="3">
        <f t="shared" si="87"/>
        <v>65363.040045817688</v>
      </c>
    </row>
    <row r="1402" spans="1:5" x14ac:dyDescent="0.3">
      <c r="A1402">
        <f t="shared" si="88"/>
        <v>13.999999999999746</v>
      </c>
      <c r="B1402">
        <f t="shared" si="88"/>
        <v>43.999999999997925</v>
      </c>
      <c r="C1402">
        <f t="shared" si="86"/>
        <v>6.8246775599566144E-4</v>
      </c>
      <c r="D1402">
        <f t="shared" si="89"/>
        <v>6.8246775599566144E-4</v>
      </c>
      <c r="E1402" s="3">
        <f t="shared" si="87"/>
        <v>65413.949062889267</v>
      </c>
    </row>
    <row r="1403" spans="1:5" x14ac:dyDescent="0.3">
      <c r="A1403">
        <f t="shared" si="88"/>
        <v>14.009999999999746</v>
      </c>
      <c r="B1403">
        <f t="shared" si="88"/>
        <v>44.009999999997923</v>
      </c>
      <c r="C1403">
        <f t="shared" si="86"/>
        <v>6.8300866798955899E-4</v>
      </c>
      <c r="D1403">
        <f t="shared" si="89"/>
        <v>6.8300866798955899E-4</v>
      </c>
      <c r="E1403" s="3">
        <f t="shared" si="87"/>
        <v>65464.878603868703</v>
      </c>
    </row>
    <row r="1404" spans="1:5" x14ac:dyDescent="0.3">
      <c r="A1404">
        <f t="shared" si="88"/>
        <v>14.019999999999746</v>
      </c>
      <c r="B1404">
        <f t="shared" si="88"/>
        <v>44.019999999997921</v>
      </c>
      <c r="C1404">
        <f t="shared" si="86"/>
        <v>6.8355021264547761E-4</v>
      </c>
      <c r="D1404">
        <f t="shared" si="89"/>
        <v>6.8355021264547761E-4</v>
      </c>
      <c r="E1404" s="3">
        <f t="shared" si="87"/>
        <v>65515.828677437603</v>
      </c>
    </row>
    <row r="1405" spans="1:5" x14ac:dyDescent="0.3">
      <c r="A1405">
        <f t="shared" si="88"/>
        <v>14.029999999999745</v>
      </c>
      <c r="B1405">
        <f t="shared" si="88"/>
        <v>44.029999999997919</v>
      </c>
      <c r="C1405">
        <f t="shared" si="86"/>
        <v>6.8409239070339224E-4</v>
      </c>
      <c r="D1405">
        <f t="shared" si="89"/>
        <v>6.8409239070339224E-4</v>
      </c>
      <c r="E1405" s="3">
        <f t="shared" si="87"/>
        <v>65566.799292282172</v>
      </c>
    </row>
    <row r="1406" spans="1:5" x14ac:dyDescent="0.3">
      <c r="A1406">
        <f t="shared" si="88"/>
        <v>14.039999999999745</v>
      </c>
      <c r="B1406">
        <f t="shared" si="88"/>
        <v>44.039999999997917</v>
      </c>
      <c r="C1406">
        <f t="shared" si="86"/>
        <v>6.8463520290414255E-4</v>
      </c>
      <c r="D1406">
        <f t="shared" si="89"/>
        <v>6.8463520290414255E-4</v>
      </c>
      <c r="E1406" s="3">
        <f t="shared" si="87"/>
        <v>65617.790457093171</v>
      </c>
    </row>
    <row r="1407" spans="1:5" x14ac:dyDescent="0.3">
      <c r="A1407">
        <f t="shared" si="88"/>
        <v>14.049999999999745</v>
      </c>
      <c r="B1407">
        <f t="shared" si="88"/>
        <v>44.049999999997915</v>
      </c>
      <c r="C1407">
        <f t="shared" si="86"/>
        <v>6.8517864998943569E-4</v>
      </c>
      <c r="D1407">
        <f t="shared" si="89"/>
        <v>6.8517864998943569E-4</v>
      </c>
      <c r="E1407" s="3">
        <f t="shared" si="87"/>
        <v>65668.802180565937</v>
      </c>
    </row>
    <row r="1408" spans="1:5" x14ac:dyDescent="0.3">
      <c r="A1408">
        <f t="shared" si="88"/>
        <v>14.059999999999745</v>
      </c>
      <c r="B1408">
        <f t="shared" si="88"/>
        <v>44.059999999997913</v>
      </c>
      <c r="C1408">
        <f t="shared" si="86"/>
        <v>6.8572273270184596E-4</v>
      </c>
      <c r="D1408">
        <f t="shared" si="89"/>
        <v>6.8572273270184596E-4</v>
      </c>
      <c r="E1408" s="3">
        <f t="shared" si="87"/>
        <v>65719.83447140042</v>
      </c>
    </row>
    <row r="1409" spans="1:5" x14ac:dyDescent="0.3">
      <c r="A1409">
        <f t="shared" si="88"/>
        <v>14.069999999999744</v>
      </c>
      <c r="B1409">
        <f t="shared" si="88"/>
        <v>44.069999999997911</v>
      </c>
      <c r="C1409">
        <f t="shared" si="86"/>
        <v>6.86267451784816E-4</v>
      </c>
      <c r="D1409">
        <f t="shared" si="89"/>
        <v>6.86267451784816E-4</v>
      </c>
      <c r="E1409" s="3">
        <f t="shared" si="87"/>
        <v>65770.887338301152</v>
      </c>
    </row>
    <row r="1410" spans="1:5" x14ac:dyDescent="0.3">
      <c r="A1410">
        <f t="shared" si="88"/>
        <v>14.079999999999744</v>
      </c>
      <c r="B1410">
        <f t="shared" si="88"/>
        <v>44.079999999997909</v>
      </c>
      <c r="C1410">
        <f t="shared" si="86"/>
        <v>6.8681280798265883E-4</v>
      </c>
      <c r="D1410">
        <f t="shared" si="89"/>
        <v>6.8681280798265883E-4</v>
      </c>
      <c r="E1410" s="3">
        <f t="shared" si="87"/>
        <v>65821.960789977224</v>
      </c>
    </row>
    <row r="1411" spans="1:5" x14ac:dyDescent="0.3">
      <c r="A1411">
        <f t="shared" si="88"/>
        <v>14.089999999999744</v>
      </c>
      <c r="B1411">
        <f t="shared" si="88"/>
        <v>44.089999999997907</v>
      </c>
      <c r="C1411">
        <f t="shared" ref="C1411:C1474" si="90">$N$2 + $N$3*$N$4^(B1411)</f>
        <v>6.8735880204055637E-4</v>
      </c>
      <c r="D1411">
        <f t="shared" si="89"/>
        <v>6.8735880204055637E-4</v>
      </c>
      <c r="E1411" s="3">
        <f t="shared" ref="E1411:E1474" si="91">IF(ROUND(A1411, 2)=$N$10,$N$6,(E1412-$N$5*($N$7-$N$8-($N$6+$N$9)*D1411))/(1+$N$5*$N$11+$N$5*D1411))</f>
        <v>65873.054835142408</v>
      </c>
    </row>
    <row r="1412" spans="1:5" x14ac:dyDescent="0.3">
      <c r="A1412">
        <f t="shared" ref="A1412:B1475" si="92">A1411+$N$5</f>
        <v>14.099999999999744</v>
      </c>
      <c r="B1412">
        <f t="shared" si="92"/>
        <v>44.099999999997905</v>
      </c>
      <c r="C1412">
        <f t="shared" si="90"/>
        <v>6.8790543470456363E-4</v>
      </c>
      <c r="D1412">
        <f t="shared" si="89"/>
        <v>6.8790543470456363E-4</v>
      </c>
      <c r="E1412" s="3">
        <f t="shared" si="91"/>
        <v>65924.169482515004</v>
      </c>
    </row>
    <row r="1413" spans="1:5" x14ac:dyDescent="0.3">
      <c r="A1413">
        <f t="shared" si="92"/>
        <v>14.109999999999744</v>
      </c>
      <c r="B1413">
        <f t="shared" si="92"/>
        <v>44.109999999997903</v>
      </c>
      <c r="C1413">
        <f t="shared" si="90"/>
        <v>6.8845270672160755E-4</v>
      </c>
      <c r="D1413">
        <f t="shared" si="89"/>
        <v>6.8845270672160755E-4</v>
      </c>
      <c r="E1413" s="3">
        <f t="shared" si="91"/>
        <v>65975.304740817955</v>
      </c>
    </row>
    <row r="1414" spans="1:5" x14ac:dyDescent="0.3">
      <c r="A1414">
        <f t="shared" si="92"/>
        <v>14.119999999999743</v>
      </c>
      <c r="B1414">
        <f t="shared" si="92"/>
        <v>44.119999999997901</v>
      </c>
      <c r="C1414">
        <f t="shared" si="90"/>
        <v>6.8900061883948914E-4</v>
      </c>
      <c r="D1414">
        <f t="shared" si="89"/>
        <v>6.8900061883948914E-4</v>
      </c>
      <c r="E1414" s="3">
        <f t="shared" si="91"/>
        <v>66026.46061877883</v>
      </c>
    </row>
    <row r="1415" spans="1:5" x14ac:dyDescent="0.3">
      <c r="A1415">
        <f t="shared" si="92"/>
        <v>14.129999999999743</v>
      </c>
      <c r="B1415">
        <f t="shared" si="92"/>
        <v>44.129999999997899</v>
      </c>
      <c r="C1415">
        <f t="shared" si="90"/>
        <v>6.8954917180688395E-4</v>
      </c>
      <c r="D1415">
        <f t="shared" si="89"/>
        <v>6.8954917180688395E-4</v>
      </c>
      <c r="E1415" s="3">
        <f t="shared" si="91"/>
        <v>66077.637125129768</v>
      </c>
    </row>
    <row r="1416" spans="1:5" x14ac:dyDescent="0.3">
      <c r="A1416">
        <f t="shared" si="92"/>
        <v>14.139999999999743</v>
      </c>
      <c r="B1416">
        <f t="shared" si="92"/>
        <v>44.139999999997897</v>
      </c>
      <c r="C1416">
        <f t="shared" si="90"/>
        <v>6.9009836637334235E-4</v>
      </c>
      <c r="D1416">
        <f t="shared" si="89"/>
        <v>6.9009836637334235E-4</v>
      </c>
      <c r="E1416" s="3">
        <f t="shared" si="91"/>
        <v>66128.834268607563</v>
      </c>
    </row>
    <row r="1417" spans="1:5" x14ac:dyDescent="0.3">
      <c r="A1417">
        <f t="shared" si="92"/>
        <v>14.149999999999743</v>
      </c>
      <c r="B1417">
        <f t="shared" si="92"/>
        <v>44.149999999997895</v>
      </c>
      <c r="C1417">
        <f t="shared" si="90"/>
        <v>6.906482032892925E-4</v>
      </c>
      <c r="D1417">
        <f t="shared" si="89"/>
        <v>6.906482032892925E-4</v>
      </c>
      <c r="E1417" s="3">
        <f t="shared" si="91"/>
        <v>66180.05205795361</v>
      </c>
    </row>
    <row r="1418" spans="1:5" x14ac:dyDescent="0.3">
      <c r="A1418">
        <f t="shared" si="92"/>
        <v>14.159999999999743</v>
      </c>
      <c r="B1418">
        <f t="shared" si="92"/>
        <v>44.159999999997893</v>
      </c>
      <c r="C1418">
        <f t="shared" si="90"/>
        <v>6.9119868330603964E-4</v>
      </c>
      <c r="D1418">
        <f t="shared" si="89"/>
        <v>6.9119868330603964E-4</v>
      </c>
      <c r="E1418" s="3">
        <f t="shared" si="91"/>
        <v>66231.290501913973</v>
      </c>
    </row>
    <row r="1419" spans="1:5" x14ac:dyDescent="0.3">
      <c r="A1419">
        <f t="shared" si="92"/>
        <v>14.169999999999742</v>
      </c>
      <c r="B1419">
        <f t="shared" si="92"/>
        <v>44.169999999997891</v>
      </c>
      <c r="C1419">
        <f t="shared" si="90"/>
        <v>6.9174980717576825E-4</v>
      </c>
      <c r="D1419">
        <f t="shared" si="89"/>
        <v>6.9174980717576825E-4</v>
      </c>
      <c r="E1419" s="3">
        <f t="shared" si="91"/>
        <v>66282.54960923933</v>
      </c>
    </row>
    <row r="1420" spans="1:5" x14ac:dyDescent="0.3">
      <c r="A1420">
        <f t="shared" si="92"/>
        <v>14.179999999999742</v>
      </c>
      <c r="B1420">
        <f t="shared" si="92"/>
        <v>44.179999999997889</v>
      </c>
      <c r="C1420">
        <f t="shared" si="90"/>
        <v>6.9230157565154237E-4</v>
      </c>
      <c r="D1420">
        <f t="shared" si="89"/>
        <v>6.9230157565154237E-4</v>
      </c>
      <c r="E1420" s="3">
        <f t="shared" si="91"/>
        <v>66333.829388684957</v>
      </c>
    </row>
    <row r="1421" spans="1:5" x14ac:dyDescent="0.3">
      <c r="A1421">
        <f t="shared" si="92"/>
        <v>14.189999999999742</v>
      </c>
      <c r="B1421">
        <f t="shared" si="92"/>
        <v>44.189999999997887</v>
      </c>
      <c r="C1421">
        <f t="shared" si="90"/>
        <v>6.9285398948730622E-4</v>
      </c>
      <c r="D1421">
        <f t="shared" si="89"/>
        <v>6.9285398948730622E-4</v>
      </c>
      <c r="E1421" s="3">
        <f t="shared" si="91"/>
        <v>66385.129849010817</v>
      </c>
    </row>
    <row r="1422" spans="1:5" x14ac:dyDescent="0.3">
      <c r="A1422">
        <f t="shared" si="92"/>
        <v>14.199999999999742</v>
      </c>
      <c r="B1422">
        <f t="shared" si="92"/>
        <v>44.199999999997885</v>
      </c>
      <c r="C1422">
        <f t="shared" si="90"/>
        <v>6.9340704943788667E-4</v>
      </c>
      <c r="D1422">
        <f t="shared" si="89"/>
        <v>6.9340704943788667E-4</v>
      </c>
      <c r="E1422" s="3">
        <f t="shared" si="91"/>
        <v>66436.450998981512</v>
      </c>
    </row>
    <row r="1423" spans="1:5" x14ac:dyDescent="0.3">
      <c r="A1423">
        <f t="shared" si="92"/>
        <v>14.209999999999742</v>
      </c>
      <c r="B1423">
        <f t="shared" si="92"/>
        <v>44.209999999997883</v>
      </c>
      <c r="C1423">
        <f t="shared" si="90"/>
        <v>6.9396075625899312E-4</v>
      </c>
      <c r="D1423">
        <f t="shared" si="89"/>
        <v>6.9396075625899312E-4</v>
      </c>
      <c r="E1423" s="3">
        <f t="shared" si="91"/>
        <v>66487.792847366305</v>
      </c>
    </row>
    <row r="1424" spans="1:5" x14ac:dyDescent="0.3">
      <c r="A1424">
        <f t="shared" si="92"/>
        <v>14.219999999999741</v>
      </c>
      <c r="B1424">
        <f t="shared" si="92"/>
        <v>44.219999999997881</v>
      </c>
      <c r="C1424">
        <f t="shared" si="90"/>
        <v>6.9451511070721915E-4</v>
      </c>
      <c r="D1424">
        <f t="shared" si="89"/>
        <v>6.9451511070721915E-4</v>
      </c>
      <c r="E1424" s="3">
        <f t="shared" si="91"/>
        <v>66539.155402939054</v>
      </c>
    </row>
    <row r="1425" spans="1:5" x14ac:dyDescent="0.3">
      <c r="A1425">
        <f t="shared" si="92"/>
        <v>14.229999999999741</v>
      </c>
      <c r="B1425">
        <f t="shared" si="92"/>
        <v>44.229999999997879</v>
      </c>
      <c r="C1425">
        <f t="shared" si="90"/>
        <v>6.9507011354004325E-4</v>
      </c>
      <c r="D1425">
        <f t="shared" si="89"/>
        <v>6.9507011354004325E-4</v>
      </c>
      <c r="E1425" s="3">
        <f t="shared" si="91"/>
        <v>66590.538674478332</v>
      </c>
    </row>
    <row r="1426" spans="1:5" x14ac:dyDescent="0.3">
      <c r="A1426">
        <f t="shared" si="92"/>
        <v>14.239999999999741</v>
      </c>
      <c r="B1426">
        <f t="shared" si="92"/>
        <v>44.239999999997877</v>
      </c>
      <c r="C1426">
        <f t="shared" si="90"/>
        <v>6.9562576551582874E-4</v>
      </c>
      <c r="D1426">
        <f t="shared" si="89"/>
        <v>6.9562576551582874E-4</v>
      </c>
      <c r="E1426" s="3">
        <f t="shared" si="91"/>
        <v>66641.942670767356</v>
      </c>
    </row>
    <row r="1427" spans="1:5" x14ac:dyDescent="0.3">
      <c r="A1427">
        <f t="shared" si="92"/>
        <v>14.249999999999741</v>
      </c>
      <c r="B1427">
        <f t="shared" si="92"/>
        <v>44.249999999997875</v>
      </c>
      <c r="C1427">
        <f t="shared" si="90"/>
        <v>6.9618206739382744E-4</v>
      </c>
      <c r="D1427">
        <f t="shared" si="89"/>
        <v>6.9618206739382744E-4</v>
      </c>
      <c r="E1427" s="3">
        <f t="shared" si="91"/>
        <v>66693.367400594012</v>
      </c>
    </row>
    <row r="1428" spans="1:5" x14ac:dyDescent="0.3">
      <c r="A1428">
        <f t="shared" si="92"/>
        <v>14.25999999999974</v>
      </c>
      <c r="B1428">
        <f t="shared" si="92"/>
        <v>44.259999999997873</v>
      </c>
      <c r="C1428">
        <f t="shared" si="90"/>
        <v>6.9673901993417859E-4</v>
      </c>
      <c r="D1428">
        <f t="shared" si="89"/>
        <v>6.9673901993417859E-4</v>
      </c>
      <c r="E1428" s="3">
        <f t="shared" si="91"/>
        <v>66744.812872750845</v>
      </c>
    </row>
    <row r="1429" spans="1:5" x14ac:dyDescent="0.3">
      <c r="A1429">
        <f t="shared" si="92"/>
        <v>14.26999999999974</v>
      </c>
      <c r="B1429">
        <f t="shared" si="92"/>
        <v>44.269999999997871</v>
      </c>
      <c r="C1429">
        <f t="shared" si="90"/>
        <v>6.9729662389791057E-4</v>
      </c>
      <c r="D1429">
        <f t="shared" si="89"/>
        <v>6.9729662389791057E-4</v>
      </c>
      <c r="E1429" s="3">
        <f t="shared" si="91"/>
        <v>66796.279096035083</v>
      </c>
    </row>
    <row r="1430" spans="1:5" x14ac:dyDescent="0.3">
      <c r="A1430">
        <f t="shared" si="92"/>
        <v>14.27999999999974</v>
      </c>
      <c r="B1430">
        <f t="shared" si="92"/>
        <v>44.27999999999787</v>
      </c>
      <c r="C1430">
        <f t="shared" si="90"/>
        <v>6.9785488004694214E-4</v>
      </c>
      <c r="D1430">
        <f t="shared" si="89"/>
        <v>6.9785488004694214E-4</v>
      </c>
      <c r="E1430" s="3">
        <f t="shared" si="91"/>
        <v>66847.766079248628</v>
      </c>
    </row>
    <row r="1431" spans="1:5" x14ac:dyDescent="0.3">
      <c r="A1431">
        <f t="shared" si="92"/>
        <v>14.28999999999974</v>
      </c>
      <c r="B1431">
        <f t="shared" si="92"/>
        <v>44.289999999997868</v>
      </c>
      <c r="C1431">
        <f t="shared" si="90"/>
        <v>6.9841378914408205E-4</v>
      </c>
      <c r="D1431">
        <f t="shared" ref="D1431:D1494" si="93">IF(A1431&lt;=2, (0.9)^(2-A1431)*C1431, C1431)</f>
        <v>6.9841378914408205E-4</v>
      </c>
      <c r="E1431" s="3">
        <f t="shared" si="91"/>
        <v>66899.273831198065</v>
      </c>
    </row>
    <row r="1432" spans="1:5" x14ac:dyDescent="0.3">
      <c r="A1432">
        <f t="shared" si="92"/>
        <v>14.29999999999974</v>
      </c>
      <c r="B1432">
        <f t="shared" si="92"/>
        <v>44.299999999997866</v>
      </c>
      <c r="C1432">
        <f t="shared" si="90"/>
        <v>6.9897335195303267E-4</v>
      </c>
      <c r="D1432">
        <f t="shared" si="93"/>
        <v>6.9897335195303267E-4</v>
      </c>
      <c r="E1432" s="3">
        <f t="shared" si="91"/>
        <v>66950.802360694666</v>
      </c>
    </row>
    <row r="1433" spans="1:5" x14ac:dyDescent="0.3">
      <c r="A1433">
        <f t="shared" si="92"/>
        <v>14.309999999999739</v>
      </c>
      <c r="B1433">
        <f t="shared" si="92"/>
        <v>44.309999999997864</v>
      </c>
      <c r="C1433">
        <f t="shared" si="90"/>
        <v>6.9953356923838908E-4</v>
      </c>
      <c r="D1433">
        <f t="shared" si="93"/>
        <v>6.9953356923838908E-4</v>
      </c>
      <c r="E1433" s="3">
        <f t="shared" si="91"/>
        <v>67002.351676554405</v>
      </c>
    </row>
    <row r="1434" spans="1:5" x14ac:dyDescent="0.3">
      <c r="A1434">
        <f t="shared" si="92"/>
        <v>14.319999999999739</v>
      </c>
      <c r="B1434">
        <f t="shared" si="92"/>
        <v>44.319999999997862</v>
      </c>
      <c r="C1434">
        <f t="shared" si="90"/>
        <v>7.0009444176564041E-4</v>
      </c>
      <c r="D1434">
        <f t="shared" si="93"/>
        <v>7.0009444176564041E-4</v>
      </c>
      <c r="E1434" s="3">
        <f t="shared" si="91"/>
        <v>67053.921787597952</v>
      </c>
    </row>
    <row r="1435" spans="1:5" x14ac:dyDescent="0.3">
      <c r="A1435">
        <f t="shared" si="92"/>
        <v>14.329999999999739</v>
      </c>
      <c r="B1435">
        <f t="shared" si="92"/>
        <v>44.32999999999786</v>
      </c>
      <c r="C1435">
        <f t="shared" si="90"/>
        <v>7.0065597030117199E-4</v>
      </c>
      <c r="D1435">
        <f t="shared" si="93"/>
        <v>7.0065597030117199E-4</v>
      </c>
      <c r="E1435" s="3">
        <f t="shared" si="91"/>
        <v>67105.512702650652</v>
      </c>
    </row>
    <row r="1436" spans="1:5" x14ac:dyDescent="0.3">
      <c r="A1436">
        <f t="shared" si="92"/>
        <v>14.339999999999739</v>
      </c>
      <c r="B1436">
        <f t="shared" si="92"/>
        <v>44.339999999997858</v>
      </c>
      <c r="C1436">
        <f t="shared" si="90"/>
        <v>7.0121815561226394E-4</v>
      </c>
      <c r="D1436">
        <f t="shared" si="93"/>
        <v>7.0121815561226394E-4</v>
      </c>
      <c r="E1436" s="3">
        <f t="shared" si="91"/>
        <v>67157.124430542564</v>
      </c>
    </row>
    <row r="1437" spans="1:5" x14ac:dyDescent="0.3">
      <c r="A1437">
        <f t="shared" si="92"/>
        <v>14.349999999999739</v>
      </c>
      <c r="B1437">
        <f t="shared" si="92"/>
        <v>44.349999999997856</v>
      </c>
      <c r="C1437">
        <f t="shared" si="90"/>
        <v>7.0178099846709497E-4</v>
      </c>
      <c r="D1437">
        <f t="shared" si="93"/>
        <v>7.0178099846709497E-4</v>
      </c>
      <c r="E1437" s="3">
        <f t="shared" si="91"/>
        <v>67208.756980108461</v>
      </c>
    </row>
    <row r="1438" spans="1:5" x14ac:dyDescent="0.3">
      <c r="A1438">
        <f t="shared" si="92"/>
        <v>14.359999999999738</v>
      </c>
      <c r="B1438">
        <f t="shared" si="92"/>
        <v>44.359999999997854</v>
      </c>
      <c r="C1438">
        <f t="shared" si="90"/>
        <v>7.0234449963474236E-4</v>
      </c>
      <c r="D1438">
        <f t="shared" si="93"/>
        <v>7.0234449963474236E-4</v>
      </c>
      <c r="E1438" s="3">
        <f t="shared" si="91"/>
        <v>67260.410360187831</v>
      </c>
    </row>
    <row r="1439" spans="1:5" x14ac:dyDescent="0.3">
      <c r="A1439">
        <f t="shared" si="92"/>
        <v>14.369999999999738</v>
      </c>
      <c r="B1439">
        <f t="shared" si="92"/>
        <v>44.369999999997852</v>
      </c>
      <c r="C1439">
        <f t="shared" si="90"/>
        <v>7.0290865988518244E-4</v>
      </c>
      <c r="D1439">
        <f t="shared" si="93"/>
        <v>7.0290865988518244E-4</v>
      </c>
      <c r="E1439" s="3">
        <f t="shared" si="91"/>
        <v>67312.084579624861</v>
      </c>
    </row>
    <row r="1440" spans="1:5" x14ac:dyDescent="0.3">
      <c r="A1440">
        <f t="shared" si="92"/>
        <v>14.379999999999738</v>
      </c>
      <c r="B1440">
        <f t="shared" si="92"/>
        <v>44.37999999999785</v>
      </c>
      <c r="C1440">
        <f t="shared" si="90"/>
        <v>7.034734799892927E-4</v>
      </c>
      <c r="D1440">
        <f t="shared" si="93"/>
        <v>7.034734799892927E-4</v>
      </c>
      <c r="E1440" s="3">
        <f t="shared" si="91"/>
        <v>67363.779647268471</v>
      </c>
    </row>
    <row r="1441" spans="1:5" x14ac:dyDescent="0.3">
      <c r="A1441">
        <f t="shared" si="92"/>
        <v>14.389999999999738</v>
      </c>
      <c r="B1441">
        <f t="shared" si="92"/>
        <v>44.389999999997848</v>
      </c>
      <c r="C1441">
        <f t="shared" si="90"/>
        <v>7.0403896071885097E-4</v>
      </c>
      <c r="D1441">
        <f t="shared" si="93"/>
        <v>7.0403896071885097E-4</v>
      </c>
      <c r="E1441" s="3">
        <f t="shared" si="91"/>
        <v>67415.495571972308</v>
      </c>
    </row>
    <row r="1442" spans="1:5" x14ac:dyDescent="0.3">
      <c r="A1442">
        <f t="shared" si="92"/>
        <v>14.399999999999737</v>
      </c>
      <c r="B1442">
        <f t="shared" si="92"/>
        <v>44.399999999997846</v>
      </c>
      <c r="C1442">
        <f t="shared" si="90"/>
        <v>7.0460510284653919E-4</v>
      </c>
      <c r="D1442">
        <f t="shared" si="93"/>
        <v>7.0460510284653919E-4</v>
      </c>
      <c r="E1442" s="3">
        <f t="shared" si="91"/>
        <v>67467.232362594761</v>
      </c>
    </row>
    <row r="1443" spans="1:5" x14ac:dyDescent="0.3">
      <c r="A1443">
        <f t="shared" si="92"/>
        <v>14.409999999999737</v>
      </c>
      <c r="B1443">
        <f t="shared" si="92"/>
        <v>44.409999999997844</v>
      </c>
      <c r="C1443">
        <f t="shared" si="90"/>
        <v>7.0517190714594234E-4</v>
      </c>
      <c r="D1443">
        <f t="shared" si="93"/>
        <v>7.0517190714594234E-4</v>
      </c>
      <c r="E1443" s="3">
        <f t="shared" si="91"/>
        <v>67518.990027998923</v>
      </c>
    </row>
    <row r="1444" spans="1:5" x14ac:dyDescent="0.3">
      <c r="A1444">
        <f t="shared" si="92"/>
        <v>14.419999999999737</v>
      </c>
      <c r="B1444">
        <f t="shared" si="92"/>
        <v>44.419999999997842</v>
      </c>
      <c r="C1444">
        <f t="shared" si="90"/>
        <v>7.0573937439155035E-4</v>
      </c>
      <c r="D1444">
        <f t="shared" si="93"/>
        <v>7.0573937439155035E-4</v>
      </c>
      <c r="E1444" s="3">
        <f t="shared" si="91"/>
        <v>67570.768577052644</v>
      </c>
    </row>
    <row r="1445" spans="1:5" x14ac:dyDescent="0.3">
      <c r="A1445">
        <f t="shared" si="92"/>
        <v>14.429999999999737</v>
      </c>
      <c r="B1445">
        <f t="shared" si="92"/>
        <v>44.42999999999784</v>
      </c>
      <c r="C1445">
        <f t="shared" si="90"/>
        <v>7.063075053587596E-4</v>
      </c>
      <c r="D1445">
        <f t="shared" si="93"/>
        <v>7.063075053587596E-4</v>
      </c>
      <c r="E1445" s="3">
        <f t="shared" si="91"/>
        <v>67622.568018628503</v>
      </c>
    </row>
    <row r="1446" spans="1:5" x14ac:dyDescent="0.3">
      <c r="A1446">
        <f t="shared" si="92"/>
        <v>14.439999999999737</v>
      </c>
      <c r="B1446">
        <f t="shared" si="92"/>
        <v>44.439999999997838</v>
      </c>
      <c r="C1446">
        <f t="shared" si="90"/>
        <v>7.0687630082387194E-4</v>
      </c>
      <c r="D1446">
        <f t="shared" si="93"/>
        <v>7.0687630082387194E-4</v>
      </c>
      <c r="E1446" s="3">
        <f t="shared" si="91"/>
        <v>67674.388361603822</v>
      </c>
    </row>
    <row r="1447" spans="1:5" x14ac:dyDescent="0.3">
      <c r="A1447">
        <f t="shared" si="92"/>
        <v>14.449999999999736</v>
      </c>
      <c r="B1447">
        <f t="shared" si="92"/>
        <v>44.449999999997836</v>
      </c>
      <c r="C1447">
        <f t="shared" si="90"/>
        <v>7.0744576156409836E-4</v>
      </c>
      <c r="D1447">
        <f t="shared" si="93"/>
        <v>7.0744576156409836E-4</v>
      </c>
      <c r="E1447" s="3">
        <f t="shared" si="91"/>
        <v>67726.229614860684</v>
      </c>
    </row>
    <row r="1448" spans="1:5" x14ac:dyDescent="0.3">
      <c r="A1448">
        <f t="shared" si="92"/>
        <v>14.459999999999736</v>
      </c>
      <c r="B1448">
        <f t="shared" si="92"/>
        <v>44.459999999997834</v>
      </c>
      <c r="C1448">
        <f t="shared" si="90"/>
        <v>7.0801588835755851E-4</v>
      </c>
      <c r="D1448">
        <f t="shared" si="93"/>
        <v>7.0801588835755851E-4</v>
      </c>
      <c r="E1448" s="3">
        <f t="shared" si="91"/>
        <v>67778.091787285943</v>
      </c>
    </row>
    <row r="1449" spans="1:5" x14ac:dyDescent="0.3">
      <c r="A1449">
        <f t="shared" si="92"/>
        <v>14.469999999999736</v>
      </c>
      <c r="B1449">
        <f t="shared" si="92"/>
        <v>44.469999999997832</v>
      </c>
      <c r="C1449">
        <f t="shared" si="90"/>
        <v>7.0858668198328255E-4</v>
      </c>
      <c r="D1449">
        <f t="shared" si="93"/>
        <v>7.0858668198328255E-4</v>
      </c>
      <c r="E1449" s="3">
        <f t="shared" si="91"/>
        <v>67829.974887771168</v>
      </c>
    </row>
    <row r="1450" spans="1:5" x14ac:dyDescent="0.3">
      <c r="A1450">
        <f t="shared" si="92"/>
        <v>14.479999999999736</v>
      </c>
      <c r="B1450">
        <f t="shared" si="92"/>
        <v>44.47999999999783</v>
      </c>
      <c r="C1450">
        <f t="shared" si="90"/>
        <v>7.0915814322121168E-4</v>
      </c>
      <c r="D1450">
        <f t="shared" si="93"/>
        <v>7.0915814322121168E-4</v>
      </c>
      <c r="E1450" s="3">
        <f t="shared" si="91"/>
        <v>67881.878925212732</v>
      </c>
    </row>
    <row r="1451" spans="1:5" x14ac:dyDescent="0.3">
      <c r="A1451">
        <f t="shared" si="92"/>
        <v>14.489999999999736</v>
      </c>
      <c r="B1451">
        <f t="shared" si="92"/>
        <v>44.489999999997828</v>
      </c>
      <c r="C1451">
        <f t="shared" si="90"/>
        <v>7.0973027285219841E-4</v>
      </c>
      <c r="D1451">
        <f t="shared" si="93"/>
        <v>7.0973027285219841E-4</v>
      </c>
      <c r="E1451" s="3">
        <f t="shared" si="91"/>
        <v>67933.803908511778</v>
      </c>
    </row>
    <row r="1452" spans="1:5" x14ac:dyDescent="0.3">
      <c r="A1452">
        <f t="shared" si="92"/>
        <v>14.499999999999735</v>
      </c>
      <c r="B1452">
        <f t="shared" si="92"/>
        <v>44.499999999997826</v>
      </c>
      <c r="C1452">
        <f t="shared" si="90"/>
        <v>7.1030307165800952E-4</v>
      </c>
      <c r="D1452">
        <f t="shared" si="93"/>
        <v>7.1030307165800952E-4</v>
      </c>
      <c r="E1452" s="3">
        <f t="shared" si="91"/>
        <v>67985.749846574181</v>
      </c>
    </row>
    <row r="1453" spans="1:5" x14ac:dyDescent="0.3">
      <c r="A1453">
        <f t="shared" si="92"/>
        <v>14.509999999999735</v>
      </c>
      <c r="B1453">
        <f t="shared" si="92"/>
        <v>44.509999999997824</v>
      </c>
      <c r="C1453">
        <f t="shared" si="90"/>
        <v>7.1087654042132622E-4</v>
      </c>
      <c r="D1453">
        <f t="shared" si="93"/>
        <v>7.1087654042132622E-4</v>
      </c>
      <c r="E1453" s="3">
        <f t="shared" si="91"/>
        <v>68037.716748310602</v>
      </c>
    </row>
    <row r="1454" spans="1:5" x14ac:dyDescent="0.3">
      <c r="A1454">
        <f t="shared" si="92"/>
        <v>14.519999999999735</v>
      </c>
      <c r="B1454">
        <f t="shared" si="92"/>
        <v>44.519999999997822</v>
      </c>
      <c r="C1454">
        <f t="shared" si="90"/>
        <v>7.1145067992574469E-4</v>
      </c>
      <c r="D1454">
        <f t="shared" si="93"/>
        <v>7.1145067992574469E-4</v>
      </c>
      <c r="E1454" s="3">
        <f t="shared" si="91"/>
        <v>68089.704622636491</v>
      </c>
    </row>
    <row r="1455" spans="1:5" x14ac:dyDescent="0.3">
      <c r="A1455">
        <f t="shared" si="92"/>
        <v>14.529999999999735</v>
      </c>
      <c r="B1455">
        <f t="shared" si="92"/>
        <v>44.52999999999782</v>
      </c>
      <c r="C1455">
        <f t="shared" si="90"/>
        <v>7.1202549095577812E-4</v>
      </c>
      <c r="D1455">
        <f t="shared" si="93"/>
        <v>7.1202549095577812E-4</v>
      </c>
      <c r="E1455" s="3">
        <f t="shared" si="91"/>
        <v>68141.713478472113</v>
      </c>
    </row>
    <row r="1456" spans="1:5" x14ac:dyDescent="0.3">
      <c r="A1456">
        <f t="shared" si="92"/>
        <v>14.539999999999734</v>
      </c>
      <c r="B1456">
        <f t="shared" si="92"/>
        <v>44.539999999997818</v>
      </c>
      <c r="C1456">
        <f t="shared" si="90"/>
        <v>7.1260097429685638E-4</v>
      </c>
      <c r="D1456">
        <f t="shared" si="93"/>
        <v>7.1260097429685638E-4</v>
      </c>
      <c r="E1456" s="3">
        <f t="shared" si="91"/>
        <v>68193.743324742478</v>
      </c>
    </row>
    <row r="1457" spans="1:5" x14ac:dyDescent="0.3">
      <c r="A1457">
        <f t="shared" si="92"/>
        <v>14.549999999999734</v>
      </c>
      <c r="B1457">
        <f t="shared" si="92"/>
        <v>44.549999999997816</v>
      </c>
      <c r="C1457">
        <f t="shared" si="90"/>
        <v>7.1317713073532887E-4</v>
      </c>
      <c r="D1457">
        <f t="shared" si="93"/>
        <v>7.1317713073532887E-4</v>
      </c>
      <c r="E1457" s="3">
        <f t="shared" si="91"/>
        <v>68245.794170377412</v>
      </c>
    </row>
    <row r="1458" spans="1:5" x14ac:dyDescent="0.3">
      <c r="A1458">
        <f t="shared" si="92"/>
        <v>14.559999999999734</v>
      </c>
      <c r="B1458">
        <f t="shared" si="92"/>
        <v>44.559999999997814</v>
      </c>
      <c r="C1458">
        <f t="shared" si="90"/>
        <v>7.1375396105846439E-4</v>
      </c>
      <c r="D1458">
        <f t="shared" si="93"/>
        <v>7.1375396105846439E-4</v>
      </c>
      <c r="E1458" s="3">
        <f t="shared" si="91"/>
        <v>68297.86602431153</v>
      </c>
    </row>
    <row r="1459" spans="1:5" x14ac:dyDescent="0.3">
      <c r="A1459">
        <f t="shared" si="92"/>
        <v>14.569999999999734</v>
      </c>
      <c r="B1459">
        <f t="shared" si="92"/>
        <v>44.569999999997812</v>
      </c>
      <c r="C1459">
        <f t="shared" si="90"/>
        <v>7.1433146605445264E-4</v>
      </c>
      <c r="D1459">
        <f t="shared" si="93"/>
        <v>7.1433146605445264E-4</v>
      </c>
      <c r="E1459" s="3">
        <f t="shared" si="91"/>
        <v>68349.958895484277</v>
      </c>
    </row>
    <row r="1460" spans="1:5" x14ac:dyDescent="0.3">
      <c r="A1460">
        <f t="shared" si="92"/>
        <v>14.579999999999734</v>
      </c>
      <c r="B1460">
        <f t="shared" si="92"/>
        <v>44.57999999999781</v>
      </c>
      <c r="C1460">
        <f t="shared" si="90"/>
        <v>7.1490964651240558E-4</v>
      </c>
      <c r="D1460">
        <f t="shared" si="93"/>
        <v>7.1490964651240558E-4</v>
      </c>
      <c r="E1460" s="3">
        <f t="shared" si="91"/>
        <v>68402.072792839841</v>
      </c>
    </row>
    <row r="1461" spans="1:5" x14ac:dyDescent="0.3">
      <c r="A1461">
        <f t="shared" si="92"/>
        <v>14.589999999999733</v>
      </c>
      <c r="B1461">
        <f t="shared" si="92"/>
        <v>44.589999999997808</v>
      </c>
      <c r="C1461">
        <f t="shared" si="90"/>
        <v>7.1548850322235681E-4</v>
      </c>
      <c r="D1461">
        <f t="shared" si="93"/>
        <v>7.1548850322235681E-4</v>
      </c>
      <c r="E1461" s="3">
        <f t="shared" si="91"/>
        <v>68454.207725327258</v>
      </c>
    </row>
    <row r="1462" spans="1:5" x14ac:dyDescent="0.3">
      <c r="A1462">
        <f t="shared" si="92"/>
        <v>14.599999999999733</v>
      </c>
      <c r="B1462">
        <f t="shared" si="92"/>
        <v>44.599999999997806</v>
      </c>
      <c r="C1462">
        <f t="shared" si="90"/>
        <v>7.1606803697526534E-4</v>
      </c>
      <c r="D1462">
        <f t="shared" si="93"/>
        <v>7.1606803697526534E-4</v>
      </c>
      <c r="E1462" s="3">
        <f t="shared" si="91"/>
        <v>68506.363701900409</v>
      </c>
    </row>
    <row r="1463" spans="1:5" x14ac:dyDescent="0.3">
      <c r="A1463">
        <f t="shared" si="92"/>
        <v>14.609999999999733</v>
      </c>
      <c r="B1463">
        <f t="shared" si="92"/>
        <v>44.609999999997804</v>
      </c>
      <c r="C1463">
        <f t="shared" si="90"/>
        <v>7.1664824856301475E-4</v>
      </c>
      <c r="D1463">
        <f t="shared" si="93"/>
        <v>7.1664824856301475E-4</v>
      </c>
      <c r="E1463" s="3">
        <f t="shared" si="91"/>
        <v>68558.540731517962</v>
      </c>
    </row>
    <row r="1464" spans="1:5" x14ac:dyDescent="0.3">
      <c r="A1464">
        <f t="shared" si="92"/>
        <v>14.619999999999733</v>
      </c>
      <c r="B1464">
        <f t="shared" si="92"/>
        <v>44.619999999997802</v>
      </c>
      <c r="C1464">
        <f t="shared" si="90"/>
        <v>7.1722913877841487E-4</v>
      </c>
      <c r="D1464">
        <f t="shared" si="93"/>
        <v>7.1722913877841487E-4</v>
      </c>
      <c r="E1464" s="3">
        <f t="shared" si="91"/>
        <v>68610.738823143402</v>
      </c>
    </row>
    <row r="1465" spans="1:5" x14ac:dyDescent="0.3">
      <c r="A1465">
        <f t="shared" si="92"/>
        <v>14.629999999999733</v>
      </c>
      <c r="B1465">
        <f t="shared" si="92"/>
        <v>44.6299999999978</v>
      </c>
      <c r="C1465">
        <f t="shared" si="90"/>
        <v>7.1781070841520349E-4</v>
      </c>
      <c r="D1465">
        <f t="shared" si="93"/>
        <v>7.1781070841520349E-4</v>
      </c>
      <c r="E1465" s="3">
        <f t="shared" si="91"/>
        <v>68662.95798574503</v>
      </c>
    </row>
    <row r="1466" spans="1:5" x14ac:dyDescent="0.3">
      <c r="A1466">
        <f t="shared" si="92"/>
        <v>14.639999999999732</v>
      </c>
      <c r="B1466">
        <f t="shared" si="92"/>
        <v>44.639999999997798</v>
      </c>
      <c r="C1466">
        <f t="shared" si="90"/>
        <v>7.1839295826804509E-4</v>
      </c>
      <c r="D1466">
        <f t="shared" si="93"/>
        <v>7.1839295826804509E-4</v>
      </c>
      <c r="E1466" s="3">
        <f t="shared" si="91"/>
        <v>68715.198228296038</v>
      </c>
    </row>
    <row r="1467" spans="1:5" x14ac:dyDescent="0.3">
      <c r="A1467">
        <f t="shared" si="92"/>
        <v>14.649999999999732</v>
      </c>
      <c r="B1467">
        <f t="shared" si="92"/>
        <v>44.649999999997796</v>
      </c>
      <c r="C1467">
        <f t="shared" si="90"/>
        <v>7.1897588913253502E-4</v>
      </c>
      <c r="D1467">
        <f t="shared" si="93"/>
        <v>7.1897588913253502E-4</v>
      </c>
      <c r="E1467" s="3">
        <f t="shared" si="91"/>
        <v>68767.459559774419</v>
      </c>
    </row>
    <row r="1468" spans="1:5" x14ac:dyDescent="0.3">
      <c r="A1468">
        <f t="shared" si="92"/>
        <v>14.659999999999732</v>
      </c>
      <c r="B1468">
        <f t="shared" si="92"/>
        <v>44.659999999997794</v>
      </c>
      <c r="C1468">
        <f t="shared" si="90"/>
        <v>7.19559501805199E-4</v>
      </c>
      <c r="D1468">
        <f t="shared" si="93"/>
        <v>7.19559501805199E-4</v>
      </c>
      <c r="E1468" s="3">
        <f t="shared" si="91"/>
        <v>68819.741989162998</v>
      </c>
    </row>
    <row r="1469" spans="1:5" x14ac:dyDescent="0.3">
      <c r="A1469">
        <f t="shared" si="92"/>
        <v>14.669999999999732</v>
      </c>
      <c r="B1469">
        <f t="shared" si="92"/>
        <v>44.669999999997792</v>
      </c>
      <c r="C1469">
        <f t="shared" si="90"/>
        <v>7.2014379708349396E-4</v>
      </c>
      <c r="D1469">
        <f t="shared" si="93"/>
        <v>7.2014379708349396E-4</v>
      </c>
      <c r="E1469" s="3">
        <f t="shared" si="91"/>
        <v>68872.045525449459</v>
      </c>
    </row>
    <row r="1470" spans="1:5" x14ac:dyDescent="0.3">
      <c r="A1470">
        <f t="shared" si="92"/>
        <v>14.679999999999731</v>
      </c>
      <c r="B1470">
        <f t="shared" si="92"/>
        <v>44.67999999999779</v>
      </c>
      <c r="C1470">
        <f t="shared" si="90"/>
        <v>7.2072877576581033E-4</v>
      </c>
      <c r="D1470">
        <f t="shared" si="93"/>
        <v>7.2072877576581033E-4</v>
      </c>
      <c r="E1470" s="3">
        <f t="shared" si="91"/>
        <v>68924.370177626333</v>
      </c>
    </row>
    <row r="1471" spans="1:5" x14ac:dyDescent="0.3">
      <c r="A1471">
        <f t="shared" si="92"/>
        <v>14.689999999999731</v>
      </c>
      <c r="B1471">
        <f t="shared" si="92"/>
        <v>44.689999999997788</v>
      </c>
      <c r="C1471">
        <f t="shared" si="90"/>
        <v>7.2131443865147086E-4</v>
      </c>
      <c r="D1471">
        <f t="shared" si="93"/>
        <v>7.2131443865147086E-4</v>
      </c>
      <c r="E1471" s="3">
        <f t="shared" si="91"/>
        <v>68976.715954691012</v>
      </c>
    </row>
    <row r="1472" spans="1:5" x14ac:dyDescent="0.3">
      <c r="A1472">
        <f t="shared" si="92"/>
        <v>14.699999999999731</v>
      </c>
      <c r="B1472">
        <f t="shared" si="92"/>
        <v>44.699999999997786</v>
      </c>
      <c r="C1472">
        <f t="shared" si="90"/>
        <v>7.219007865407346E-4</v>
      </c>
      <c r="D1472">
        <f t="shared" si="93"/>
        <v>7.219007865407346E-4</v>
      </c>
      <c r="E1472" s="3">
        <f t="shared" si="91"/>
        <v>69029.082865645716</v>
      </c>
    </row>
    <row r="1473" spans="1:5" x14ac:dyDescent="0.3">
      <c r="A1473">
        <f t="shared" si="92"/>
        <v>14.709999999999731</v>
      </c>
      <c r="B1473">
        <f t="shared" si="92"/>
        <v>44.709999999997784</v>
      </c>
      <c r="C1473">
        <f t="shared" si="90"/>
        <v>7.2248782023479627E-4</v>
      </c>
      <c r="D1473">
        <f t="shared" si="93"/>
        <v>7.2248782023479627E-4</v>
      </c>
      <c r="E1473" s="3">
        <f t="shared" si="91"/>
        <v>69081.470919497588</v>
      </c>
    </row>
    <row r="1474" spans="1:5" x14ac:dyDescent="0.3">
      <c r="A1474">
        <f t="shared" si="92"/>
        <v>14.719999999999731</v>
      </c>
      <c r="B1474">
        <f t="shared" si="92"/>
        <v>44.719999999997782</v>
      </c>
      <c r="C1474">
        <f t="shared" si="90"/>
        <v>7.2307554053578746E-4</v>
      </c>
      <c r="D1474">
        <f t="shared" si="93"/>
        <v>7.2307554053578746E-4</v>
      </c>
      <c r="E1474" s="3">
        <f t="shared" si="91"/>
        <v>69133.880125258584</v>
      </c>
    </row>
    <row r="1475" spans="1:5" x14ac:dyDescent="0.3">
      <c r="A1475">
        <f t="shared" si="92"/>
        <v>14.72999999999973</v>
      </c>
      <c r="B1475">
        <f t="shared" si="92"/>
        <v>44.72999999999778</v>
      </c>
      <c r="C1475">
        <f t="shared" ref="C1475:C1538" si="94">$N$2 + $N$3*$N$4^(B1475)</f>
        <v>7.2366394824677791E-4</v>
      </c>
      <c r="D1475">
        <f t="shared" si="93"/>
        <v>7.2366394824677791E-4</v>
      </c>
      <c r="E1475" s="3">
        <f t="shared" ref="E1475:E1538" si="95">IF(ROUND(A1475, 2)=$N$10,$N$6,(E1476-$N$5*($N$7-$N$8-($N$6+$N$9)*D1475))/(1+$N$5*$N$11+$N$5*D1475))</f>
        <v>69186.310491945551</v>
      </c>
    </row>
    <row r="1476" spans="1:5" x14ac:dyDescent="0.3">
      <c r="A1476">
        <f t="shared" ref="A1476:B1539" si="96">A1475+$N$5</f>
        <v>14.73999999999973</v>
      </c>
      <c r="B1476">
        <f t="shared" si="96"/>
        <v>44.739999999997778</v>
      </c>
      <c r="C1476">
        <f t="shared" si="94"/>
        <v>7.2425304417177746E-4</v>
      </c>
      <c r="D1476">
        <f t="shared" si="93"/>
        <v>7.2425304417177746E-4</v>
      </c>
      <c r="E1476" s="3">
        <f t="shared" si="95"/>
        <v>69238.76202858024</v>
      </c>
    </row>
    <row r="1477" spans="1:5" x14ac:dyDescent="0.3">
      <c r="A1477">
        <f t="shared" si="96"/>
        <v>14.74999999999973</v>
      </c>
      <c r="B1477">
        <f t="shared" si="96"/>
        <v>44.749999999997776</v>
      </c>
      <c r="C1477">
        <f t="shared" si="94"/>
        <v>7.2484282911573457E-4</v>
      </c>
      <c r="D1477">
        <f t="shared" si="93"/>
        <v>7.2484282911573457E-4</v>
      </c>
      <c r="E1477" s="3">
        <f t="shared" si="95"/>
        <v>69291.234744189249</v>
      </c>
    </row>
    <row r="1478" spans="1:5" x14ac:dyDescent="0.3">
      <c r="A1478">
        <f t="shared" si="96"/>
        <v>14.75999999999973</v>
      </c>
      <c r="B1478">
        <f t="shared" si="96"/>
        <v>44.759999999997774</v>
      </c>
      <c r="C1478">
        <f t="shared" si="94"/>
        <v>7.2543330388454084E-4</v>
      </c>
      <c r="D1478">
        <f t="shared" si="93"/>
        <v>7.2543330388454084E-4</v>
      </c>
      <c r="E1478" s="3">
        <f t="shared" si="95"/>
        <v>69343.728647804048</v>
      </c>
    </row>
    <row r="1479" spans="1:5" x14ac:dyDescent="0.3">
      <c r="A1479">
        <f t="shared" si="96"/>
        <v>14.76999999999973</v>
      </c>
      <c r="B1479">
        <f t="shared" si="96"/>
        <v>44.769999999997772</v>
      </c>
      <c r="C1479">
        <f t="shared" si="94"/>
        <v>7.2602446928502992E-4</v>
      </c>
      <c r="D1479">
        <f t="shared" si="93"/>
        <v>7.2602446928502992E-4</v>
      </c>
      <c r="E1479" s="3">
        <f t="shared" si="95"/>
        <v>69396.243748461056</v>
      </c>
    </row>
    <row r="1480" spans="1:5" x14ac:dyDescent="0.3">
      <c r="A1480">
        <f t="shared" si="96"/>
        <v>14.779999999999729</v>
      </c>
      <c r="B1480">
        <f t="shared" si="96"/>
        <v>44.77999999999777</v>
      </c>
      <c r="C1480">
        <f t="shared" si="94"/>
        <v>7.2661632612497893E-4</v>
      </c>
      <c r="D1480">
        <f t="shared" si="93"/>
        <v>7.2661632612497893E-4</v>
      </c>
      <c r="E1480" s="3">
        <f t="shared" si="95"/>
        <v>69448.780055201525</v>
      </c>
    </row>
    <row r="1481" spans="1:5" x14ac:dyDescent="0.3">
      <c r="A1481">
        <f t="shared" si="96"/>
        <v>14.789999999999729</v>
      </c>
      <c r="B1481">
        <f t="shared" si="96"/>
        <v>44.789999999997768</v>
      </c>
      <c r="C1481">
        <f t="shared" si="94"/>
        <v>7.2720887521311066E-4</v>
      </c>
      <c r="D1481">
        <f t="shared" si="93"/>
        <v>7.2720887521311066E-4</v>
      </c>
      <c r="E1481" s="3">
        <f t="shared" si="95"/>
        <v>69501.337577071652</v>
      </c>
    </row>
    <row r="1482" spans="1:5" x14ac:dyDescent="0.3">
      <c r="A1482">
        <f t="shared" si="96"/>
        <v>14.799999999999729</v>
      </c>
      <c r="B1482">
        <f t="shared" si="96"/>
        <v>44.799999999997766</v>
      </c>
      <c r="C1482">
        <f t="shared" si="94"/>
        <v>7.2780211735909211E-4</v>
      </c>
      <c r="D1482">
        <f t="shared" si="93"/>
        <v>7.2780211735909211E-4</v>
      </c>
      <c r="E1482" s="3">
        <f t="shared" si="95"/>
        <v>69553.916323122525</v>
      </c>
    </row>
    <row r="1483" spans="1:5" x14ac:dyDescent="0.3">
      <c r="A1483">
        <f t="shared" si="96"/>
        <v>14.809999999999729</v>
      </c>
      <c r="B1483">
        <f t="shared" si="96"/>
        <v>44.809999999997764</v>
      </c>
      <c r="C1483">
        <f t="shared" si="94"/>
        <v>7.2839605337353874E-4</v>
      </c>
      <c r="D1483">
        <f t="shared" si="93"/>
        <v>7.2839605337353874E-4</v>
      </c>
      <c r="E1483" s="3">
        <f t="shared" si="95"/>
        <v>69606.51630241012</v>
      </c>
    </row>
    <row r="1484" spans="1:5" x14ac:dyDescent="0.3">
      <c r="A1484">
        <f t="shared" si="96"/>
        <v>14.819999999999729</v>
      </c>
      <c r="B1484">
        <f t="shared" si="96"/>
        <v>44.819999999997762</v>
      </c>
      <c r="C1484">
        <f t="shared" si="94"/>
        <v>7.289906840680136E-4</v>
      </c>
      <c r="D1484">
        <f t="shared" si="93"/>
        <v>7.289906840680136E-4</v>
      </c>
      <c r="E1484" s="3">
        <f t="shared" si="95"/>
        <v>69659.137523995363</v>
      </c>
    </row>
    <row r="1485" spans="1:5" x14ac:dyDescent="0.3">
      <c r="A1485">
        <f t="shared" si="96"/>
        <v>14.829999999999728</v>
      </c>
      <c r="B1485">
        <f t="shared" si="96"/>
        <v>44.82999999999776</v>
      </c>
      <c r="C1485">
        <f t="shared" si="94"/>
        <v>7.2958601025502909E-4</v>
      </c>
      <c r="D1485">
        <f t="shared" si="93"/>
        <v>7.2958601025502909E-4</v>
      </c>
      <c r="E1485" s="3">
        <f t="shared" si="95"/>
        <v>69711.779996944038</v>
      </c>
    </row>
    <row r="1486" spans="1:5" x14ac:dyDescent="0.3">
      <c r="A1486">
        <f t="shared" si="96"/>
        <v>14.839999999999728</v>
      </c>
      <c r="B1486">
        <f t="shared" si="96"/>
        <v>44.839999999997758</v>
      </c>
      <c r="C1486">
        <f t="shared" si="94"/>
        <v>7.3018203274804842E-4</v>
      </c>
      <c r="D1486">
        <f t="shared" si="93"/>
        <v>7.3018203274804842E-4</v>
      </c>
      <c r="E1486" s="3">
        <f t="shared" si="95"/>
        <v>69764.443730326908</v>
      </c>
    </row>
    <row r="1487" spans="1:5" x14ac:dyDescent="0.3">
      <c r="A1487">
        <f t="shared" si="96"/>
        <v>14.849999999999728</v>
      </c>
      <c r="B1487">
        <f t="shared" si="96"/>
        <v>44.849999999997756</v>
      </c>
      <c r="C1487">
        <f t="shared" si="94"/>
        <v>7.3077875236148471E-4</v>
      </c>
      <c r="D1487">
        <f t="shared" si="93"/>
        <v>7.3077875236148471E-4</v>
      </c>
      <c r="E1487" s="3">
        <f t="shared" si="95"/>
        <v>69817.128733219666</v>
      </c>
    </row>
    <row r="1488" spans="1:5" x14ac:dyDescent="0.3">
      <c r="A1488">
        <f t="shared" si="96"/>
        <v>14.859999999999728</v>
      </c>
      <c r="B1488">
        <f t="shared" si="96"/>
        <v>44.859999999997754</v>
      </c>
      <c r="C1488">
        <f t="shared" si="94"/>
        <v>7.3137616991070513E-4</v>
      </c>
      <c r="D1488">
        <f t="shared" si="93"/>
        <v>7.3137616991070513E-4</v>
      </c>
      <c r="E1488" s="3">
        <f t="shared" si="95"/>
        <v>69869.835014702883</v>
      </c>
    </row>
    <row r="1489" spans="1:5" x14ac:dyDescent="0.3">
      <c r="A1489">
        <f t="shared" si="96"/>
        <v>14.869999999999727</v>
      </c>
      <c r="B1489">
        <f t="shared" si="96"/>
        <v>44.869999999997752</v>
      </c>
      <c r="C1489">
        <f t="shared" si="94"/>
        <v>7.3197428621202992E-4</v>
      </c>
      <c r="D1489">
        <f t="shared" si="93"/>
        <v>7.3197428621202992E-4</v>
      </c>
      <c r="E1489" s="3">
        <f t="shared" si="95"/>
        <v>69922.56258386212</v>
      </c>
    </row>
    <row r="1490" spans="1:5" x14ac:dyDescent="0.3">
      <c r="A1490">
        <f t="shared" si="96"/>
        <v>14.879999999999727</v>
      </c>
      <c r="B1490">
        <f t="shared" si="96"/>
        <v>44.87999999999775</v>
      </c>
      <c r="C1490">
        <f t="shared" si="94"/>
        <v>7.3257310208273434E-4</v>
      </c>
      <c r="D1490">
        <f t="shared" si="93"/>
        <v>7.3257310208273434E-4</v>
      </c>
      <c r="E1490" s="3">
        <f t="shared" si="95"/>
        <v>69975.311449787812</v>
      </c>
    </row>
    <row r="1491" spans="1:5" x14ac:dyDescent="0.3">
      <c r="A1491">
        <f t="shared" si="96"/>
        <v>14.889999999999727</v>
      </c>
      <c r="B1491">
        <f t="shared" si="96"/>
        <v>44.889999999997748</v>
      </c>
      <c r="C1491">
        <f t="shared" si="94"/>
        <v>7.3317261834104984E-4</v>
      </c>
      <c r="D1491">
        <f t="shared" si="93"/>
        <v>7.3317261834104984E-4</v>
      </c>
      <c r="E1491" s="3">
        <f t="shared" si="95"/>
        <v>70028.081621575431</v>
      </c>
    </row>
    <row r="1492" spans="1:5" x14ac:dyDescent="0.3">
      <c r="A1492">
        <f t="shared" si="96"/>
        <v>14.899999999999727</v>
      </c>
      <c r="B1492">
        <f t="shared" si="96"/>
        <v>44.899999999997746</v>
      </c>
      <c r="C1492">
        <f t="shared" si="94"/>
        <v>7.3377283580616337E-4</v>
      </c>
      <c r="D1492">
        <f t="shared" si="93"/>
        <v>7.3377283580616337E-4</v>
      </c>
      <c r="E1492" s="3">
        <f t="shared" si="95"/>
        <v>70080.873108325322</v>
      </c>
    </row>
    <row r="1493" spans="1:5" x14ac:dyDescent="0.3">
      <c r="A1493">
        <f t="shared" si="96"/>
        <v>14.909999999999727</v>
      </c>
      <c r="B1493">
        <f t="shared" si="96"/>
        <v>44.909999999997744</v>
      </c>
      <c r="C1493">
        <f t="shared" si="94"/>
        <v>7.3437375529822183E-4</v>
      </c>
      <c r="D1493">
        <f t="shared" si="93"/>
        <v>7.3437375529822183E-4</v>
      </c>
      <c r="E1493" s="3">
        <f t="shared" si="95"/>
        <v>70133.685919142808</v>
      </c>
    </row>
    <row r="1494" spans="1:5" x14ac:dyDescent="0.3">
      <c r="A1494">
        <f t="shared" si="96"/>
        <v>14.919999999999726</v>
      </c>
      <c r="B1494">
        <f t="shared" si="96"/>
        <v>44.919999999997742</v>
      </c>
      <c r="C1494">
        <f t="shared" si="94"/>
        <v>7.3497537763833067E-4</v>
      </c>
      <c r="D1494">
        <f t="shared" si="93"/>
        <v>7.3497537763833067E-4</v>
      </c>
      <c r="E1494" s="3">
        <f t="shared" si="95"/>
        <v>70186.520063138174</v>
      </c>
    </row>
    <row r="1495" spans="1:5" x14ac:dyDescent="0.3">
      <c r="A1495">
        <f t="shared" si="96"/>
        <v>14.929999999999726</v>
      </c>
      <c r="B1495">
        <f t="shared" si="96"/>
        <v>44.92999999999774</v>
      </c>
      <c r="C1495">
        <f t="shared" si="94"/>
        <v>7.355777036485555E-4</v>
      </c>
      <c r="D1495">
        <f t="shared" ref="D1495:D1558" si="97">IF(A1495&lt;=2, (0.9)^(2-A1495)*C1495, C1495)</f>
        <v>7.355777036485555E-4</v>
      </c>
      <c r="E1495" s="3">
        <f t="shared" si="95"/>
        <v>70239.375549426681</v>
      </c>
    </row>
    <row r="1496" spans="1:5" x14ac:dyDescent="0.3">
      <c r="A1496">
        <f t="shared" si="96"/>
        <v>14.939999999999726</v>
      </c>
      <c r="B1496">
        <f t="shared" si="96"/>
        <v>44.939999999997738</v>
      </c>
      <c r="C1496">
        <f t="shared" si="94"/>
        <v>7.3618073415192438E-4</v>
      </c>
      <c r="D1496">
        <f t="shared" si="97"/>
        <v>7.3618073415192438E-4</v>
      </c>
      <c r="E1496" s="3">
        <f t="shared" si="95"/>
        <v>70292.252387128538</v>
      </c>
    </row>
    <row r="1497" spans="1:5" x14ac:dyDescent="0.3">
      <c r="A1497">
        <f t="shared" si="96"/>
        <v>14.949999999999726</v>
      </c>
      <c r="B1497">
        <f t="shared" si="96"/>
        <v>44.949999999997736</v>
      </c>
      <c r="C1497">
        <f t="shared" si="94"/>
        <v>7.3678446997242609E-4</v>
      </c>
      <c r="D1497">
        <f t="shared" si="97"/>
        <v>7.3678446997242609E-4</v>
      </c>
      <c r="E1497" s="3">
        <f t="shared" si="95"/>
        <v>70345.150585368916</v>
      </c>
    </row>
    <row r="1498" spans="1:5" x14ac:dyDescent="0.3">
      <c r="A1498">
        <f t="shared" si="96"/>
        <v>14.959999999999726</v>
      </c>
      <c r="B1498">
        <f t="shared" si="96"/>
        <v>44.959999999997734</v>
      </c>
      <c r="C1498">
        <f t="shared" si="94"/>
        <v>7.3738891193501498E-4</v>
      </c>
      <c r="D1498">
        <f t="shared" si="97"/>
        <v>7.3738891193501498E-4</v>
      </c>
      <c r="E1498" s="3">
        <f t="shared" si="95"/>
        <v>70398.070153277979</v>
      </c>
    </row>
    <row r="1499" spans="1:5" x14ac:dyDescent="0.3">
      <c r="A1499">
        <f t="shared" si="96"/>
        <v>14.969999999999725</v>
      </c>
      <c r="B1499">
        <f t="shared" si="96"/>
        <v>44.969999999997732</v>
      </c>
      <c r="C1499">
        <f t="shared" si="94"/>
        <v>7.379940608656096E-4</v>
      </c>
      <c r="D1499">
        <f t="shared" si="97"/>
        <v>7.379940608656096E-4</v>
      </c>
      <c r="E1499" s="3">
        <f t="shared" si="95"/>
        <v>70451.011099990879</v>
      </c>
    </row>
    <row r="1500" spans="1:5" x14ac:dyDescent="0.3">
      <c r="A1500">
        <f t="shared" si="96"/>
        <v>14.979999999999725</v>
      </c>
      <c r="B1500">
        <f t="shared" si="96"/>
        <v>44.97999999999773</v>
      </c>
      <c r="C1500">
        <f t="shared" si="94"/>
        <v>7.3859991759109463E-4</v>
      </c>
      <c r="D1500">
        <f t="shared" si="97"/>
        <v>7.3859991759109463E-4</v>
      </c>
      <c r="E1500" s="3">
        <f t="shared" si="95"/>
        <v>70503.973434647734</v>
      </c>
    </row>
    <row r="1501" spans="1:5" x14ac:dyDescent="0.3">
      <c r="A1501">
        <f t="shared" si="96"/>
        <v>14.989999999999725</v>
      </c>
      <c r="B1501">
        <f t="shared" si="96"/>
        <v>44.989999999997728</v>
      </c>
      <c r="C1501">
        <f t="shared" si="94"/>
        <v>7.3920648293932217E-4</v>
      </c>
      <c r="D1501">
        <f t="shared" si="97"/>
        <v>7.3920648293932217E-4</v>
      </c>
      <c r="E1501" s="3">
        <f t="shared" si="95"/>
        <v>70556.95716639368</v>
      </c>
    </row>
    <row r="1502" spans="1:5" x14ac:dyDescent="0.3">
      <c r="A1502">
        <f t="shared" si="96"/>
        <v>14.999999999999725</v>
      </c>
      <c r="B1502">
        <f t="shared" si="96"/>
        <v>44.999999999997726</v>
      </c>
      <c r="C1502">
        <f t="shared" si="94"/>
        <v>7.3981375773911145E-4</v>
      </c>
      <c r="D1502">
        <f t="shared" si="97"/>
        <v>7.3981375773911145E-4</v>
      </c>
      <c r="E1502" s="3">
        <f t="shared" si="95"/>
        <v>70609.962304378845</v>
      </c>
    </row>
    <row r="1503" spans="1:5" x14ac:dyDescent="0.3">
      <c r="A1503">
        <f t="shared" si="96"/>
        <v>15.009999999999724</v>
      </c>
      <c r="B1503">
        <f t="shared" si="96"/>
        <v>45.009999999997724</v>
      </c>
      <c r="C1503">
        <f t="shared" si="94"/>
        <v>7.4042174282025236E-4</v>
      </c>
      <c r="D1503">
        <f t="shared" si="97"/>
        <v>7.4042174282025236E-4</v>
      </c>
      <c r="E1503" s="3">
        <f t="shared" si="95"/>
        <v>70662.988857758319</v>
      </c>
    </row>
    <row r="1504" spans="1:5" x14ac:dyDescent="0.3">
      <c r="A1504">
        <f t="shared" si="96"/>
        <v>15.019999999999724</v>
      </c>
      <c r="B1504">
        <f t="shared" si="96"/>
        <v>45.019999999997722</v>
      </c>
      <c r="C1504">
        <f t="shared" si="94"/>
        <v>7.4103043901350475E-4</v>
      </c>
      <c r="D1504">
        <f t="shared" si="97"/>
        <v>7.4103043901350475E-4</v>
      </c>
      <c r="E1504" s="3">
        <f t="shared" si="95"/>
        <v>70716.036835692226</v>
      </c>
    </row>
    <row r="1505" spans="1:5" x14ac:dyDescent="0.3">
      <c r="A1505">
        <f t="shared" si="96"/>
        <v>15.029999999999724</v>
      </c>
      <c r="B1505">
        <f t="shared" si="96"/>
        <v>45.02999999999772</v>
      </c>
      <c r="C1505">
        <f t="shared" si="94"/>
        <v>7.4163984715060042E-4</v>
      </c>
      <c r="D1505">
        <f t="shared" si="97"/>
        <v>7.4163984715060042E-4</v>
      </c>
      <c r="E1505" s="3">
        <f t="shared" si="95"/>
        <v>70769.106247345713</v>
      </c>
    </row>
    <row r="1506" spans="1:5" x14ac:dyDescent="0.3">
      <c r="A1506">
        <f t="shared" si="96"/>
        <v>15.039999999999724</v>
      </c>
      <c r="B1506">
        <f t="shared" si="96"/>
        <v>45.039999999997718</v>
      </c>
      <c r="C1506">
        <f t="shared" si="94"/>
        <v>7.4224996806424438E-4</v>
      </c>
      <c r="D1506">
        <f t="shared" si="97"/>
        <v>7.4224996806424438E-4</v>
      </c>
      <c r="E1506" s="3">
        <f t="shared" si="95"/>
        <v>70822.197101888902</v>
      </c>
    </row>
    <row r="1507" spans="1:5" x14ac:dyDescent="0.3">
      <c r="A1507">
        <f t="shared" si="96"/>
        <v>15.049999999999724</v>
      </c>
      <c r="B1507">
        <f t="shared" si="96"/>
        <v>45.049999999997716</v>
      </c>
      <c r="C1507">
        <f t="shared" si="94"/>
        <v>7.4286080258811373E-4</v>
      </c>
      <c r="D1507">
        <f t="shared" si="97"/>
        <v>7.4286080258811373E-4</v>
      </c>
      <c r="E1507" s="3">
        <f t="shared" si="95"/>
        <v>70875.309408496963</v>
      </c>
    </row>
    <row r="1508" spans="1:5" x14ac:dyDescent="0.3">
      <c r="A1508">
        <f t="shared" si="96"/>
        <v>15.059999999999723</v>
      </c>
      <c r="B1508">
        <f t="shared" si="96"/>
        <v>45.059999999997714</v>
      </c>
      <c r="C1508">
        <f t="shared" si="94"/>
        <v>7.4347235155686284E-4</v>
      </c>
      <c r="D1508">
        <f t="shared" si="97"/>
        <v>7.4347235155686284E-4</v>
      </c>
      <c r="E1508" s="3">
        <f t="shared" si="95"/>
        <v>70928.443176350076</v>
      </c>
    </row>
    <row r="1509" spans="1:5" x14ac:dyDescent="0.3">
      <c r="A1509">
        <f t="shared" si="96"/>
        <v>15.069999999999723</v>
      </c>
      <c r="B1509">
        <f t="shared" si="96"/>
        <v>45.069999999997712</v>
      </c>
      <c r="C1509">
        <f t="shared" si="94"/>
        <v>7.4408461580612116E-4</v>
      </c>
      <c r="D1509">
        <f t="shared" si="97"/>
        <v>7.4408461580612116E-4</v>
      </c>
      <c r="E1509" s="3">
        <f t="shared" si="95"/>
        <v>70981.598414633452</v>
      </c>
    </row>
    <row r="1510" spans="1:5" x14ac:dyDescent="0.3">
      <c r="A1510">
        <f t="shared" si="96"/>
        <v>15.079999999999723</v>
      </c>
      <c r="B1510">
        <f t="shared" si="96"/>
        <v>45.07999999999771</v>
      </c>
      <c r="C1510">
        <f t="shared" si="94"/>
        <v>7.4469759617249592E-4</v>
      </c>
      <c r="D1510">
        <f t="shared" si="97"/>
        <v>7.4469759617249592E-4</v>
      </c>
      <c r="E1510" s="3">
        <f t="shared" si="95"/>
        <v>71034.775132537354</v>
      </c>
    </row>
    <row r="1511" spans="1:5" x14ac:dyDescent="0.3">
      <c r="A1511">
        <f t="shared" si="96"/>
        <v>15.089999999999723</v>
      </c>
      <c r="B1511">
        <f t="shared" si="96"/>
        <v>45.089999999997708</v>
      </c>
      <c r="C1511">
        <f t="shared" si="94"/>
        <v>7.4531129349357321E-4</v>
      </c>
      <c r="D1511">
        <f t="shared" si="97"/>
        <v>7.4531129349357321E-4</v>
      </c>
      <c r="E1511" s="3">
        <f t="shared" si="95"/>
        <v>71087.973339257034</v>
      </c>
    </row>
    <row r="1512" spans="1:5" x14ac:dyDescent="0.3">
      <c r="A1512">
        <f t="shared" si="96"/>
        <v>15.099999999999723</v>
      </c>
      <c r="B1512">
        <f t="shared" si="96"/>
        <v>45.099999999997706</v>
      </c>
      <c r="C1512">
        <f t="shared" si="94"/>
        <v>7.4592570860791728E-4</v>
      </c>
      <c r="D1512">
        <f t="shared" si="97"/>
        <v>7.4592570860791728E-4</v>
      </c>
      <c r="E1512" s="3">
        <f t="shared" si="95"/>
        <v>71141.193043992869</v>
      </c>
    </row>
    <row r="1513" spans="1:5" x14ac:dyDescent="0.3">
      <c r="A1513">
        <f t="shared" si="96"/>
        <v>15.109999999999722</v>
      </c>
      <c r="B1513">
        <f t="shared" si="96"/>
        <v>45.109999999997704</v>
      </c>
      <c r="C1513">
        <f t="shared" si="94"/>
        <v>7.4654084235507476E-4</v>
      </c>
      <c r="D1513">
        <f t="shared" si="97"/>
        <v>7.4654084235507476E-4</v>
      </c>
      <c r="E1513" s="3">
        <f t="shared" si="95"/>
        <v>71194.434255950182</v>
      </c>
    </row>
    <row r="1514" spans="1:5" x14ac:dyDescent="0.3">
      <c r="A1514">
        <f t="shared" si="96"/>
        <v>15.119999999999722</v>
      </c>
      <c r="B1514">
        <f t="shared" si="96"/>
        <v>45.119999999997702</v>
      </c>
      <c r="C1514">
        <f t="shared" si="94"/>
        <v>7.4715669557557372E-4</v>
      </c>
      <c r="D1514">
        <f t="shared" si="97"/>
        <v>7.4715669557557372E-4</v>
      </c>
      <c r="E1514" s="3">
        <f t="shared" si="95"/>
        <v>71247.696984339389</v>
      </c>
    </row>
    <row r="1515" spans="1:5" x14ac:dyDescent="0.3">
      <c r="A1515">
        <f t="shared" si="96"/>
        <v>15.129999999999722</v>
      </c>
      <c r="B1515">
        <f t="shared" si="96"/>
        <v>45.1299999999977</v>
      </c>
      <c r="C1515">
        <f t="shared" si="94"/>
        <v>7.4777326911092503E-4</v>
      </c>
      <c r="D1515">
        <f t="shared" si="97"/>
        <v>7.4777326911092503E-4</v>
      </c>
      <c r="E1515" s="3">
        <f t="shared" si="95"/>
        <v>71300.981238376015</v>
      </c>
    </row>
    <row r="1516" spans="1:5" x14ac:dyDescent="0.3">
      <c r="A1516">
        <f t="shared" si="96"/>
        <v>15.139999999999722</v>
      </c>
      <c r="B1516">
        <f t="shared" si="96"/>
        <v>45.139999999997698</v>
      </c>
      <c r="C1516">
        <f t="shared" si="94"/>
        <v>7.483905638036247E-4</v>
      </c>
      <c r="D1516">
        <f t="shared" si="97"/>
        <v>7.483905638036247E-4</v>
      </c>
      <c r="E1516" s="3">
        <f t="shared" si="95"/>
        <v>71354.287027280574</v>
      </c>
    </row>
    <row r="1517" spans="1:5" x14ac:dyDescent="0.3">
      <c r="A1517">
        <f t="shared" si="96"/>
        <v>15.149999999999721</v>
      </c>
      <c r="B1517">
        <f t="shared" si="96"/>
        <v>45.149999999997696</v>
      </c>
      <c r="C1517">
        <f t="shared" si="94"/>
        <v>7.4900858049715253E-4</v>
      </c>
      <c r="D1517">
        <f t="shared" si="97"/>
        <v>7.4900858049715253E-4</v>
      </c>
      <c r="E1517" s="3">
        <f t="shared" si="95"/>
        <v>71407.614360278661</v>
      </c>
    </row>
    <row r="1518" spans="1:5" x14ac:dyDescent="0.3">
      <c r="A1518">
        <f t="shared" si="96"/>
        <v>15.159999999999721</v>
      </c>
      <c r="B1518">
        <f t="shared" si="96"/>
        <v>45.159999999997694</v>
      </c>
      <c r="C1518">
        <f t="shared" si="94"/>
        <v>7.4962732003597634E-4</v>
      </c>
      <c r="D1518">
        <f t="shared" si="97"/>
        <v>7.4962732003597634E-4</v>
      </c>
      <c r="E1518" s="3">
        <f t="shared" si="95"/>
        <v>71460.96324660095</v>
      </c>
    </row>
    <row r="1519" spans="1:5" x14ac:dyDescent="0.3">
      <c r="A1519">
        <f t="shared" si="96"/>
        <v>15.169999999999721</v>
      </c>
      <c r="B1519">
        <f t="shared" si="96"/>
        <v>45.169999999997692</v>
      </c>
      <c r="C1519">
        <f t="shared" si="94"/>
        <v>7.5024678326555125E-4</v>
      </c>
      <c r="D1519">
        <f t="shared" si="97"/>
        <v>7.5024678326555125E-4</v>
      </c>
      <c r="E1519" s="3">
        <f t="shared" si="95"/>
        <v>71514.333695483205</v>
      </c>
    </row>
    <row r="1520" spans="1:5" x14ac:dyDescent="0.3">
      <c r="A1520">
        <f t="shared" si="96"/>
        <v>15.179999999999721</v>
      </c>
      <c r="B1520">
        <f t="shared" si="96"/>
        <v>45.17999999999769</v>
      </c>
      <c r="C1520">
        <f t="shared" si="94"/>
        <v>7.5086697103232095E-4</v>
      </c>
      <c r="D1520">
        <f t="shared" si="97"/>
        <v>7.5086697103232095E-4</v>
      </c>
      <c r="E1520" s="3">
        <f t="shared" si="95"/>
        <v>71567.725716166256</v>
      </c>
    </row>
    <row r="1521" spans="1:5" x14ac:dyDescent="0.3">
      <c r="A1521">
        <f t="shared" si="96"/>
        <v>15.189999999999721</v>
      </c>
      <c r="B1521">
        <f t="shared" si="96"/>
        <v>45.189999999997688</v>
      </c>
      <c r="C1521">
        <f t="shared" si="94"/>
        <v>7.5148788418371996E-4</v>
      </c>
      <c r="D1521">
        <f t="shared" si="97"/>
        <v>7.5148788418371996E-4</v>
      </c>
      <c r="E1521" s="3">
        <f t="shared" si="95"/>
        <v>71621.139317895999</v>
      </c>
    </row>
    <row r="1522" spans="1:5" x14ac:dyDescent="0.3">
      <c r="A1522">
        <f t="shared" si="96"/>
        <v>15.19999999999972</v>
      </c>
      <c r="B1522">
        <f t="shared" si="96"/>
        <v>45.199999999997686</v>
      </c>
      <c r="C1522">
        <f t="shared" si="94"/>
        <v>7.5210952356817237E-4</v>
      </c>
      <c r="D1522">
        <f t="shared" si="97"/>
        <v>7.5210952356817237E-4</v>
      </c>
      <c r="E1522" s="3">
        <f t="shared" si="95"/>
        <v>71674.574509923448</v>
      </c>
    </row>
    <row r="1523" spans="1:5" x14ac:dyDescent="0.3">
      <c r="A1523">
        <f t="shared" si="96"/>
        <v>15.20999999999972</v>
      </c>
      <c r="B1523">
        <f t="shared" si="96"/>
        <v>45.209999999997684</v>
      </c>
      <c r="C1523">
        <f t="shared" si="94"/>
        <v>7.5273189003509605E-4</v>
      </c>
      <c r="D1523">
        <f t="shared" si="97"/>
        <v>7.5273189003509605E-4</v>
      </c>
      <c r="E1523" s="3">
        <f t="shared" si="95"/>
        <v>71728.031301504714</v>
      </c>
    </row>
    <row r="1524" spans="1:5" x14ac:dyDescent="0.3">
      <c r="A1524">
        <f t="shared" si="96"/>
        <v>15.21999999999972</v>
      </c>
      <c r="B1524">
        <f t="shared" si="96"/>
        <v>45.219999999997682</v>
      </c>
      <c r="C1524">
        <f t="shared" si="94"/>
        <v>7.5335498443490211E-4</v>
      </c>
      <c r="D1524">
        <f t="shared" si="97"/>
        <v>7.5335498443490211E-4</v>
      </c>
      <c r="E1524" s="3">
        <f t="shared" si="95"/>
        <v>71781.509701900985</v>
      </c>
    </row>
    <row r="1525" spans="1:5" x14ac:dyDescent="0.3">
      <c r="A1525">
        <f t="shared" si="96"/>
        <v>15.22999999999972</v>
      </c>
      <c r="B1525">
        <f t="shared" si="96"/>
        <v>45.229999999997681</v>
      </c>
      <c r="C1525">
        <f t="shared" si="94"/>
        <v>7.5397880761899586E-4</v>
      </c>
      <c r="D1525">
        <f t="shared" si="97"/>
        <v>7.5397880761899586E-4</v>
      </c>
      <c r="E1525" s="3">
        <f t="shared" si="95"/>
        <v>71835.009720378555</v>
      </c>
    </row>
    <row r="1526" spans="1:5" x14ac:dyDescent="0.3">
      <c r="A1526">
        <f t="shared" si="96"/>
        <v>15.23999999999972</v>
      </c>
      <c r="B1526">
        <f t="shared" si="96"/>
        <v>45.239999999997679</v>
      </c>
      <c r="C1526">
        <f t="shared" si="94"/>
        <v>7.5460336043977922E-4</v>
      </c>
      <c r="D1526">
        <f t="shared" si="97"/>
        <v>7.5460336043977922E-4</v>
      </c>
      <c r="E1526" s="3">
        <f t="shared" si="95"/>
        <v>71888.531366208816</v>
      </c>
    </row>
    <row r="1527" spans="1:5" x14ac:dyDescent="0.3">
      <c r="A1527">
        <f t="shared" si="96"/>
        <v>15.249999999999719</v>
      </c>
      <c r="B1527">
        <f t="shared" si="96"/>
        <v>45.249999999997677</v>
      </c>
      <c r="C1527">
        <f t="shared" si="94"/>
        <v>7.5522864375064972E-4</v>
      </c>
      <c r="D1527">
        <f t="shared" si="97"/>
        <v>7.5522864375064972E-4</v>
      </c>
      <c r="E1527" s="3">
        <f t="shared" si="95"/>
        <v>71942.07464866832</v>
      </c>
    </row>
    <row r="1528" spans="1:5" x14ac:dyDescent="0.3">
      <c r="A1528">
        <f t="shared" si="96"/>
        <v>15.259999999999719</v>
      </c>
      <c r="B1528">
        <f t="shared" si="96"/>
        <v>45.259999999997675</v>
      </c>
      <c r="C1528">
        <f t="shared" si="94"/>
        <v>7.5585465840600444E-4</v>
      </c>
      <c r="D1528">
        <f t="shared" si="97"/>
        <v>7.5585465840600444E-4</v>
      </c>
      <c r="E1528" s="3">
        <f t="shared" si="95"/>
        <v>71995.639577038688</v>
      </c>
    </row>
    <row r="1529" spans="1:5" x14ac:dyDescent="0.3">
      <c r="A1529">
        <f t="shared" si="96"/>
        <v>15.269999999999719</v>
      </c>
      <c r="B1529">
        <f t="shared" si="96"/>
        <v>45.269999999997673</v>
      </c>
      <c r="C1529">
        <f t="shared" si="94"/>
        <v>7.564814052612391E-4</v>
      </c>
      <c r="D1529">
        <f t="shared" si="97"/>
        <v>7.564814052612391E-4</v>
      </c>
      <c r="E1529" s="3">
        <f t="shared" si="95"/>
        <v>72049.226160606675</v>
      </c>
    </row>
    <row r="1530" spans="1:5" x14ac:dyDescent="0.3">
      <c r="A1530">
        <f t="shared" si="96"/>
        <v>15.279999999999719</v>
      </c>
      <c r="B1530">
        <f t="shared" si="96"/>
        <v>45.279999999997671</v>
      </c>
      <c r="C1530">
        <f t="shared" si="94"/>
        <v>7.5710888517275003E-4</v>
      </c>
      <c r="D1530">
        <f t="shared" si="97"/>
        <v>7.5710888517275003E-4</v>
      </c>
      <c r="E1530" s="3">
        <f t="shared" si="95"/>
        <v>72102.834408664188</v>
      </c>
    </row>
    <row r="1531" spans="1:5" x14ac:dyDescent="0.3">
      <c r="A1531">
        <f t="shared" si="96"/>
        <v>15.289999999999718</v>
      </c>
      <c r="B1531">
        <f t="shared" si="96"/>
        <v>45.289999999997669</v>
      </c>
      <c r="C1531">
        <f t="shared" si="94"/>
        <v>7.5773709899793591E-4</v>
      </c>
      <c r="D1531">
        <f t="shared" si="97"/>
        <v>7.5773709899793591E-4</v>
      </c>
      <c r="E1531" s="3">
        <f t="shared" si="95"/>
        <v>72156.464330508243</v>
      </c>
    </row>
    <row r="1532" spans="1:5" x14ac:dyDescent="0.3">
      <c r="A1532">
        <f t="shared" si="96"/>
        <v>15.299999999999718</v>
      </c>
      <c r="B1532">
        <f t="shared" si="96"/>
        <v>45.299999999997667</v>
      </c>
      <c r="C1532">
        <f t="shared" si="94"/>
        <v>7.5836604759519635E-4</v>
      </c>
      <c r="D1532">
        <f t="shared" si="97"/>
        <v>7.5836604759519635E-4</v>
      </c>
      <c r="E1532" s="3">
        <f t="shared" si="95"/>
        <v>72210.115935441005</v>
      </c>
    </row>
    <row r="1533" spans="1:5" x14ac:dyDescent="0.3">
      <c r="A1533">
        <f t="shared" si="96"/>
        <v>15.309999999999718</v>
      </c>
      <c r="B1533">
        <f t="shared" si="96"/>
        <v>45.309999999997665</v>
      </c>
      <c r="C1533">
        <f t="shared" si="94"/>
        <v>7.5899573182393689E-4</v>
      </c>
      <c r="D1533">
        <f t="shared" si="97"/>
        <v>7.5899573182393689E-4</v>
      </c>
      <c r="E1533" s="3">
        <f t="shared" si="95"/>
        <v>72263.789232769777</v>
      </c>
    </row>
    <row r="1534" spans="1:5" x14ac:dyDescent="0.3">
      <c r="A1534">
        <f t="shared" si="96"/>
        <v>15.319999999999718</v>
      </c>
      <c r="B1534">
        <f t="shared" si="96"/>
        <v>45.319999999997663</v>
      </c>
      <c r="C1534">
        <f t="shared" si="94"/>
        <v>7.5962615254456737E-4</v>
      </c>
      <c r="D1534">
        <f t="shared" si="97"/>
        <v>7.5962615254456737E-4</v>
      </c>
      <c r="E1534" s="3">
        <f t="shared" si="95"/>
        <v>72317.484231806986</v>
      </c>
    </row>
    <row r="1535" spans="1:5" x14ac:dyDescent="0.3">
      <c r="A1535">
        <f t="shared" si="96"/>
        <v>15.329999999999718</v>
      </c>
      <c r="B1535">
        <f t="shared" si="96"/>
        <v>45.329999999997661</v>
      </c>
      <c r="C1535">
        <f t="shared" si="94"/>
        <v>7.6025731061850441E-4</v>
      </c>
      <c r="D1535">
        <f t="shared" si="97"/>
        <v>7.6025731061850441E-4</v>
      </c>
      <c r="E1535" s="3">
        <f t="shared" si="95"/>
        <v>72371.200941870236</v>
      </c>
    </row>
    <row r="1536" spans="1:5" x14ac:dyDescent="0.3">
      <c r="A1536">
        <f t="shared" si="96"/>
        <v>15.339999999999717</v>
      </c>
      <c r="B1536">
        <f t="shared" si="96"/>
        <v>45.339999999997659</v>
      </c>
      <c r="C1536">
        <f t="shared" si="94"/>
        <v>7.6088920690817218E-4</v>
      </c>
      <c r="D1536">
        <f t="shared" si="97"/>
        <v>7.6088920690817218E-4</v>
      </c>
      <c r="E1536" s="3">
        <f t="shared" si="95"/>
        <v>72424.939372282315</v>
      </c>
    </row>
    <row r="1537" spans="1:5" x14ac:dyDescent="0.3">
      <c r="A1537">
        <f t="shared" si="96"/>
        <v>15.349999999999717</v>
      </c>
      <c r="B1537">
        <f t="shared" si="96"/>
        <v>45.349999999997657</v>
      </c>
      <c r="C1537">
        <f t="shared" si="94"/>
        <v>7.615218422770023E-4</v>
      </c>
      <c r="D1537">
        <f t="shared" si="97"/>
        <v>7.615218422770023E-4</v>
      </c>
      <c r="E1537" s="3">
        <f t="shared" si="95"/>
        <v>72478.699532371102</v>
      </c>
    </row>
    <row r="1538" spans="1:5" x14ac:dyDescent="0.3">
      <c r="A1538">
        <f t="shared" si="96"/>
        <v>15.359999999999717</v>
      </c>
      <c r="B1538">
        <f t="shared" si="96"/>
        <v>45.359999999997655</v>
      </c>
      <c r="C1538">
        <f t="shared" si="94"/>
        <v>7.6215521758943793E-4</v>
      </c>
      <c r="D1538">
        <f t="shared" si="97"/>
        <v>7.6215521758943793E-4</v>
      </c>
      <c r="E1538" s="3">
        <f t="shared" si="95"/>
        <v>72532.481431469714</v>
      </c>
    </row>
    <row r="1539" spans="1:5" x14ac:dyDescent="0.3">
      <c r="A1539">
        <f t="shared" si="96"/>
        <v>15.369999999999717</v>
      </c>
      <c r="B1539">
        <f t="shared" si="96"/>
        <v>45.369999999997653</v>
      </c>
      <c r="C1539">
        <f t="shared" ref="C1539:C1602" si="98">$N$2 + $N$3*$N$4^(B1539)</f>
        <v>7.6278933371093252E-4</v>
      </c>
      <c r="D1539">
        <f t="shared" si="97"/>
        <v>7.6278933371093252E-4</v>
      </c>
      <c r="E1539" s="3">
        <f t="shared" ref="E1539:E1602" si="99">IF(ROUND(A1539, 2)=$N$10,$N$6,(E1540-$N$5*($N$7-$N$8-($N$6+$N$9)*D1539))/(1+$N$5*$N$11+$N$5*D1539))</f>
        <v>72586.285078916393</v>
      </c>
    </row>
    <row r="1540" spans="1:5" x14ac:dyDescent="0.3">
      <c r="A1540">
        <f t="shared" ref="A1540:B1603" si="100">A1539+$N$5</f>
        <v>15.379999999999717</v>
      </c>
      <c r="B1540">
        <f t="shared" si="100"/>
        <v>45.379999999997651</v>
      </c>
      <c r="C1540">
        <f t="shared" si="98"/>
        <v>7.6342419150795203E-4</v>
      </c>
      <c r="D1540">
        <f t="shared" si="97"/>
        <v>7.6342419150795203E-4</v>
      </c>
      <c r="E1540" s="3">
        <f t="shared" si="99"/>
        <v>72640.110484054574</v>
      </c>
    </row>
    <row r="1541" spans="1:5" x14ac:dyDescent="0.3">
      <c r="A1541">
        <f t="shared" si="100"/>
        <v>15.389999999999716</v>
      </c>
      <c r="B1541">
        <f t="shared" si="100"/>
        <v>45.389999999997649</v>
      </c>
      <c r="C1541">
        <f t="shared" si="98"/>
        <v>7.6405979184797595E-4</v>
      </c>
      <c r="D1541">
        <f t="shared" si="97"/>
        <v>7.6405979184797595E-4</v>
      </c>
      <c r="E1541" s="3">
        <f t="shared" si="99"/>
        <v>72693.957656232858</v>
      </c>
    </row>
    <row r="1542" spans="1:5" x14ac:dyDescent="0.3">
      <c r="A1542">
        <f t="shared" si="100"/>
        <v>15.399999999999716</v>
      </c>
      <c r="B1542">
        <f t="shared" si="100"/>
        <v>45.399999999997647</v>
      </c>
      <c r="C1542">
        <f t="shared" si="98"/>
        <v>7.6469613559949749E-4</v>
      </c>
      <c r="D1542">
        <f t="shared" si="97"/>
        <v>7.6469613559949749E-4</v>
      </c>
      <c r="E1542" s="3">
        <f t="shared" si="99"/>
        <v>72747.826604805057</v>
      </c>
    </row>
    <row r="1543" spans="1:5" x14ac:dyDescent="0.3">
      <c r="A1543">
        <f t="shared" si="100"/>
        <v>15.409999999999716</v>
      </c>
      <c r="B1543">
        <f t="shared" si="100"/>
        <v>45.409999999997645</v>
      </c>
      <c r="C1543">
        <f t="shared" si="98"/>
        <v>7.6533322363202662E-4</v>
      </c>
      <c r="D1543">
        <f t="shared" si="97"/>
        <v>7.6533322363202662E-4</v>
      </c>
      <c r="E1543" s="3">
        <f t="shared" si="99"/>
        <v>72801.717339130162</v>
      </c>
    </row>
    <row r="1544" spans="1:5" x14ac:dyDescent="0.3">
      <c r="A1544">
        <f t="shared" si="100"/>
        <v>15.419999999999716</v>
      </c>
      <c r="B1544">
        <f t="shared" si="100"/>
        <v>45.419999999997643</v>
      </c>
      <c r="C1544">
        <f t="shared" si="98"/>
        <v>7.6597105681609008E-4</v>
      </c>
      <c r="D1544">
        <f t="shared" si="97"/>
        <v>7.6597105681609008E-4</v>
      </c>
      <c r="E1544" s="3">
        <f t="shared" si="99"/>
        <v>72855.629868572345</v>
      </c>
    </row>
    <row r="1545" spans="1:5" x14ac:dyDescent="0.3">
      <c r="A1545">
        <f t="shared" si="100"/>
        <v>15.429999999999715</v>
      </c>
      <c r="B1545">
        <f t="shared" si="100"/>
        <v>45.429999999997641</v>
      </c>
      <c r="C1545">
        <f t="shared" si="98"/>
        <v>7.666096360232328E-4</v>
      </c>
      <c r="D1545">
        <f t="shared" si="97"/>
        <v>7.666096360232328E-4</v>
      </c>
      <c r="E1545" s="3">
        <f t="shared" si="99"/>
        <v>72909.564202501017</v>
      </c>
    </row>
    <row r="1546" spans="1:5" x14ac:dyDescent="0.3">
      <c r="A1546">
        <f t="shared" si="100"/>
        <v>15.439999999999715</v>
      </c>
      <c r="B1546">
        <f t="shared" si="100"/>
        <v>45.439999999997639</v>
      </c>
      <c r="C1546">
        <f t="shared" si="98"/>
        <v>7.6724896212601937E-4</v>
      </c>
      <c r="D1546">
        <f t="shared" si="97"/>
        <v>7.6724896212601937E-4</v>
      </c>
      <c r="E1546" s="3">
        <f t="shared" si="99"/>
        <v>72963.520350290753</v>
      </c>
    </row>
    <row r="1547" spans="1:5" x14ac:dyDescent="0.3">
      <c r="A1547">
        <f t="shared" si="100"/>
        <v>15.449999999999715</v>
      </c>
      <c r="B1547">
        <f t="shared" si="100"/>
        <v>45.449999999997637</v>
      </c>
      <c r="C1547">
        <f t="shared" si="98"/>
        <v>7.6788903599803388E-4</v>
      </c>
      <c r="D1547">
        <f t="shared" si="97"/>
        <v>7.6788903599803388E-4</v>
      </c>
      <c r="E1547" s="3">
        <f t="shared" si="99"/>
        <v>73017.498321321342</v>
      </c>
    </row>
    <row r="1548" spans="1:5" x14ac:dyDescent="0.3">
      <c r="A1548">
        <f t="shared" si="100"/>
        <v>15.459999999999715</v>
      </c>
      <c r="B1548">
        <f t="shared" si="100"/>
        <v>45.459999999997635</v>
      </c>
      <c r="C1548">
        <f t="shared" si="98"/>
        <v>7.6852985851388314E-4</v>
      </c>
      <c r="D1548">
        <f t="shared" si="97"/>
        <v>7.6852985851388314E-4</v>
      </c>
      <c r="E1548" s="3">
        <f t="shared" si="99"/>
        <v>73071.498124977836</v>
      </c>
    </row>
    <row r="1549" spans="1:5" x14ac:dyDescent="0.3">
      <c r="A1549">
        <f t="shared" si="100"/>
        <v>15.469999999999715</v>
      </c>
      <c r="B1549">
        <f t="shared" si="100"/>
        <v>45.469999999997633</v>
      </c>
      <c r="C1549">
        <f t="shared" si="98"/>
        <v>7.6917143054919701E-4</v>
      </c>
      <c r="D1549">
        <f t="shared" si="97"/>
        <v>7.6917143054919701E-4</v>
      </c>
      <c r="E1549" s="3">
        <f t="shared" si="99"/>
        <v>73125.519770650455</v>
      </c>
    </row>
    <row r="1550" spans="1:5" x14ac:dyDescent="0.3">
      <c r="A1550">
        <f t="shared" si="100"/>
        <v>15.479999999999714</v>
      </c>
      <c r="B1550">
        <f t="shared" si="100"/>
        <v>45.479999999997631</v>
      </c>
      <c r="C1550">
        <f t="shared" si="98"/>
        <v>7.6981375298062875E-4</v>
      </c>
      <c r="D1550">
        <f t="shared" si="97"/>
        <v>7.6981375298062875E-4</v>
      </c>
      <c r="E1550" s="3">
        <f t="shared" si="99"/>
        <v>73179.563267734673</v>
      </c>
    </row>
    <row r="1551" spans="1:5" x14ac:dyDescent="0.3">
      <c r="A1551">
        <f t="shared" si="100"/>
        <v>15.489999999999714</v>
      </c>
      <c r="B1551">
        <f t="shared" si="100"/>
        <v>45.489999999997629</v>
      </c>
      <c r="C1551">
        <f t="shared" si="98"/>
        <v>7.7045682668585821E-4</v>
      </c>
      <c r="D1551">
        <f t="shared" si="97"/>
        <v>7.7045682668585821E-4</v>
      </c>
      <c r="E1551" s="3">
        <f t="shared" si="99"/>
        <v>73233.628625631201</v>
      </c>
    </row>
    <row r="1552" spans="1:5" x14ac:dyDescent="0.3">
      <c r="A1552">
        <f t="shared" si="100"/>
        <v>15.499999999999714</v>
      </c>
      <c r="B1552">
        <f t="shared" si="100"/>
        <v>45.499999999997627</v>
      </c>
      <c r="C1552">
        <f t="shared" si="98"/>
        <v>7.7110065254359006E-4</v>
      </c>
      <c r="D1552">
        <f t="shared" si="97"/>
        <v>7.7110065254359006E-4</v>
      </c>
      <c r="E1552" s="3">
        <f t="shared" si="99"/>
        <v>73287.715853745933</v>
      </c>
    </row>
    <row r="1553" spans="1:5" x14ac:dyDescent="0.3">
      <c r="A1553">
        <f t="shared" si="100"/>
        <v>15.509999999999714</v>
      </c>
      <c r="B1553">
        <f t="shared" si="100"/>
        <v>45.509999999997625</v>
      </c>
      <c r="C1553">
        <f t="shared" si="98"/>
        <v>7.7174523143355798E-4</v>
      </c>
      <c r="D1553">
        <f t="shared" si="97"/>
        <v>7.7174523143355798E-4</v>
      </c>
      <c r="E1553" s="3">
        <f t="shared" si="99"/>
        <v>73341.824961490071</v>
      </c>
    </row>
    <row r="1554" spans="1:5" x14ac:dyDescent="0.3">
      <c r="A1554">
        <f t="shared" si="100"/>
        <v>15.519999999999714</v>
      </c>
      <c r="B1554">
        <f t="shared" si="100"/>
        <v>45.519999999997623</v>
      </c>
      <c r="C1554">
        <f t="shared" si="98"/>
        <v>7.7239056423652423E-4</v>
      </c>
      <c r="D1554">
        <f t="shared" si="97"/>
        <v>7.7239056423652423E-4</v>
      </c>
      <c r="E1554" s="3">
        <f t="shared" si="99"/>
        <v>73395.955958280014</v>
      </c>
    </row>
    <row r="1555" spans="1:5" x14ac:dyDescent="0.3">
      <c r="A1555">
        <f t="shared" si="100"/>
        <v>15.529999999999713</v>
      </c>
      <c r="B1555">
        <f t="shared" si="100"/>
        <v>45.529999999997621</v>
      </c>
      <c r="C1555">
        <f t="shared" si="98"/>
        <v>7.7303665183428138E-4</v>
      </c>
      <c r="D1555">
        <f t="shared" si="97"/>
        <v>7.7303665183428138E-4</v>
      </c>
      <c r="E1555" s="3">
        <f t="shared" si="99"/>
        <v>73450.108853537444</v>
      </c>
    </row>
    <row r="1556" spans="1:5" x14ac:dyDescent="0.3">
      <c r="A1556">
        <f t="shared" si="100"/>
        <v>15.539999999999713</v>
      </c>
      <c r="B1556">
        <f t="shared" si="100"/>
        <v>45.539999999997619</v>
      </c>
      <c r="C1556">
        <f t="shared" si="98"/>
        <v>7.7368349510965385E-4</v>
      </c>
      <c r="D1556">
        <f t="shared" si="97"/>
        <v>7.7368349510965385E-4</v>
      </c>
      <c r="E1556" s="3">
        <f t="shared" si="99"/>
        <v>73504.283656689266</v>
      </c>
    </row>
    <row r="1557" spans="1:5" x14ac:dyDescent="0.3">
      <c r="A1557">
        <f t="shared" si="100"/>
        <v>15.549999999999713</v>
      </c>
      <c r="B1557">
        <f t="shared" si="100"/>
        <v>45.549999999997617</v>
      </c>
      <c r="C1557">
        <f t="shared" si="98"/>
        <v>7.743310949464968E-4</v>
      </c>
      <c r="D1557">
        <f t="shared" si="97"/>
        <v>7.743310949464968E-4</v>
      </c>
      <c r="E1557" s="3">
        <f t="shared" si="99"/>
        <v>73558.480377167682</v>
      </c>
    </row>
    <row r="1558" spans="1:5" x14ac:dyDescent="0.3">
      <c r="A1558">
        <f t="shared" si="100"/>
        <v>15.559999999999713</v>
      </c>
      <c r="B1558">
        <f t="shared" si="100"/>
        <v>45.559999999997615</v>
      </c>
      <c r="C1558">
        <f t="shared" si="98"/>
        <v>7.7497945222970114E-4</v>
      </c>
      <c r="D1558">
        <f t="shared" si="97"/>
        <v>7.7497945222970114E-4</v>
      </c>
      <c r="E1558" s="3">
        <f t="shared" si="99"/>
        <v>73612.699024410133</v>
      </c>
    </row>
    <row r="1559" spans="1:5" x14ac:dyDescent="0.3">
      <c r="A1559">
        <f t="shared" si="100"/>
        <v>15.569999999999713</v>
      </c>
      <c r="B1559">
        <f t="shared" si="100"/>
        <v>45.569999999997613</v>
      </c>
      <c r="C1559">
        <f t="shared" si="98"/>
        <v>7.7562856784519198E-4</v>
      </c>
      <c r="D1559">
        <f t="shared" ref="D1559:D1622" si="101">IF(A1559&lt;=2, (0.9)^(2-A1559)*C1559, C1559)</f>
        <v>7.7562856784519198E-4</v>
      </c>
      <c r="E1559" s="3">
        <f t="shared" si="99"/>
        <v>73666.939607859342</v>
      </c>
    </row>
    <row r="1560" spans="1:5" x14ac:dyDescent="0.3">
      <c r="A1560">
        <f t="shared" si="100"/>
        <v>15.579999999999712</v>
      </c>
      <c r="B1560">
        <f t="shared" si="100"/>
        <v>45.579999999997611</v>
      </c>
      <c r="C1560">
        <f t="shared" si="98"/>
        <v>7.7627844267993051E-4</v>
      </c>
      <c r="D1560">
        <f t="shared" si="101"/>
        <v>7.7627844267993051E-4</v>
      </c>
      <c r="E1560" s="3">
        <f t="shared" si="99"/>
        <v>73721.202136963286</v>
      </c>
    </row>
    <row r="1561" spans="1:5" x14ac:dyDescent="0.3">
      <c r="A1561">
        <f t="shared" si="100"/>
        <v>15.589999999999712</v>
      </c>
      <c r="B1561">
        <f t="shared" si="100"/>
        <v>45.589999999997609</v>
      </c>
      <c r="C1561">
        <f t="shared" si="98"/>
        <v>7.7692907762191615E-4</v>
      </c>
      <c r="D1561">
        <f t="shared" si="101"/>
        <v>7.7692907762191615E-4</v>
      </c>
      <c r="E1561" s="3">
        <f t="shared" si="99"/>
        <v>73775.486621175267</v>
      </c>
    </row>
    <row r="1562" spans="1:5" x14ac:dyDescent="0.3">
      <c r="A1562">
        <f t="shared" si="100"/>
        <v>15.599999999999712</v>
      </c>
      <c r="B1562">
        <f t="shared" si="100"/>
        <v>45.599999999997607</v>
      </c>
      <c r="C1562">
        <f t="shared" si="98"/>
        <v>7.7758047356018536E-4</v>
      </c>
      <c r="D1562">
        <f t="shared" si="101"/>
        <v>7.7758047356018536E-4</v>
      </c>
      <c r="E1562" s="3">
        <f t="shared" si="99"/>
        <v>73829.793069953841</v>
      </c>
    </row>
    <row r="1563" spans="1:5" x14ac:dyDescent="0.3">
      <c r="A1563">
        <f t="shared" si="100"/>
        <v>15.609999999999712</v>
      </c>
      <c r="B1563">
        <f t="shared" si="100"/>
        <v>45.609999999997605</v>
      </c>
      <c r="C1563">
        <f t="shared" si="98"/>
        <v>7.7823263138481575E-4</v>
      </c>
      <c r="D1563">
        <f t="shared" si="101"/>
        <v>7.7823263138481575E-4</v>
      </c>
      <c r="E1563" s="3">
        <f t="shared" si="99"/>
        <v>73884.121492762846</v>
      </c>
    </row>
    <row r="1564" spans="1:5" x14ac:dyDescent="0.3">
      <c r="A1564">
        <f t="shared" si="100"/>
        <v>15.619999999999711</v>
      </c>
      <c r="B1564">
        <f t="shared" si="100"/>
        <v>45.619999999997603</v>
      </c>
      <c r="C1564">
        <f t="shared" si="98"/>
        <v>7.7888555198692556E-4</v>
      </c>
      <c r="D1564">
        <f t="shared" si="101"/>
        <v>7.7888555198692556E-4</v>
      </c>
      <c r="E1564" s="3">
        <f t="shared" si="99"/>
        <v>73938.471899071432</v>
      </c>
    </row>
    <row r="1565" spans="1:5" x14ac:dyDescent="0.3">
      <c r="A1565">
        <f t="shared" si="100"/>
        <v>15.629999999999711</v>
      </c>
      <c r="B1565">
        <f t="shared" si="100"/>
        <v>45.629999999997601</v>
      </c>
      <c r="C1565">
        <f t="shared" si="98"/>
        <v>7.7953923625867538E-4</v>
      </c>
      <c r="D1565">
        <f t="shared" si="101"/>
        <v>7.7953923625867538E-4</v>
      </c>
      <c r="E1565" s="3">
        <f t="shared" si="99"/>
        <v>73992.844298354044</v>
      </c>
    </row>
    <row r="1566" spans="1:5" x14ac:dyDescent="0.3">
      <c r="A1566">
        <f t="shared" si="100"/>
        <v>15.639999999999711</v>
      </c>
      <c r="B1566">
        <f t="shared" si="100"/>
        <v>45.639999999997599</v>
      </c>
      <c r="C1566">
        <f t="shared" si="98"/>
        <v>7.8019368509326976E-4</v>
      </c>
      <c r="D1566">
        <f t="shared" si="101"/>
        <v>7.8019368509326976E-4</v>
      </c>
      <c r="E1566" s="3">
        <f t="shared" si="99"/>
        <v>74047.238700090442</v>
      </c>
    </row>
    <row r="1567" spans="1:5" x14ac:dyDescent="0.3">
      <c r="A1567">
        <f t="shared" si="100"/>
        <v>15.649999999999711</v>
      </c>
      <c r="B1567">
        <f t="shared" si="100"/>
        <v>45.649999999997597</v>
      </c>
      <c r="C1567">
        <f t="shared" si="98"/>
        <v>7.8084889938495649E-4</v>
      </c>
      <c r="D1567">
        <f t="shared" si="101"/>
        <v>7.8084889938495649E-4</v>
      </c>
      <c r="E1567" s="3">
        <f t="shared" si="99"/>
        <v>74101.655113765722</v>
      </c>
    </row>
    <row r="1568" spans="1:5" x14ac:dyDescent="0.3">
      <c r="A1568">
        <f t="shared" si="100"/>
        <v>15.659999999999711</v>
      </c>
      <c r="B1568">
        <f t="shared" si="100"/>
        <v>45.659999999997595</v>
      </c>
      <c r="C1568">
        <f t="shared" si="98"/>
        <v>7.8150488002903069E-4</v>
      </c>
      <c r="D1568">
        <f t="shared" si="101"/>
        <v>7.8150488002903069E-4</v>
      </c>
      <c r="E1568" s="3">
        <f t="shared" si="99"/>
        <v>74156.093548870223</v>
      </c>
    </row>
    <row r="1569" spans="1:5" x14ac:dyDescent="0.3">
      <c r="A1569">
        <f t="shared" si="100"/>
        <v>15.66999999999971</v>
      </c>
      <c r="B1569">
        <f t="shared" si="100"/>
        <v>45.669999999997593</v>
      </c>
      <c r="C1569">
        <f t="shared" si="98"/>
        <v>7.8216162792183429E-4</v>
      </c>
      <c r="D1569">
        <f t="shared" si="101"/>
        <v>7.8216162792183429E-4</v>
      </c>
      <c r="E1569" s="3">
        <f t="shared" si="99"/>
        <v>74210.554014899666</v>
      </c>
    </row>
    <row r="1570" spans="1:5" x14ac:dyDescent="0.3">
      <c r="A1570">
        <f t="shared" si="100"/>
        <v>15.67999999999971</v>
      </c>
      <c r="B1570">
        <f t="shared" si="100"/>
        <v>45.679999999997591</v>
      </c>
      <c r="C1570">
        <f t="shared" si="98"/>
        <v>7.828191439607573E-4</v>
      </c>
      <c r="D1570">
        <f t="shared" si="101"/>
        <v>7.828191439607573E-4</v>
      </c>
      <c r="E1570" s="3">
        <f t="shared" si="99"/>
        <v>74265.036521355083</v>
      </c>
    </row>
    <row r="1571" spans="1:5" x14ac:dyDescent="0.3">
      <c r="A1571">
        <f t="shared" si="100"/>
        <v>15.68999999999971</v>
      </c>
      <c r="B1571">
        <f t="shared" si="100"/>
        <v>45.689999999997589</v>
      </c>
      <c r="C1571">
        <f t="shared" si="98"/>
        <v>7.8347742904424022E-4</v>
      </c>
      <c r="D1571">
        <f t="shared" si="101"/>
        <v>7.8347742904424022E-4</v>
      </c>
      <c r="E1571" s="3">
        <f t="shared" si="99"/>
        <v>74319.541077742819</v>
      </c>
    </row>
    <row r="1572" spans="1:5" x14ac:dyDescent="0.3">
      <c r="A1572">
        <f t="shared" si="100"/>
        <v>15.69999999999971</v>
      </c>
      <c r="B1572">
        <f t="shared" si="100"/>
        <v>45.699999999997587</v>
      </c>
      <c r="C1572">
        <f t="shared" si="98"/>
        <v>7.8413648407177274E-4</v>
      </c>
      <c r="D1572">
        <f t="shared" si="101"/>
        <v>7.8413648407177274E-4</v>
      </c>
      <c r="E1572" s="3">
        <f t="shared" si="99"/>
        <v>74374.067693574587</v>
      </c>
    </row>
    <row r="1573" spans="1:5" x14ac:dyDescent="0.3">
      <c r="A1573">
        <f t="shared" si="100"/>
        <v>15.70999999999971</v>
      </c>
      <c r="B1573">
        <f t="shared" si="100"/>
        <v>45.709999999997585</v>
      </c>
      <c r="C1573">
        <f t="shared" si="98"/>
        <v>7.8479630994389806E-4</v>
      </c>
      <c r="D1573">
        <f t="shared" si="101"/>
        <v>7.8479630994389806E-4</v>
      </c>
      <c r="E1573" s="3">
        <f t="shared" si="99"/>
        <v>74428.616378367413</v>
      </c>
    </row>
    <row r="1574" spans="1:5" x14ac:dyDescent="0.3">
      <c r="A1574">
        <f t="shared" si="100"/>
        <v>15.719999999999709</v>
      </c>
      <c r="B1574">
        <f t="shared" si="100"/>
        <v>45.719999999997583</v>
      </c>
      <c r="C1574">
        <f t="shared" si="98"/>
        <v>7.8545690756221204E-4</v>
      </c>
      <c r="D1574">
        <f t="shared" si="101"/>
        <v>7.8545690756221204E-4</v>
      </c>
      <c r="E1574" s="3">
        <f t="shared" si="99"/>
        <v>74483.187141643677</v>
      </c>
    </row>
    <row r="1575" spans="1:5" x14ac:dyDescent="0.3">
      <c r="A1575">
        <f t="shared" si="100"/>
        <v>15.729999999999709</v>
      </c>
      <c r="B1575">
        <f t="shared" si="100"/>
        <v>45.729999999997581</v>
      </c>
      <c r="C1575">
        <f t="shared" si="98"/>
        <v>7.8611827782936535E-4</v>
      </c>
      <c r="D1575">
        <f t="shared" si="101"/>
        <v>7.8611827782936535E-4</v>
      </c>
      <c r="E1575" s="3">
        <f t="shared" si="99"/>
        <v>74537.779992931144</v>
      </c>
    </row>
    <row r="1576" spans="1:5" x14ac:dyDescent="0.3">
      <c r="A1576">
        <f t="shared" si="100"/>
        <v>15.739999999999709</v>
      </c>
      <c r="B1576">
        <f t="shared" si="100"/>
        <v>45.739999999997579</v>
      </c>
      <c r="C1576">
        <f t="shared" si="98"/>
        <v>7.8678042164906478E-4</v>
      </c>
      <c r="D1576">
        <f t="shared" si="101"/>
        <v>7.8678042164906478E-4</v>
      </c>
      <c r="E1576" s="3">
        <f t="shared" si="99"/>
        <v>74592.39494176289</v>
      </c>
    </row>
    <row r="1577" spans="1:5" x14ac:dyDescent="0.3">
      <c r="A1577">
        <f t="shared" si="100"/>
        <v>15.749999999999709</v>
      </c>
      <c r="B1577">
        <f t="shared" si="100"/>
        <v>45.749999999997577</v>
      </c>
      <c r="C1577">
        <f t="shared" si="98"/>
        <v>7.8744333992607262E-4</v>
      </c>
      <c r="D1577">
        <f t="shared" si="101"/>
        <v>7.8744333992607262E-4</v>
      </c>
      <c r="E1577" s="3">
        <f t="shared" si="99"/>
        <v>74647.03199767739</v>
      </c>
    </row>
    <row r="1578" spans="1:5" x14ac:dyDescent="0.3">
      <c r="A1578">
        <f t="shared" si="100"/>
        <v>15.759999999999708</v>
      </c>
      <c r="B1578">
        <f t="shared" si="100"/>
        <v>45.759999999997575</v>
      </c>
      <c r="C1578">
        <f t="shared" si="98"/>
        <v>7.8810703356621081E-4</v>
      </c>
      <c r="D1578">
        <f t="shared" si="101"/>
        <v>7.8810703356621081E-4</v>
      </c>
      <c r="E1578" s="3">
        <f t="shared" si="99"/>
        <v>74701.691170218459</v>
      </c>
    </row>
    <row r="1579" spans="1:5" x14ac:dyDescent="0.3">
      <c r="A1579">
        <f t="shared" si="100"/>
        <v>15.769999999999708</v>
      </c>
      <c r="B1579">
        <f t="shared" si="100"/>
        <v>45.769999999997573</v>
      </c>
      <c r="C1579">
        <f t="shared" si="98"/>
        <v>7.887715034763605E-4</v>
      </c>
      <c r="D1579">
        <f t="shared" si="101"/>
        <v>7.887715034763605E-4</v>
      </c>
      <c r="E1579" s="3">
        <f t="shared" si="99"/>
        <v>74756.372468935282</v>
      </c>
    </row>
    <row r="1580" spans="1:5" x14ac:dyDescent="0.3">
      <c r="A1580">
        <f t="shared" si="100"/>
        <v>15.779999999999708</v>
      </c>
      <c r="B1580">
        <f t="shared" si="100"/>
        <v>45.779999999997571</v>
      </c>
      <c r="C1580">
        <f t="shared" si="98"/>
        <v>7.8943675056446325E-4</v>
      </c>
      <c r="D1580">
        <f t="shared" si="101"/>
        <v>7.8943675056446325E-4</v>
      </c>
      <c r="E1580" s="3">
        <f t="shared" si="99"/>
        <v>74811.075903382443</v>
      </c>
    </row>
    <row r="1581" spans="1:5" x14ac:dyDescent="0.3">
      <c r="A1581">
        <f t="shared" si="100"/>
        <v>15.789999999999708</v>
      </c>
      <c r="B1581">
        <f t="shared" si="100"/>
        <v>45.789999999997569</v>
      </c>
      <c r="C1581">
        <f t="shared" si="98"/>
        <v>7.9010277573952328E-4</v>
      </c>
      <c r="D1581">
        <f t="shared" si="101"/>
        <v>7.9010277573952328E-4</v>
      </c>
      <c r="E1581" s="3">
        <f t="shared" si="99"/>
        <v>74865.801483119911</v>
      </c>
    </row>
    <row r="1582" spans="1:5" x14ac:dyDescent="0.3">
      <c r="A1582">
        <f t="shared" si="100"/>
        <v>15.799999999999708</v>
      </c>
      <c r="B1582">
        <f t="shared" si="100"/>
        <v>45.799999999997567</v>
      </c>
      <c r="C1582">
        <f t="shared" si="98"/>
        <v>7.9076957991160634E-4</v>
      </c>
      <c r="D1582">
        <f t="shared" si="101"/>
        <v>7.9076957991160634E-4</v>
      </c>
      <c r="E1582" s="3">
        <f t="shared" si="99"/>
        <v>74920.549217713022</v>
      </c>
    </row>
    <row r="1583" spans="1:5" x14ac:dyDescent="0.3">
      <c r="A1583">
        <f t="shared" si="100"/>
        <v>15.809999999999707</v>
      </c>
      <c r="B1583">
        <f t="shared" si="100"/>
        <v>45.809999999997565</v>
      </c>
      <c r="C1583">
        <f t="shared" si="98"/>
        <v>7.9143716399184439E-4</v>
      </c>
      <c r="D1583">
        <f t="shared" si="101"/>
        <v>7.9143716399184439E-4</v>
      </c>
      <c r="E1583" s="3">
        <f t="shared" si="99"/>
        <v>74975.319116732513</v>
      </c>
    </row>
    <row r="1584" spans="1:5" x14ac:dyDescent="0.3">
      <c r="A1584">
        <f t="shared" si="100"/>
        <v>15.819999999999707</v>
      </c>
      <c r="B1584">
        <f t="shared" si="100"/>
        <v>45.819999999997563</v>
      </c>
      <c r="C1584">
        <f t="shared" si="98"/>
        <v>7.9210552889243406E-4</v>
      </c>
      <c r="D1584">
        <f t="shared" si="101"/>
        <v>7.9210552889243406E-4</v>
      </c>
      <c r="E1584" s="3">
        <f t="shared" si="99"/>
        <v>75030.11118975452</v>
      </c>
    </row>
    <row r="1585" spans="1:5" x14ac:dyDescent="0.3">
      <c r="A1585">
        <f t="shared" si="100"/>
        <v>15.829999999999707</v>
      </c>
      <c r="B1585">
        <f t="shared" si="100"/>
        <v>45.829999999997561</v>
      </c>
      <c r="C1585">
        <f t="shared" si="98"/>
        <v>7.9277467552663951E-4</v>
      </c>
      <c r="D1585">
        <f t="shared" si="101"/>
        <v>7.9277467552663951E-4</v>
      </c>
      <c r="E1585" s="3">
        <f t="shared" si="99"/>
        <v>75084.925446360605</v>
      </c>
    </row>
    <row r="1586" spans="1:5" x14ac:dyDescent="0.3">
      <c r="A1586">
        <f t="shared" si="100"/>
        <v>15.839999999999707</v>
      </c>
      <c r="B1586">
        <f t="shared" si="100"/>
        <v>45.839999999997559</v>
      </c>
      <c r="C1586">
        <f t="shared" si="98"/>
        <v>7.9344460480879325E-4</v>
      </c>
      <c r="D1586">
        <f t="shared" si="101"/>
        <v>7.9344460480879325E-4</v>
      </c>
      <c r="E1586" s="3">
        <f t="shared" si="99"/>
        <v>75139.761896137687</v>
      </c>
    </row>
    <row r="1587" spans="1:5" x14ac:dyDescent="0.3">
      <c r="A1587">
        <f t="shared" si="100"/>
        <v>15.849999999999707</v>
      </c>
      <c r="B1587">
        <f t="shared" si="100"/>
        <v>45.849999999997557</v>
      </c>
      <c r="C1587">
        <f t="shared" si="98"/>
        <v>7.9411531765429563E-4</v>
      </c>
      <c r="D1587">
        <f t="shared" si="101"/>
        <v>7.9411531765429563E-4</v>
      </c>
      <c r="E1587" s="3">
        <f t="shared" si="99"/>
        <v>75194.620548678169</v>
      </c>
    </row>
    <row r="1588" spans="1:5" x14ac:dyDescent="0.3">
      <c r="A1588">
        <f t="shared" si="100"/>
        <v>15.859999999999706</v>
      </c>
      <c r="B1588">
        <f t="shared" si="100"/>
        <v>45.859999999997555</v>
      </c>
      <c r="C1588">
        <f t="shared" si="98"/>
        <v>7.9478681497961929E-4</v>
      </c>
      <c r="D1588">
        <f t="shared" si="101"/>
        <v>7.9478681497961929E-4</v>
      </c>
      <c r="E1588" s="3">
        <f t="shared" si="99"/>
        <v>75249.501413579826</v>
      </c>
    </row>
    <row r="1589" spans="1:5" x14ac:dyDescent="0.3">
      <c r="A1589">
        <f t="shared" si="100"/>
        <v>15.869999999999706</v>
      </c>
      <c r="B1589">
        <f t="shared" si="100"/>
        <v>45.869999999997553</v>
      </c>
      <c r="C1589">
        <f t="shared" si="98"/>
        <v>7.9545909770230836E-4</v>
      </c>
      <c r="D1589">
        <f t="shared" si="101"/>
        <v>7.9545909770230836E-4</v>
      </c>
      <c r="E1589" s="3">
        <f t="shared" si="99"/>
        <v>75304.404500445846</v>
      </c>
    </row>
    <row r="1590" spans="1:5" x14ac:dyDescent="0.3">
      <c r="A1590">
        <f t="shared" si="100"/>
        <v>15.879999999999706</v>
      </c>
      <c r="B1590">
        <f t="shared" si="100"/>
        <v>45.879999999997551</v>
      </c>
      <c r="C1590">
        <f t="shared" si="98"/>
        <v>7.9613216674098014E-4</v>
      </c>
      <c r="D1590">
        <f t="shared" si="101"/>
        <v>7.9613216674098014E-4</v>
      </c>
      <c r="E1590" s="3">
        <f t="shared" si="99"/>
        <v>75359.329818884886</v>
      </c>
    </row>
    <row r="1591" spans="1:5" x14ac:dyDescent="0.3">
      <c r="A1591">
        <f t="shared" si="100"/>
        <v>15.889999999999706</v>
      </c>
      <c r="B1591">
        <f t="shared" si="100"/>
        <v>45.889999999997549</v>
      </c>
      <c r="C1591">
        <f t="shared" si="98"/>
        <v>7.9680602301532668E-4</v>
      </c>
      <c r="D1591">
        <f t="shared" si="101"/>
        <v>7.9680602301532668E-4</v>
      </c>
      <c r="E1591" s="3">
        <f t="shared" si="99"/>
        <v>75414.277378511033</v>
      </c>
    </row>
    <row r="1592" spans="1:5" x14ac:dyDescent="0.3">
      <c r="A1592">
        <f t="shared" si="100"/>
        <v>15.899999999999705</v>
      </c>
      <c r="B1592">
        <f t="shared" si="100"/>
        <v>45.899999999997547</v>
      </c>
      <c r="C1592">
        <f t="shared" si="98"/>
        <v>7.9748066744611437E-4</v>
      </c>
      <c r="D1592">
        <f t="shared" si="101"/>
        <v>7.9748066744611437E-4</v>
      </c>
      <c r="E1592" s="3">
        <f t="shared" si="99"/>
        <v>75469.247188943773</v>
      </c>
    </row>
    <row r="1593" spans="1:5" x14ac:dyDescent="0.3">
      <c r="A1593">
        <f t="shared" si="100"/>
        <v>15.909999999999705</v>
      </c>
      <c r="B1593">
        <f t="shared" si="100"/>
        <v>45.909999999997545</v>
      </c>
      <c r="C1593">
        <f t="shared" si="98"/>
        <v>7.9815610095518806E-4</v>
      </c>
      <c r="D1593">
        <f t="shared" si="101"/>
        <v>7.9815610095518806E-4</v>
      </c>
      <c r="E1593" s="3">
        <f t="shared" si="99"/>
        <v>75524.239259808091</v>
      </c>
    </row>
    <row r="1594" spans="1:5" x14ac:dyDescent="0.3">
      <c r="A1594">
        <f t="shared" si="100"/>
        <v>15.919999999999705</v>
      </c>
      <c r="B1594">
        <f t="shared" si="100"/>
        <v>45.919999999997543</v>
      </c>
      <c r="C1594">
        <f t="shared" si="98"/>
        <v>7.988323244654703E-4</v>
      </c>
      <c r="D1594">
        <f t="shared" si="101"/>
        <v>7.988323244654703E-4</v>
      </c>
      <c r="E1594" s="3">
        <f t="shared" si="99"/>
        <v>75579.253600734402</v>
      </c>
    </row>
    <row r="1595" spans="1:5" x14ac:dyDescent="0.3">
      <c r="A1595">
        <f t="shared" si="100"/>
        <v>15.929999999999705</v>
      </c>
      <c r="B1595">
        <f t="shared" si="100"/>
        <v>45.929999999997541</v>
      </c>
      <c r="C1595">
        <f t="shared" si="98"/>
        <v>7.9950933890096307E-4</v>
      </c>
      <c r="D1595">
        <f t="shared" si="101"/>
        <v>7.9950933890096307E-4</v>
      </c>
      <c r="E1595" s="3">
        <f t="shared" si="99"/>
        <v>75634.290221358577</v>
      </c>
    </row>
    <row r="1596" spans="1:5" x14ac:dyDescent="0.3">
      <c r="A1596">
        <f t="shared" si="100"/>
        <v>15.939999999999705</v>
      </c>
      <c r="B1596">
        <f t="shared" si="100"/>
        <v>45.939999999997539</v>
      </c>
      <c r="C1596">
        <f t="shared" si="98"/>
        <v>8.0018714518674951E-4</v>
      </c>
      <c r="D1596">
        <f t="shared" si="101"/>
        <v>8.0018714518674951E-4</v>
      </c>
      <c r="E1596" s="3">
        <f t="shared" si="99"/>
        <v>75689.349131321957</v>
      </c>
    </row>
    <row r="1597" spans="1:5" x14ac:dyDescent="0.3">
      <c r="A1597">
        <f t="shared" si="100"/>
        <v>15.949999999999704</v>
      </c>
      <c r="B1597">
        <f t="shared" si="100"/>
        <v>45.949999999997537</v>
      </c>
      <c r="C1597">
        <f t="shared" si="98"/>
        <v>8.0086574424899349E-4</v>
      </c>
      <c r="D1597">
        <f t="shared" si="101"/>
        <v>8.0086574424899349E-4</v>
      </c>
      <c r="E1597" s="3">
        <f t="shared" si="99"/>
        <v>75744.430340271327</v>
      </c>
    </row>
    <row r="1598" spans="1:5" x14ac:dyDescent="0.3">
      <c r="A1598">
        <f t="shared" si="100"/>
        <v>15.959999999999704</v>
      </c>
      <c r="B1598">
        <f t="shared" si="100"/>
        <v>45.959999999997535</v>
      </c>
      <c r="C1598">
        <f t="shared" si="98"/>
        <v>8.0154513701494341E-4</v>
      </c>
      <c r="D1598">
        <f t="shared" si="101"/>
        <v>8.0154513701494341E-4</v>
      </c>
      <c r="E1598" s="3">
        <f t="shared" si="99"/>
        <v>75799.533857858958</v>
      </c>
    </row>
    <row r="1599" spans="1:5" x14ac:dyDescent="0.3">
      <c r="A1599">
        <f t="shared" si="100"/>
        <v>15.969999999999704</v>
      </c>
      <c r="B1599">
        <f t="shared" si="100"/>
        <v>45.969999999997533</v>
      </c>
      <c r="C1599">
        <f t="shared" si="98"/>
        <v>8.0222532441293179E-4</v>
      </c>
      <c r="D1599">
        <f t="shared" si="101"/>
        <v>8.0222532441293179E-4</v>
      </c>
      <c r="E1599" s="3">
        <f t="shared" si="99"/>
        <v>75854.659693742607</v>
      </c>
    </row>
    <row r="1600" spans="1:5" x14ac:dyDescent="0.3">
      <c r="A1600">
        <f t="shared" si="100"/>
        <v>15.979999999999704</v>
      </c>
      <c r="B1600">
        <f t="shared" si="100"/>
        <v>45.979999999997531</v>
      </c>
      <c r="C1600">
        <f t="shared" si="98"/>
        <v>8.0290630737237683E-4</v>
      </c>
      <c r="D1600">
        <f t="shared" si="101"/>
        <v>8.0290630737237683E-4</v>
      </c>
      <c r="E1600" s="3">
        <f t="shared" si="99"/>
        <v>75909.807857585503</v>
      </c>
    </row>
    <row r="1601" spans="1:5" x14ac:dyDescent="0.3">
      <c r="A1601">
        <f t="shared" si="100"/>
        <v>15.989999999999704</v>
      </c>
      <c r="B1601">
        <f t="shared" si="100"/>
        <v>45.989999999997529</v>
      </c>
      <c r="C1601">
        <f t="shared" si="98"/>
        <v>8.0358808682378464E-4</v>
      </c>
      <c r="D1601">
        <f t="shared" si="101"/>
        <v>8.0358808682378464E-4</v>
      </c>
      <c r="E1601" s="3">
        <f t="shared" si="99"/>
        <v>75964.97835905636</v>
      </c>
    </row>
    <row r="1602" spans="1:5" x14ac:dyDescent="0.3">
      <c r="A1602">
        <f t="shared" si="100"/>
        <v>15.999999999999703</v>
      </c>
      <c r="B1602">
        <f t="shared" si="100"/>
        <v>45.999999999997527</v>
      </c>
      <c r="C1602">
        <f t="shared" si="98"/>
        <v>8.0427066369874781E-4</v>
      </c>
      <c r="D1602">
        <f t="shared" si="101"/>
        <v>8.0427066369874781E-4</v>
      </c>
      <c r="E1602" s="3">
        <f t="shared" si="99"/>
        <v>76020.171207829408</v>
      </c>
    </row>
    <row r="1603" spans="1:5" x14ac:dyDescent="0.3">
      <c r="A1603">
        <f t="shared" si="100"/>
        <v>16.009999999999703</v>
      </c>
      <c r="B1603">
        <f t="shared" si="100"/>
        <v>46.009999999997525</v>
      </c>
      <c r="C1603">
        <f t="shared" ref="C1603:C1666" si="102">$N$2 + $N$3*$N$4^(B1603)</f>
        <v>8.0495403892995006E-4</v>
      </c>
      <c r="D1603">
        <f t="shared" si="101"/>
        <v>8.0495403892995006E-4</v>
      </c>
      <c r="E1603" s="3">
        <f t="shared" ref="E1603:E1666" si="103">IF(ROUND(A1603, 2)=$N$10,$N$6,(E1604-$N$5*($N$7-$N$8-($N$6+$N$9)*D1603))/(1+$N$5*$N$11+$N$5*D1603))</f>
        <v>76075.386413584361</v>
      </c>
    </row>
    <row r="1604" spans="1:5" x14ac:dyDescent="0.3">
      <c r="A1604">
        <f t="shared" ref="A1604:B1667" si="104">A1603+$N$5</f>
        <v>16.019999999999705</v>
      </c>
      <c r="B1604">
        <f t="shared" si="104"/>
        <v>46.019999999997523</v>
      </c>
      <c r="C1604">
        <f t="shared" si="102"/>
        <v>8.0563821345116594E-4</v>
      </c>
      <c r="D1604">
        <f t="shared" si="101"/>
        <v>8.0563821345116594E-4</v>
      </c>
      <c r="E1604" s="3">
        <f t="shared" si="103"/>
        <v>76130.623986006438</v>
      </c>
    </row>
    <row r="1605" spans="1:5" x14ac:dyDescent="0.3">
      <c r="A1605">
        <f t="shared" si="104"/>
        <v>16.029999999999706</v>
      </c>
      <c r="B1605">
        <f t="shared" si="104"/>
        <v>46.029999999997521</v>
      </c>
      <c r="C1605">
        <f t="shared" si="102"/>
        <v>8.0632318819726144E-4</v>
      </c>
      <c r="D1605">
        <f t="shared" si="101"/>
        <v>8.0632318819726144E-4</v>
      </c>
      <c r="E1605" s="3">
        <f t="shared" si="103"/>
        <v>76185.883934786354</v>
      </c>
    </row>
    <row r="1606" spans="1:5" x14ac:dyDescent="0.3">
      <c r="A1606">
        <f t="shared" si="104"/>
        <v>16.039999999999708</v>
      </c>
      <c r="B1606">
        <f t="shared" si="104"/>
        <v>46.039999999997519</v>
      </c>
      <c r="C1606">
        <f t="shared" si="102"/>
        <v>8.0700896410419709E-4</v>
      </c>
      <c r="D1606">
        <f t="shared" si="101"/>
        <v>8.0700896410419709E-4</v>
      </c>
      <c r="E1606" s="3">
        <f t="shared" si="103"/>
        <v>76241.166269620371</v>
      </c>
    </row>
    <row r="1607" spans="1:5" x14ac:dyDescent="0.3">
      <c r="A1607">
        <f t="shared" si="104"/>
        <v>16.049999999999709</v>
      </c>
      <c r="B1607">
        <f t="shared" si="104"/>
        <v>46.049999999997517</v>
      </c>
      <c r="C1607">
        <f t="shared" si="102"/>
        <v>8.0769554210902638E-4</v>
      </c>
      <c r="D1607">
        <f t="shared" si="101"/>
        <v>8.0769554210902638E-4</v>
      </c>
      <c r="E1607" s="3">
        <f t="shared" si="103"/>
        <v>76296.471000210237</v>
      </c>
    </row>
    <row r="1608" spans="1:5" x14ac:dyDescent="0.3">
      <c r="A1608">
        <f t="shared" si="104"/>
        <v>16.059999999999711</v>
      </c>
      <c r="B1608">
        <f t="shared" si="104"/>
        <v>46.059999999997515</v>
      </c>
      <c r="C1608">
        <f t="shared" si="102"/>
        <v>8.0838292314990023E-4</v>
      </c>
      <c r="D1608">
        <f t="shared" si="101"/>
        <v>8.0838292314990023E-4</v>
      </c>
      <c r="E1608" s="3">
        <f t="shared" si="103"/>
        <v>76351.798136263271</v>
      </c>
    </row>
    <row r="1609" spans="1:5" x14ac:dyDescent="0.3">
      <c r="A1609">
        <f t="shared" si="104"/>
        <v>16.069999999999713</v>
      </c>
      <c r="B1609">
        <f t="shared" si="104"/>
        <v>46.069999999997513</v>
      </c>
      <c r="C1609">
        <f t="shared" si="102"/>
        <v>8.0907110816606667E-4</v>
      </c>
      <c r="D1609">
        <f t="shared" si="101"/>
        <v>8.0907110816606667E-4</v>
      </c>
      <c r="E1609" s="3">
        <f t="shared" si="103"/>
        <v>76407.147687492281</v>
      </c>
    </row>
    <row r="1610" spans="1:5" x14ac:dyDescent="0.3">
      <c r="A1610">
        <f t="shared" si="104"/>
        <v>16.079999999999714</v>
      </c>
      <c r="B1610">
        <f t="shared" si="104"/>
        <v>46.079999999997511</v>
      </c>
      <c r="C1610">
        <f t="shared" si="102"/>
        <v>8.0976009809787192E-4</v>
      </c>
      <c r="D1610">
        <f t="shared" si="101"/>
        <v>8.0976009809787192E-4</v>
      </c>
      <c r="E1610" s="3">
        <f t="shared" si="103"/>
        <v>76462.519663615632</v>
      </c>
    </row>
    <row r="1611" spans="1:5" x14ac:dyDescent="0.3">
      <c r="A1611">
        <f t="shared" si="104"/>
        <v>16.089999999999716</v>
      </c>
      <c r="B1611">
        <f t="shared" si="104"/>
        <v>46.089999999997509</v>
      </c>
      <c r="C1611">
        <f t="shared" si="102"/>
        <v>8.1044989388676266E-4</v>
      </c>
      <c r="D1611">
        <f t="shared" si="101"/>
        <v>8.1044989388676266E-4</v>
      </c>
      <c r="E1611" s="3">
        <f t="shared" si="103"/>
        <v>76517.914074357221</v>
      </c>
    </row>
    <row r="1612" spans="1:5" x14ac:dyDescent="0.3">
      <c r="A1612">
        <f t="shared" si="104"/>
        <v>16.099999999999717</v>
      </c>
      <c r="B1612">
        <f t="shared" si="104"/>
        <v>46.099999999997507</v>
      </c>
      <c r="C1612">
        <f t="shared" si="102"/>
        <v>8.1114049647528549E-4</v>
      </c>
      <c r="D1612">
        <f t="shared" si="101"/>
        <v>8.1114049647528549E-4</v>
      </c>
      <c r="E1612" s="3">
        <f t="shared" si="103"/>
        <v>76573.330929446485</v>
      </c>
    </row>
    <row r="1613" spans="1:5" x14ac:dyDescent="0.3">
      <c r="A1613">
        <f t="shared" si="104"/>
        <v>16.109999999999719</v>
      </c>
      <c r="B1613">
        <f t="shared" si="104"/>
        <v>46.109999999997505</v>
      </c>
      <c r="C1613">
        <f t="shared" si="102"/>
        <v>8.1183190680709041E-4</v>
      </c>
      <c r="D1613">
        <f t="shared" si="101"/>
        <v>8.1183190680709041E-4</v>
      </c>
      <c r="E1613" s="3">
        <f t="shared" si="103"/>
        <v>76628.770238618468</v>
      </c>
    </row>
    <row r="1614" spans="1:5" x14ac:dyDescent="0.3">
      <c r="A1614">
        <f t="shared" si="104"/>
        <v>16.11999999999972</v>
      </c>
      <c r="B1614">
        <f t="shared" si="104"/>
        <v>46.119999999997503</v>
      </c>
      <c r="C1614">
        <f t="shared" si="102"/>
        <v>8.1252412582693114E-4</v>
      </c>
      <c r="D1614">
        <f t="shared" si="101"/>
        <v>8.1252412582693114E-4</v>
      </c>
      <c r="E1614" s="3">
        <f t="shared" si="103"/>
        <v>76684.232011613698</v>
      </c>
    </row>
    <row r="1615" spans="1:5" x14ac:dyDescent="0.3">
      <c r="A1615">
        <f t="shared" si="104"/>
        <v>16.129999999999722</v>
      </c>
      <c r="B1615">
        <f t="shared" si="104"/>
        <v>46.129999999997501</v>
      </c>
      <c r="C1615">
        <f t="shared" si="102"/>
        <v>8.1321715448066608E-4</v>
      </c>
      <c r="D1615">
        <f t="shared" si="101"/>
        <v>8.1321715448066608E-4</v>
      </c>
      <c r="E1615" s="3">
        <f t="shared" si="103"/>
        <v>76739.71625817832</v>
      </c>
    </row>
    <row r="1616" spans="1:5" x14ac:dyDescent="0.3">
      <c r="A1616">
        <f t="shared" si="104"/>
        <v>16.139999999999723</v>
      </c>
      <c r="B1616">
        <f t="shared" si="104"/>
        <v>46.139999999997499</v>
      </c>
      <c r="C1616">
        <f t="shared" si="102"/>
        <v>8.1391099371526051E-4</v>
      </c>
      <c r="D1616">
        <f t="shared" si="101"/>
        <v>8.1391099371526051E-4</v>
      </c>
      <c r="E1616" s="3">
        <f t="shared" si="103"/>
        <v>76795.222988064008</v>
      </c>
    </row>
    <row r="1617" spans="1:5" x14ac:dyDescent="0.3">
      <c r="A1617">
        <f t="shared" si="104"/>
        <v>16.149999999999725</v>
      </c>
      <c r="B1617">
        <f t="shared" si="104"/>
        <v>46.149999999997497</v>
      </c>
      <c r="C1617">
        <f t="shared" si="102"/>
        <v>8.1460564447878581E-4</v>
      </c>
      <c r="D1617">
        <f t="shared" si="101"/>
        <v>8.1460564447878581E-4</v>
      </c>
      <c r="E1617" s="3">
        <f t="shared" si="103"/>
        <v>76850.752211028055</v>
      </c>
    </row>
    <row r="1618" spans="1:5" x14ac:dyDescent="0.3">
      <c r="A1618">
        <f t="shared" si="104"/>
        <v>16.159999999999727</v>
      </c>
      <c r="B1618">
        <f t="shared" si="104"/>
        <v>46.159999999997495</v>
      </c>
      <c r="C1618">
        <f t="shared" si="102"/>
        <v>8.1530110772042377E-4</v>
      </c>
      <c r="D1618">
        <f t="shared" si="101"/>
        <v>8.1530110772042377E-4</v>
      </c>
      <c r="E1618" s="3">
        <f t="shared" si="103"/>
        <v>76906.303936833312</v>
      </c>
    </row>
    <row r="1619" spans="1:5" x14ac:dyDescent="0.3">
      <c r="A1619">
        <f t="shared" si="104"/>
        <v>16.169999999999728</v>
      </c>
      <c r="B1619">
        <f t="shared" si="104"/>
        <v>46.169999999997493</v>
      </c>
      <c r="C1619">
        <f t="shared" si="102"/>
        <v>8.159973843904658E-4</v>
      </c>
      <c r="D1619">
        <f t="shared" si="101"/>
        <v>8.159973843904658E-4</v>
      </c>
      <c r="E1619" s="3">
        <f t="shared" si="103"/>
        <v>76961.878175248217</v>
      </c>
    </row>
    <row r="1620" spans="1:5" x14ac:dyDescent="0.3">
      <c r="A1620">
        <f t="shared" si="104"/>
        <v>16.17999999999973</v>
      </c>
      <c r="B1620">
        <f t="shared" si="104"/>
        <v>46.179999999997491</v>
      </c>
      <c r="C1620">
        <f t="shared" si="102"/>
        <v>8.1669447544031502E-4</v>
      </c>
      <c r="D1620">
        <f t="shared" si="101"/>
        <v>8.1669447544031502E-4</v>
      </c>
      <c r="E1620" s="3">
        <f t="shared" si="103"/>
        <v>77017.474936046812</v>
      </c>
    </row>
    <row r="1621" spans="1:5" x14ac:dyDescent="0.3">
      <c r="A1621">
        <f t="shared" si="104"/>
        <v>16.189999999999731</v>
      </c>
      <c r="B1621">
        <f t="shared" si="104"/>
        <v>46.18999999999749</v>
      </c>
      <c r="C1621">
        <f t="shared" si="102"/>
        <v>8.1739238182248694E-4</v>
      </c>
      <c r="D1621">
        <f t="shared" si="101"/>
        <v>8.1739238182248694E-4</v>
      </c>
      <c r="E1621" s="3">
        <f t="shared" si="103"/>
        <v>77073.094229008726</v>
      </c>
    </row>
    <row r="1622" spans="1:5" x14ac:dyDescent="0.3">
      <c r="A1622">
        <f t="shared" si="104"/>
        <v>16.199999999999733</v>
      </c>
      <c r="B1622">
        <f t="shared" si="104"/>
        <v>46.199999999997488</v>
      </c>
      <c r="C1622">
        <f t="shared" si="102"/>
        <v>8.1809110449061198E-4</v>
      </c>
      <c r="D1622">
        <f t="shared" si="101"/>
        <v>8.1809110449061198E-4</v>
      </c>
      <c r="E1622" s="3">
        <f t="shared" si="103"/>
        <v>77128.736063919161</v>
      </c>
    </row>
    <row r="1623" spans="1:5" x14ac:dyDescent="0.3">
      <c r="A1623">
        <f t="shared" si="104"/>
        <v>16.209999999999734</v>
      </c>
      <c r="B1623">
        <f t="shared" si="104"/>
        <v>46.209999999997486</v>
      </c>
      <c r="C1623">
        <f t="shared" si="102"/>
        <v>8.1879064439943422E-4</v>
      </c>
      <c r="D1623">
        <f t="shared" ref="D1623:D1686" si="105">IF(A1623&lt;=2, (0.9)^(2-A1623)*C1623, C1623)</f>
        <v>8.1879064439943422E-4</v>
      </c>
      <c r="E1623" s="3">
        <f t="shared" si="103"/>
        <v>77184.400450568966</v>
      </c>
    </row>
    <row r="1624" spans="1:5" x14ac:dyDescent="0.3">
      <c r="A1624">
        <f t="shared" si="104"/>
        <v>16.219999999999736</v>
      </c>
      <c r="B1624">
        <f t="shared" si="104"/>
        <v>46.219999999997484</v>
      </c>
      <c r="C1624">
        <f t="shared" si="102"/>
        <v>8.1949100250481601E-4</v>
      </c>
      <c r="D1624">
        <f t="shared" si="105"/>
        <v>8.1949100250481601E-4</v>
      </c>
      <c r="E1624" s="3">
        <f t="shared" si="103"/>
        <v>77240.087398754622</v>
      </c>
    </row>
    <row r="1625" spans="1:5" x14ac:dyDescent="0.3">
      <c r="A1625">
        <f t="shared" si="104"/>
        <v>16.229999999999738</v>
      </c>
      <c r="B1625">
        <f t="shared" si="104"/>
        <v>46.229999999997482</v>
      </c>
      <c r="C1625">
        <f t="shared" si="102"/>
        <v>8.201921797637375E-4</v>
      </c>
      <c r="D1625">
        <f t="shared" si="105"/>
        <v>8.201921797637375E-4</v>
      </c>
      <c r="E1625" s="3">
        <f t="shared" si="103"/>
        <v>77295.796918278167</v>
      </c>
    </row>
    <row r="1626" spans="1:5" x14ac:dyDescent="0.3">
      <c r="A1626">
        <f t="shared" si="104"/>
        <v>16.239999999999739</v>
      </c>
      <c r="B1626">
        <f t="shared" si="104"/>
        <v>46.23999999999748</v>
      </c>
      <c r="C1626">
        <f t="shared" si="102"/>
        <v>8.2089417713429743E-4</v>
      </c>
      <c r="D1626">
        <f t="shared" si="105"/>
        <v>8.2089417713429743E-4</v>
      </c>
      <c r="E1626" s="3">
        <f t="shared" si="103"/>
        <v>77351.529018947331</v>
      </c>
    </row>
    <row r="1627" spans="1:5" x14ac:dyDescent="0.3">
      <c r="A1627">
        <f t="shared" si="104"/>
        <v>16.249999999999741</v>
      </c>
      <c r="B1627">
        <f t="shared" si="104"/>
        <v>46.249999999997478</v>
      </c>
      <c r="C1627">
        <f t="shared" si="102"/>
        <v>8.2159699557571644E-4</v>
      </c>
      <c r="D1627">
        <f t="shared" si="105"/>
        <v>8.2159699557571644E-4</v>
      </c>
      <c r="E1627" s="3">
        <f t="shared" si="103"/>
        <v>77407.28371057543</v>
      </c>
    </row>
    <row r="1628" spans="1:5" x14ac:dyDescent="0.3">
      <c r="A1628">
        <f t="shared" si="104"/>
        <v>16.259999999999742</v>
      </c>
      <c r="B1628">
        <f t="shared" si="104"/>
        <v>46.259999999997476</v>
      </c>
      <c r="C1628">
        <f t="shared" si="102"/>
        <v>8.2230063604833508E-4</v>
      </c>
      <c r="D1628">
        <f t="shared" si="105"/>
        <v>8.2230063604833508E-4</v>
      </c>
      <c r="E1628" s="3">
        <f t="shared" si="103"/>
        <v>77463.061002981398</v>
      </c>
    </row>
    <row r="1629" spans="1:5" x14ac:dyDescent="0.3">
      <c r="A1629">
        <f t="shared" si="104"/>
        <v>16.269999999999744</v>
      </c>
      <c r="B1629">
        <f t="shared" si="104"/>
        <v>46.269999999997474</v>
      </c>
      <c r="C1629">
        <f t="shared" si="102"/>
        <v>8.2300509951361883E-4</v>
      </c>
      <c r="D1629">
        <f t="shared" si="105"/>
        <v>8.2300509951361883E-4</v>
      </c>
      <c r="E1629" s="3">
        <f t="shared" si="103"/>
        <v>77518.860905989874</v>
      </c>
    </row>
    <row r="1630" spans="1:5" x14ac:dyDescent="0.3">
      <c r="A1630">
        <f t="shared" si="104"/>
        <v>16.279999999999745</v>
      </c>
      <c r="B1630">
        <f t="shared" si="104"/>
        <v>46.279999999997472</v>
      </c>
      <c r="C1630">
        <f t="shared" si="102"/>
        <v>8.2371038693415709E-4</v>
      </c>
      <c r="D1630">
        <f t="shared" si="105"/>
        <v>8.2371038693415709E-4</v>
      </c>
      <c r="E1630" s="3">
        <f t="shared" si="103"/>
        <v>77574.683429431083</v>
      </c>
    </row>
    <row r="1631" spans="1:5" x14ac:dyDescent="0.3">
      <c r="A1631">
        <f t="shared" si="104"/>
        <v>16.289999999999747</v>
      </c>
      <c r="B1631">
        <f t="shared" si="104"/>
        <v>46.28999999999747</v>
      </c>
      <c r="C1631">
        <f t="shared" si="102"/>
        <v>8.244164992736655E-4</v>
      </c>
      <c r="D1631">
        <f t="shared" si="105"/>
        <v>8.244164992736655E-4</v>
      </c>
      <c r="E1631" s="3">
        <f t="shared" si="103"/>
        <v>77630.528583140971</v>
      </c>
    </row>
    <row r="1632" spans="1:5" x14ac:dyDescent="0.3">
      <c r="A1632">
        <f t="shared" si="104"/>
        <v>16.299999999999748</v>
      </c>
      <c r="B1632">
        <f t="shared" si="104"/>
        <v>46.299999999997468</v>
      </c>
      <c r="C1632">
        <f t="shared" si="102"/>
        <v>8.2512343749698675E-4</v>
      </c>
      <c r="D1632">
        <f t="shared" si="105"/>
        <v>8.2512343749698675E-4</v>
      </c>
      <c r="E1632" s="3">
        <f t="shared" si="103"/>
        <v>77686.396376961056</v>
      </c>
    </row>
    <row r="1633" spans="1:5" x14ac:dyDescent="0.3">
      <c r="A1633">
        <f t="shared" si="104"/>
        <v>16.30999999999975</v>
      </c>
      <c r="B1633">
        <f t="shared" si="104"/>
        <v>46.309999999997466</v>
      </c>
      <c r="C1633">
        <f t="shared" si="102"/>
        <v>8.2583120257009109E-4</v>
      </c>
      <c r="D1633">
        <f t="shared" si="105"/>
        <v>8.2583120257009109E-4</v>
      </c>
      <c r="E1633" s="3">
        <f t="shared" si="103"/>
        <v>77742.286820738591</v>
      </c>
    </row>
    <row r="1634" spans="1:5" x14ac:dyDescent="0.3">
      <c r="A1634">
        <f t="shared" si="104"/>
        <v>16.319999999999752</v>
      </c>
      <c r="B1634">
        <f t="shared" si="104"/>
        <v>46.319999999997464</v>
      </c>
      <c r="C1634">
        <f t="shared" si="102"/>
        <v>8.265397954600798E-4</v>
      </c>
      <c r="D1634">
        <f t="shared" si="105"/>
        <v>8.265397954600798E-4</v>
      </c>
      <c r="E1634" s="3">
        <f t="shared" si="103"/>
        <v>77798.199924326473</v>
      </c>
    </row>
    <row r="1635" spans="1:5" x14ac:dyDescent="0.3">
      <c r="A1635">
        <f t="shared" si="104"/>
        <v>16.329999999999753</v>
      </c>
      <c r="B1635">
        <f t="shared" si="104"/>
        <v>46.329999999997462</v>
      </c>
      <c r="C1635">
        <f t="shared" si="102"/>
        <v>8.2724921713518489E-4</v>
      </c>
      <c r="D1635">
        <f t="shared" si="105"/>
        <v>8.2724921713518489E-4</v>
      </c>
      <c r="E1635" s="3">
        <f t="shared" si="103"/>
        <v>77854.13569758326</v>
      </c>
    </row>
    <row r="1636" spans="1:5" x14ac:dyDescent="0.3">
      <c r="A1636">
        <f t="shared" si="104"/>
        <v>16.339999999999755</v>
      </c>
      <c r="B1636">
        <f t="shared" si="104"/>
        <v>46.33999999999746</v>
      </c>
      <c r="C1636">
        <f t="shared" si="102"/>
        <v>8.2795946856477093E-4</v>
      </c>
      <c r="D1636">
        <f t="shared" si="105"/>
        <v>8.2795946856477093E-4</v>
      </c>
      <c r="E1636" s="3">
        <f t="shared" si="103"/>
        <v>77910.094150373217</v>
      </c>
    </row>
    <row r="1637" spans="1:5" x14ac:dyDescent="0.3">
      <c r="A1637">
        <f t="shared" si="104"/>
        <v>16.349999999999756</v>
      </c>
      <c r="B1637">
        <f t="shared" si="104"/>
        <v>46.349999999997458</v>
      </c>
      <c r="C1637">
        <f t="shared" si="102"/>
        <v>8.2867055071933666E-4</v>
      </c>
      <c r="D1637">
        <f t="shared" si="105"/>
        <v>8.2867055071933666E-4</v>
      </c>
      <c r="E1637" s="3">
        <f t="shared" si="103"/>
        <v>77966.075292566282</v>
      </c>
    </row>
    <row r="1638" spans="1:5" x14ac:dyDescent="0.3">
      <c r="A1638">
        <f t="shared" si="104"/>
        <v>16.359999999999758</v>
      </c>
      <c r="B1638">
        <f t="shared" si="104"/>
        <v>46.359999999997456</v>
      </c>
      <c r="C1638">
        <f t="shared" si="102"/>
        <v>8.2938246457051426E-4</v>
      </c>
      <c r="D1638">
        <f t="shared" si="105"/>
        <v>8.2938246457051426E-4</v>
      </c>
      <c r="E1638" s="3">
        <f t="shared" si="103"/>
        <v>78022.079134038082</v>
      </c>
    </row>
    <row r="1639" spans="1:5" x14ac:dyDescent="0.3">
      <c r="A1639">
        <f t="shared" si="104"/>
        <v>16.369999999999759</v>
      </c>
      <c r="B1639">
        <f t="shared" si="104"/>
        <v>46.369999999997454</v>
      </c>
      <c r="C1639">
        <f t="shared" si="102"/>
        <v>8.3009521109107419E-4</v>
      </c>
      <c r="D1639">
        <f t="shared" si="105"/>
        <v>8.3009521109107419E-4</v>
      </c>
      <c r="E1639" s="3">
        <f t="shared" si="103"/>
        <v>78078.105684669965</v>
      </c>
    </row>
    <row r="1640" spans="1:5" x14ac:dyDescent="0.3">
      <c r="A1640">
        <f t="shared" si="104"/>
        <v>16.379999999999761</v>
      </c>
      <c r="B1640">
        <f t="shared" si="104"/>
        <v>46.379999999997452</v>
      </c>
      <c r="C1640">
        <f t="shared" si="102"/>
        <v>8.3080879125492404E-4</v>
      </c>
      <c r="D1640">
        <f t="shared" si="105"/>
        <v>8.3080879125492404E-4</v>
      </c>
      <c r="E1640" s="3">
        <f t="shared" si="103"/>
        <v>78134.154954348953</v>
      </c>
    </row>
    <row r="1641" spans="1:5" x14ac:dyDescent="0.3">
      <c r="A1641">
        <f t="shared" si="104"/>
        <v>16.389999999999763</v>
      </c>
      <c r="B1641">
        <f t="shared" si="104"/>
        <v>46.38999999999745</v>
      </c>
      <c r="C1641">
        <f t="shared" si="102"/>
        <v>8.3152320603711036E-4</v>
      </c>
      <c r="D1641">
        <f t="shared" si="105"/>
        <v>8.3152320603711036E-4</v>
      </c>
      <c r="E1641" s="3">
        <f t="shared" si="103"/>
        <v>78190.226952967758</v>
      </c>
    </row>
    <row r="1642" spans="1:5" x14ac:dyDescent="0.3">
      <c r="A1642">
        <f t="shared" si="104"/>
        <v>16.399999999999764</v>
      </c>
      <c r="B1642">
        <f t="shared" si="104"/>
        <v>46.399999999997448</v>
      </c>
      <c r="C1642">
        <f t="shared" si="102"/>
        <v>8.3223845641382114E-4</v>
      </c>
      <c r="D1642">
        <f t="shared" si="105"/>
        <v>8.3223845641382114E-4</v>
      </c>
      <c r="E1642" s="3">
        <f t="shared" si="103"/>
        <v>78246.321690424869</v>
      </c>
    </row>
    <row r="1643" spans="1:5" x14ac:dyDescent="0.3">
      <c r="A1643">
        <f t="shared" si="104"/>
        <v>16.409999999999766</v>
      </c>
      <c r="B1643">
        <f t="shared" si="104"/>
        <v>46.409999999997446</v>
      </c>
      <c r="C1643">
        <f t="shared" si="102"/>
        <v>8.3295454336238374E-4</v>
      </c>
      <c r="D1643">
        <f t="shared" si="105"/>
        <v>8.3295454336238374E-4</v>
      </c>
      <c r="E1643" s="3">
        <f t="shared" si="103"/>
        <v>78302.439176624466</v>
      </c>
    </row>
    <row r="1644" spans="1:5" x14ac:dyDescent="0.3">
      <c r="A1644">
        <f t="shared" si="104"/>
        <v>16.419999999999767</v>
      </c>
      <c r="B1644">
        <f t="shared" si="104"/>
        <v>46.419999999997444</v>
      </c>
      <c r="C1644">
        <f t="shared" si="102"/>
        <v>8.3367146786127112E-4</v>
      </c>
      <c r="D1644">
        <f t="shared" si="105"/>
        <v>8.3367146786127112E-4</v>
      </c>
      <c r="E1644" s="3">
        <f t="shared" si="103"/>
        <v>78358.579421476432</v>
      </c>
    </row>
    <row r="1645" spans="1:5" x14ac:dyDescent="0.3">
      <c r="A1645">
        <f t="shared" si="104"/>
        <v>16.429999999999769</v>
      </c>
      <c r="B1645">
        <f t="shared" si="104"/>
        <v>46.429999999997442</v>
      </c>
      <c r="C1645">
        <f t="shared" si="102"/>
        <v>8.3438923089009952E-4</v>
      </c>
      <c r="D1645">
        <f t="shared" si="105"/>
        <v>8.3438923089009952E-4</v>
      </c>
      <c r="E1645" s="3">
        <f t="shared" si="103"/>
        <v>78414.742434896412</v>
      </c>
    </row>
    <row r="1646" spans="1:5" x14ac:dyDescent="0.3">
      <c r="A1646">
        <f t="shared" si="104"/>
        <v>16.43999999999977</v>
      </c>
      <c r="B1646">
        <f t="shared" si="104"/>
        <v>46.43999999999744</v>
      </c>
      <c r="C1646">
        <f t="shared" si="102"/>
        <v>8.3510783342963105E-4</v>
      </c>
      <c r="D1646">
        <f t="shared" si="105"/>
        <v>8.3510783342963105E-4</v>
      </c>
      <c r="E1646" s="3">
        <f t="shared" si="103"/>
        <v>78470.928226805787</v>
      </c>
    </row>
    <row r="1647" spans="1:5" x14ac:dyDescent="0.3">
      <c r="A1647">
        <f t="shared" si="104"/>
        <v>16.449999999999772</v>
      </c>
      <c r="B1647">
        <f t="shared" si="104"/>
        <v>46.449999999997438</v>
      </c>
      <c r="C1647">
        <f t="shared" si="102"/>
        <v>8.3582727646177592E-4</v>
      </c>
      <c r="D1647">
        <f t="shared" si="105"/>
        <v>8.3582727646177592E-4</v>
      </c>
      <c r="E1647" s="3">
        <f t="shared" si="103"/>
        <v>78527.136807131654</v>
      </c>
    </row>
    <row r="1648" spans="1:5" x14ac:dyDescent="0.3">
      <c r="A1648">
        <f t="shared" si="104"/>
        <v>16.459999999999773</v>
      </c>
      <c r="B1648">
        <f t="shared" si="104"/>
        <v>46.459999999997436</v>
      </c>
      <c r="C1648">
        <f t="shared" si="102"/>
        <v>8.3654756096959053E-4</v>
      </c>
      <c r="D1648">
        <f t="shared" si="105"/>
        <v>8.3654756096959053E-4</v>
      </c>
      <c r="E1648" s="3">
        <f t="shared" si="103"/>
        <v>78583.368185806903</v>
      </c>
    </row>
    <row r="1649" spans="1:5" x14ac:dyDescent="0.3">
      <c r="A1649">
        <f t="shared" si="104"/>
        <v>16.469999999999775</v>
      </c>
      <c r="B1649">
        <f t="shared" si="104"/>
        <v>46.469999999997434</v>
      </c>
      <c r="C1649">
        <f t="shared" si="102"/>
        <v>8.3726868793728316E-4</v>
      </c>
      <c r="D1649">
        <f t="shared" si="105"/>
        <v>8.3726868793728316E-4</v>
      </c>
      <c r="E1649" s="3">
        <f t="shared" si="103"/>
        <v>78639.622372770144</v>
      </c>
    </row>
    <row r="1650" spans="1:5" x14ac:dyDescent="0.3">
      <c r="A1650">
        <f t="shared" si="104"/>
        <v>16.479999999999777</v>
      </c>
      <c r="B1650">
        <f t="shared" si="104"/>
        <v>46.479999999997432</v>
      </c>
      <c r="C1650">
        <f t="shared" si="102"/>
        <v>8.379906583502125E-4</v>
      </c>
      <c r="D1650">
        <f t="shared" si="105"/>
        <v>8.379906583502125E-4</v>
      </c>
      <c r="E1650" s="3">
        <f t="shared" si="103"/>
        <v>78695.899377965761</v>
      </c>
    </row>
    <row r="1651" spans="1:5" x14ac:dyDescent="0.3">
      <c r="A1651">
        <f t="shared" si="104"/>
        <v>16.489999999999778</v>
      </c>
      <c r="B1651">
        <f t="shared" si="104"/>
        <v>46.48999999999743</v>
      </c>
      <c r="C1651">
        <f t="shared" si="102"/>
        <v>8.3871347319488989E-4</v>
      </c>
      <c r="D1651">
        <f t="shared" si="105"/>
        <v>8.3871347319488989E-4</v>
      </c>
      <c r="E1651" s="3">
        <f t="shared" si="103"/>
        <v>78752.19921134389</v>
      </c>
    </row>
    <row r="1652" spans="1:5" x14ac:dyDescent="0.3">
      <c r="A1652">
        <f t="shared" si="104"/>
        <v>16.49999999999978</v>
      </c>
      <c r="B1652">
        <f t="shared" si="104"/>
        <v>46.499999999997428</v>
      </c>
      <c r="C1652">
        <f t="shared" si="102"/>
        <v>8.3943713345898091E-4</v>
      </c>
      <c r="D1652">
        <f t="shared" si="105"/>
        <v>8.3943713345898091E-4</v>
      </c>
      <c r="E1652" s="3">
        <f t="shared" si="103"/>
        <v>78808.52188286047</v>
      </c>
    </row>
    <row r="1653" spans="1:5" x14ac:dyDescent="0.3">
      <c r="A1653">
        <f t="shared" si="104"/>
        <v>16.509999999999781</v>
      </c>
      <c r="B1653">
        <f t="shared" si="104"/>
        <v>46.509999999997426</v>
      </c>
      <c r="C1653">
        <f t="shared" si="102"/>
        <v>8.4016164013130481E-4</v>
      </c>
      <c r="D1653">
        <f t="shared" si="105"/>
        <v>8.4016164013130481E-4</v>
      </c>
      <c r="E1653" s="3">
        <f t="shared" si="103"/>
        <v>78864.867402477161</v>
      </c>
    </row>
    <row r="1654" spans="1:5" x14ac:dyDescent="0.3">
      <c r="A1654">
        <f t="shared" si="104"/>
        <v>16.519999999999783</v>
      </c>
      <c r="B1654">
        <f t="shared" si="104"/>
        <v>46.519999999997424</v>
      </c>
      <c r="C1654">
        <f t="shared" si="102"/>
        <v>8.4088699420183891E-4</v>
      </c>
      <c r="D1654">
        <f t="shared" si="105"/>
        <v>8.4088699420183891E-4</v>
      </c>
      <c r="E1654" s="3">
        <f t="shared" si="103"/>
        <v>78921.235780161471</v>
      </c>
    </row>
    <row r="1655" spans="1:5" x14ac:dyDescent="0.3">
      <c r="A1655">
        <f t="shared" si="104"/>
        <v>16.529999999999784</v>
      </c>
      <c r="B1655">
        <f t="shared" si="104"/>
        <v>46.529999999997422</v>
      </c>
      <c r="C1655">
        <f t="shared" si="102"/>
        <v>8.4161319666171801E-4</v>
      </c>
      <c r="D1655">
        <f t="shared" si="105"/>
        <v>8.4161319666171801E-4</v>
      </c>
      <c r="E1655" s="3">
        <f t="shared" si="103"/>
        <v>78977.627025886657</v>
      </c>
    </row>
    <row r="1656" spans="1:5" x14ac:dyDescent="0.3">
      <c r="A1656">
        <f t="shared" si="104"/>
        <v>16.539999999999786</v>
      </c>
      <c r="B1656">
        <f t="shared" si="104"/>
        <v>46.53999999999742</v>
      </c>
      <c r="C1656">
        <f t="shared" si="102"/>
        <v>8.4234024850323602E-4</v>
      </c>
      <c r="D1656">
        <f t="shared" si="105"/>
        <v>8.4234024850323602E-4</v>
      </c>
      <c r="E1656" s="3">
        <f t="shared" si="103"/>
        <v>79034.041149631812</v>
      </c>
    </row>
    <row r="1657" spans="1:5" x14ac:dyDescent="0.3">
      <c r="A1657">
        <f t="shared" si="104"/>
        <v>16.549999999999788</v>
      </c>
      <c r="B1657">
        <f t="shared" si="104"/>
        <v>46.549999999997418</v>
      </c>
      <c r="C1657">
        <f t="shared" si="102"/>
        <v>8.4306815071984815E-4</v>
      </c>
      <c r="D1657">
        <f t="shared" si="105"/>
        <v>8.4306815071984815E-4</v>
      </c>
      <c r="E1657" s="3">
        <f t="shared" si="103"/>
        <v>79090.478161381776</v>
      </c>
    </row>
    <row r="1658" spans="1:5" x14ac:dyDescent="0.3">
      <c r="A1658">
        <f t="shared" si="104"/>
        <v>16.559999999999789</v>
      </c>
      <c r="B1658">
        <f t="shared" si="104"/>
        <v>46.559999999997416</v>
      </c>
      <c r="C1658">
        <f t="shared" si="102"/>
        <v>8.4379690430616972E-4</v>
      </c>
      <c r="D1658">
        <f t="shared" si="105"/>
        <v>8.4379690430616972E-4</v>
      </c>
      <c r="E1658" s="3">
        <f t="shared" si="103"/>
        <v>79146.938071127239</v>
      </c>
    </row>
    <row r="1659" spans="1:5" x14ac:dyDescent="0.3">
      <c r="A1659">
        <f t="shared" si="104"/>
        <v>16.569999999999791</v>
      </c>
      <c r="B1659">
        <f t="shared" si="104"/>
        <v>46.569999999997414</v>
      </c>
      <c r="C1659">
        <f t="shared" si="102"/>
        <v>8.4452651025798133E-4</v>
      </c>
      <c r="D1659">
        <f t="shared" si="105"/>
        <v>8.4452651025798133E-4</v>
      </c>
      <c r="E1659" s="3">
        <f t="shared" si="103"/>
        <v>79203.420888864683</v>
      </c>
    </row>
    <row r="1660" spans="1:5" x14ac:dyDescent="0.3">
      <c r="A1660">
        <f t="shared" si="104"/>
        <v>16.579999999999792</v>
      </c>
      <c r="B1660">
        <f t="shared" si="104"/>
        <v>46.579999999997412</v>
      </c>
      <c r="C1660">
        <f t="shared" si="102"/>
        <v>8.4525696957222759E-4</v>
      </c>
      <c r="D1660">
        <f t="shared" si="105"/>
        <v>8.4525696957222759E-4</v>
      </c>
      <c r="E1660" s="3">
        <f t="shared" si="103"/>
        <v>79259.926624596395</v>
      </c>
    </row>
    <row r="1661" spans="1:5" x14ac:dyDescent="0.3">
      <c r="A1661">
        <f t="shared" si="104"/>
        <v>16.589999999999794</v>
      </c>
      <c r="B1661">
        <f t="shared" si="104"/>
        <v>46.58999999999741</v>
      </c>
      <c r="C1661">
        <f t="shared" si="102"/>
        <v>8.4598828324701882E-4</v>
      </c>
      <c r="D1661">
        <f t="shared" si="105"/>
        <v>8.4598828324701882E-4</v>
      </c>
      <c r="E1661" s="3">
        <f t="shared" si="103"/>
        <v>79316.455288330544</v>
      </c>
    </row>
    <row r="1662" spans="1:5" x14ac:dyDescent="0.3">
      <c r="A1662">
        <f t="shared" si="104"/>
        <v>16.599999999999795</v>
      </c>
      <c r="B1662">
        <f t="shared" si="104"/>
        <v>46.599999999997408</v>
      </c>
      <c r="C1662">
        <f t="shared" si="102"/>
        <v>8.4672045228163383E-4</v>
      </c>
      <c r="D1662">
        <f t="shared" si="105"/>
        <v>8.4672045228163383E-4</v>
      </c>
      <c r="E1662" s="3">
        <f t="shared" si="103"/>
        <v>79373.006890081044</v>
      </c>
    </row>
    <row r="1663" spans="1:5" x14ac:dyDescent="0.3">
      <c r="A1663">
        <f t="shared" si="104"/>
        <v>16.609999999999797</v>
      </c>
      <c r="B1663">
        <f t="shared" si="104"/>
        <v>46.609999999997406</v>
      </c>
      <c r="C1663">
        <f t="shared" si="102"/>
        <v>8.4745347767651831E-4</v>
      </c>
      <c r="D1663">
        <f t="shared" si="105"/>
        <v>8.4745347767651831E-4</v>
      </c>
      <c r="E1663" s="3">
        <f t="shared" si="103"/>
        <v>79429.581439867732</v>
      </c>
    </row>
    <row r="1664" spans="1:5" x14ac:dyDescent="0.3">
      <c r="A1664">
        <f t="shared" si="104"/>
        <v>16.619999999999798</v>
      </c>
      <c r="B1664">
        <f t="shared" si="104"/>
        <v>46.619999999997404</v>
      </c>
      <c r="C1664">
        <f t="shared" si="102"/>
        <v>8.481873604332898E-4</v>
      </c>
      <c r="D1664">
        <f t="shared" si="105"/>
        <v>8.481873604332898E-4</v>
      </c>
      <c r="E1664" s="3">
        <f t="shared" si="103"/>
        <v>79486.178947716224</v>
      </c>
    </row>
    <row r="1665" spans="1:5" x14ac:dyDescent="0.3">
      <c r="A1665">
        <f t="shared" si="104"/>
        <v>16.6299999999998</v>
      </c>
      <c r="B1665">
        <f t="shared" si="104"/>
        <v>46.629999999997402</v>
      </c>
      <c r="C1665">
        <f t="shared" si="102"/>
        <v>8.4892210155473663E-4</v>
      </c>
      <c r="D1665">
        <f t="shared" si="105"/>
        <v>8.4892210155473663E-4</v>
      </c>
      <c r="E1665" s="3">
        <f t="shared" si="103"/>
        <v>79542.799423657998</v>
      </c>
    </row>
    <row r="1666" spans="1:5" x14ac:dyDescent="0.3">
      <c r="A1666">
        <f t="shared" si="104"/>
        <v>16.639999999999802</v>
      </c>
      <c r="B1666">
        <f t="shared" si="104"/>
        <v>46.6399999999974</v>
      </c>
      <c r="C1666">
        <f t="shared" si="102"/>
        <v>8.4965770204482015E-4</v>
      </c>
      <c r="D1666">
        <f t="shared" si="105"/>
        <v>8.4965770204482015E-4</v>
      </c>
      <c r="E1666" s="3">
        <f t="shared" si="103"/>
        <v>79599.442877730413</v>
      </c>
    </row>
    <row r="1667" spans="1:5" x14ac:dyDescent="0.3">
      <c r="A1667">
        <f t="shared" si="104"/>
        <v>16.649999999999803</v>
      </c>
      <c r="B1667">
        <f t="shared" si="104"/>
        <v>46.649999999997398</v>
      </c>
      <c r="C1667">
        <f t="shared" ref="C1667:C1730" si="106">$N$2 + $N$3*$N$4^(B1667)</f>
        <v>8.5039416290867654E-4</v>
      </c>
      <c r="D1667">
        <f t="shared" si="105"/>
        <v>8.5039416290867654E-4</v>
      </c>
      <c r="E1667" s="3">
        <f t="shared" ref="E1667:E1730" si="107">IF(ROUND(A1667, 2)=$N$10,$N$6,(E1668-$N$5*($N$7-$N$8-($N$6+$N$9)*D1667))/(1+$N$5*$N$11+$N$5*D1667))</f>
        <v>79656.109319976647</v>
      </c>
    </row>
    <row r="1668" spans="1:5" x14ac:dyDescent="0.3">
      <c r="A1668">
        <f t="shared" ref="A1668:B1731" si="108">A1667+$N$5</f>
        <v>16.659999999999805</v>
      </c>
      <c r="B1668">
        <f t="shared" si="108"/>
        <v>46.659999999997396</v>
      </c>
      <c r="C1668">
        <f t="shared" si="106"/>
        <v>8.5113148515261598E-4</v>
      </c>
      <c r="D1668">
        <f t="shared" si="105"/>
        <v>8.5113148515261598E-4</v>
      </c>
      <c r="E1668" s="3">
        <f t="shared" si="107"/>
        <v>79712.798760445789</v>
      </c>
    </row>
    <row r="1669" spans="1:5" x14ac:dyDescent="0.3">
      <c r="A1669">
        <f t="shared" si="108"/>
        <v>16.669999999999806</v>
      </c>
      <c r="B1669">
        <f t="shared" si="108"/>
        <v>46.669999999997394</v>
      </c>
      <c r="C1669">
        <f t="shared" si="106"/>
        <v>8.5186966978412714E-4</v>
      </c>
      <c r="D1669">
        <f t="shared" si="105"/>
        <v>8.5186966978412714E-4</v>
      </c>
      <c r="E1669" s="3">
        <f t="shared" si="107"/>
        <v>79769.511209192759</v>
      </c>
    </row>
    <row r="1670" spans="1:5" x14ac:dyDescent="0.3">
      <c r="A1670">
        <f t="shared" si="108"/>
        <v>16.679999999999808</v>
      </c>
      <c r="B1670">
        <f t="shared" si="108"/>
        <v>46.679999999997392</v>
      </c>
      <c r="C1670">
        <f t="shared" si="106"/>
        <v>8.5260871781187659E-4</v>
      </c>
      <c r="D1670">
        <f t="shared" si="105"/>
        <v>8.5260871781187659E-4</v>
      </c>
      <c r="E1670" s="3">
        <f t="shared" si="107"/>
        <v>79826.246676278373</v>
      </c>
    </row>
    <row r="1671" spans="1:5" x14ac:dyDescent="0.3">
      <c r="A1671">
        <f t="shared" si="108"/>
        <v>16.689999999999809</v>
      </c>
      <c r="B1671">
        <f t="shared" si="108"/>
        <v>46.68999999999739</v>
      </c>
      <c r="C1671">
        <f t="shared" si="106"/>
        <v>8.5334863024571096E-4</v>
      </c>
      <c r="D1671">
        <f t="shared" si="105"/>
        <v>8.5334863024571096E-4</v>
      </c>
      <c r="E1671" s="3">
        <f t="shared" si="107"/>
        <v>79883.005171769328</v>
      </c>
    </row>
    <row r="1672" spans="1:5" x14ac:dyDescent="0.3">
      <c r="A1672">
        <f t="shared" si="108"/>
        <v>16.699999999999811</v>
      </c>
      <c r="B1672">
        <f t="shared" si="108"/>
        <v>46.699999999997388</v>
      </c>
      <c r="C1672">
        <f t="shared" si="106"/>
        <v>8.5408940809665796E-4</v>
      </c>
      <c r="D1672">
        <f t="shared" si="105"/>
        <v>8.5408940809665796E-4</v>
      </c>
      <c r="E1672" s="3">
        <f t="shared" si="107"/>
        <v>79939.786705738225</v>
      </c>
    </row>
    <row r="1673" spans="1:5" x14ac:dyDescent="0.3">
      <c r="A1673">
        <f t="shared" si="108"/>
        <v>16.709999999999813</v>
      </c>
      <c r="B1673">
        <f t="shared" si="108"/>
        <v>46.709999999997386</v>
      </c>
      <c r="C1673">
        <f t="shared" si="106"/>
        <v>8.548310523769267E-4</v>
      </c>
      <c r="D1673">
        <f t="shared" si="105"/>
        <v>8.548310523769267E-4</v>
      </c>
      <c r="E1673" s="3">
        <f t="shared" si="107"/>
        <v>79996.591288263517</v>
      </c>
    </row>
    <row r="1674" spans="1:5" x14ac:dyDescent="0.3">
      <c r="A1674">
        <f t="shared" si="108"/>
        <v>16.719999999999814</v>
      </c>
      <c r="B1674">
        <f t="shared" si="108"/>
        <v>46.719999999997384</v>
      </c>
      <c r="C1674">
        <f t="shared" si="106"/>
        <v>8.5557356409991174E-4</v>
      </c>
      <c r="D1674">
        <f t="shared" si="105"/>
        <v>8.5557356409991174E-4</v>
      </c>
      <c r="E1674" s="3">
        <f t="shared" si="107"/>
        <v>80053.418929429608</v>
      </c>
    </row>
    <row r="1675" spans="1:5" x14ac:dyDescent="0.3">
      <c r="A1675">
        <f t="shared" si="108"/>
        <v>16.729999999999816</v>
      </c>
      <c r="B1675">
        <f t="shared" si="108"/>
        <v>46.729999999997382</v>
      </c>
      <c r="C1675">
        <f t="shared" si="106"/>
        <v>8.5631694428019199E-4</v>
      </c>
      <c r="D1675">
        <f t="shared" si="105"/>
        <v>8.5631694428019199E-4</v>
      </c>
      <c r="E1675" s="3">
        <f t="shared" si="107"/>
        <v>80110.269639326798</v>
      </c>
    </row>
    <row r="1676" spans="1:5" x14ac:dyDescent="0.3">
      <c r="A1676">
        <f t="shared" si="108"/>
        <v>16.739999999999817</v>
      </c>
      <c r="B1676">
        <f t="shared" si="108"/>
        <v>46.73999999999738</v>
      </c>
      <c r="C1676">
        <f t="shared" si="106"/>
        <v>8.5706119393353351E-4</v>
      </c>
      <c r="D1676">
        <f t="shared" si="105"/>
        <v>8.5706119393353351E-4</v>
      </c>
      <c r="E1676" s="3">
        <f t="shared" si="107"/>
        <v>80167.143428051277</v>
      </c>
    </row>
    <row r="1677" spans="1:5" x14ac:dyDescent="0.3">
      <c r="A1677">
        <f t="shared" si="108"/>
        <v>16.749999999999819</v>
      </c>
      <c r="B1677">
        <f t="shared" si="108"/>
        <v>46.749999999997378</v>
      </c>
      <c r="C1677">
        <f t="shared" si="106"/>
        <v>8.5780631407689093E-4</v>
      </c>
      <c r="D1677">
        <f t="shared" si="105"/>
        <v>8.5780631407689093E-4</v>
      </c>
      <c r="E1677" s="3">
        <f t="shared" si="107"/>
        <v>80224.040305705159</v>
      </c>
    </row>
    <row r="1678" spans="1:5" x14ac:dyDescent="0.3">
      <c r="A1678">
        <f t="shared" si="108"/>
        <v>16.75999999999982</v>
      </c>
      <c r="B1678">
        <f t="shared" si="108"/>
        <v>46.759999999997376</v>
      </c>
      <c r="C1678">
        <f t="shared" si="106"/>
        <v>8.585523057284063E-4</v>
      </c>
      <c r="D1678">
        <f t="shared" si="105"/>
        <v>8.585523057284063E-4</v>
      </c>
      <c r="E1678" s="3">
        <f t="shared" si="107"/>
        <v>80280.960282396511</v>
      </c>
    </row>
    <row r="1679" spans="1:5" x14ac:dyDescent="0.3">
      <c r="A1679">
        <f t="shared" si="108"/>
        <v>16.769999999999822</v>
      </c>
      <c r="B1679">
        <f t="shared" si="108"/>
        <v>46.769999999997374</v>
      </c>
      <c r="C1679">
        <f t="shared" si="106"/>
        <v>8.5929916990741442E-4</v>
      </c>
      <c r="D1679">
        <f t="shared" si="105"/>
        <v>8.5929916990741442E-4</v>
      </c>
      <c r="E1679" s="3">
        <f t="shared" si="107"/>
        <v>80337.903368239306</v>
      </c>
    </row>
    <row r="1680" spans="1:5" x14ac:dyDescent="0.3">
      <c r="A1680">
        <f t="shared" si="108"/>
        <v>16.779999999999824</v>
      </c>
      <c r="B1680">
        <f t="shared" si="108"/>
        <v>46.779999999997372</v>
      </c>
      <c r="C1680">
        <f t="shared" si="106"/>
        <v>8.6004690763444194E-4</v>
      </c>
      <c r="D1680">
        <f t="shared" si="105"/>
        <v>8.6004690763444194E-4</v>
      </c>
      <c r="E1680" s="3">
        <f t="shared" si="107"/>
        <v>80394.869573353455</v>
      </c>
    </row>
    <row r="1681" spans="1:5" x14ac:dyDescent="0.3">
      <c r="A1681">
        <f t="shared" si="108"/>
        <v>16.789999999999825</v>
      </c>
      <c r="B1681">
        <f t="shared" si="108"/>
        <v>46.78999999999737</v>
      </c>
      <c r="C1681">
        <f t="shared" si="106"/>
        <v>8.6079551993120879E-4</v>
      </c>
      <c r="D1681">
        <f t="shared" si="105"/>
        <v>8.6079551993120879E-4</v>
      </c>
      <c r="E1681" s="3">
        <f t="shared" si="107"/>
        <v>80451.858907864807</v>
      </c>
    </row>
    <row r="1682" spans="1:5" x14ac:dyDescent="0.3">
      <c r="A1682">
        <f t="shared" si="108"/>
        <v>16.799999999999827</v>
      </c>
      <c r="B1682">
        <f t="shared" si="108"/>
        <v>46.799999999997368</v>
      </c>
      <c r="C1682">
        <f t="shared" si="106"/>
        <v>8.6154500782063077E-4</v>
      </c>
      <c r="D1682">
        <f t="shared" si="105"/>
        <v>8.6154500782063077E-4</v>
      </c>
      <c r="E1682" s="3">
        <f t="shared" si="107"/>
        <v>80508.871381905206</v>
      </c>
    </row>
    <row r="1683" spans="1:5" x14ac:dyDescent="0.3">
      <c r="A1683">
        <f t="shared" si="108"/>
        <v>16.809999999999828</v>
      </c>
      <c r="B1683">
        <f t="shared" si="108"/>
        <v>46.809999999997366</v>
      </c>
      <c r="C1683">
        <f t="shared" si="106"/>
        <v>8.6229537232681815E-4</v>
      </c>
      <c r="D1683">
        <f t="shared" si="105"/>
        <v>8.6229537232681815E-4</v>
      </c>
      <c r="E1683" s="3">
        <f t="shared" si="107"/>
        <v>80565.907005612389</v>
      </c>
    </row>
    <row r="1684" spans="1:5" x14ac:dyDescent="0.3">
      <c r="A1684">
        <f t="shared" si="108"/>
        <v>16.81999999999983</v>
      </c>
      <c r="B1684">
        <f t="shared" si="108"/>
        <v>46.819999999997364</v>
      </c>
      <c r="C1684">
        <f t="shared" si="106"/>
        <v>8.6304661447508108E-4</v>
      </c>
      <c r="D1684">
        <f t="shared" si="105"/>
        <v>8.6304661447508108E-4</v>
      </c>
      <c r="E1684" s="3">
        <f t="shared" si="107"/>
        <v>80622.965789130089</v>
      </c>
    </row>
    <row r="1685" spans="1:5" x14ac:dyDescent="0.3">
      <c r="A1685">
        <f t="shared" si="108"/>
        <v>16.829999999999831</v>
      </c>
      <c r="B1685">
        <f t="shared" si="108"/>
        <v>46.829999999997362</v>
      </c>
      <c r="C1685">
        <f t="shared" si="106"/>
        <v>8.6379873529192808E-4</v>
      </c>
      <c r="D1685">
        <f t="shared" si="105"/>
        <v>8.6379873529192808E-4</v>
      </c>
      <c r="E1685" s="3">
        <f t="shared" si="107"/>
        <v>80680.047742607989</v>
      </c>
    </row>
    <row r="1686" spans="1:5" x14ac:dyDescent="0.3">
      <c r="A1686">
        <f t="shared" si="108"/>
        <v>16.839999999999833</v>
      </c>
      <c r="B1686">
        <f t="shared" si="108"/>
        <v>46.83999999999736</v>
      </c>
      <c r="C1686">
        <f t="shared" si="106"/>
        <v>8.6455173580506821E-4</v>
      </c>
      <c r="D1686">
        <f t="shared" si="105"/>
        <v>8.6455173580506821E-4</v>
      </c>
      <c r="E1686" s="3">
        <f t="shared" si="107"/>
        <v>80737.152876201784</v>
      </c>
    </row>
    <row r="1687" spans="1:5" x14ac:dyDescent="0.3">
      <c r="A1687">
        <f t="shared" si="108"/>
        <v>16.849999999999834</v>
      </c>
      <c r="B1687">
        <f t="shared" si="108"/>
        <v>46.849999999997358</v>
      </c>
      <c r="C1687">
        <f t="shared" si="106"/>
        <v>8.6530561704341335E-4</v>
      </c>
      <c r="D1687">
        <f t="shared" ref="D1687:D1750" si="109">IF(A1687&lt;=2, (0.9)^(2-A1687)*C1687, C1687)</f>
        <v>8.6530561704341335E-4</v>
      </c>
      <c r="E1687" s="3">
        <f t="shared" si="107"/>
        <v>80794.281200073077</v>
      </c>
    </row>
    <row r="1688" spans="1:5" x14ac:dyDescent="0.3">
      <c r="A1688">
        <f t="shared" si="108"/>
        <v>16.859999999999836</v>
      </c>
      <c r="B1688">
        <f t="shared" si="108"/>
        <v>46.859999999997356</v>
      </c>
      <c r="C1688">
        <f t="shared" si="106"/>
        <v>8.6606038003707721E-4</v>
      </c>
      <c r="D1688">
        <f t="shared" si="109"/>
        <v>8.6606038003707721E-4</v>
      </c>
      <c r="E1688" s="3">
        <f t="shared" si="107"/>
        <v>80851.432724389539</v>
      </c>
    </row>
    <row r="1689" spans="1:5" x14ac:dyDescent="0.3">
      <c r="A1689">
        <f t="shared" si="108"/>
        <v>16.869999999999838</v>
      </c>
      <c r="B1689">
        <f t="shared" si="108"/>
        <v>46.869999999997354</v>
      </c>
      <c r="C1689">
        <f t="shared" si="106"/>
        <v>8.6681602581737966E-4</v>
      </c>
      <c r="D1689">
        <f t="shared" si="109"/>
        <v>8.6681602581737966E-4</v>
      </c>
      <c r="E1689" s="3">
        <f t="shared" si="107"/>
        <v>80908.607459324761</v>
      </c>
    </row>
    <row r="1690" spans="1:5" x14ac:dyDescent="0.3">
      <c r="A1690">
        <f t="shared" si="108"/>
        <v>16.879999999999839</v>
      </c>
      <c r="B1690">
        <f t="shared" si="108"/>
        <v>46.879999999997352</v>
      </c>
      <c r="C1690">
        <f t="shared" si="106"/>
        <v>8.6757255541684679E-4</v>
      </c>
      <c r="D1690">
        <f t="shared" si="109"/>
        <v>8.6757255541684679E-4</v>
      </c>
      <c r="E1690" s="3">
        <f t="shared" si="107"/>
        <v>80965.805415058392</v>
      </c>
    </row>
    <row r="1691" spans="1:5" x14ac:dyDescent="0.3">
      <c r="A1691">
        <f t="shared" si="108"/>
        <v>16.889999999999841</v>
      </c>
      <c r="B1691">
        <f t="shared" si="108"/>
        <v>46.88999999999735</v>
      </c>
      <c r="C1691">
        <f t="shared" si="106"/>
        <v>8.6832996986921168E-4</v>
      </c>
      <c r="D1691">
        <f t="shared" si="109"/>
        <v>8.6832996986921168E-4</v>
      </c>
      <c r="E1691" s="3">
        <f t="shared" si="107"/>
        <v>81023.026601776044</v>
      </c>
    </row>
    <row r="1692" spans="1:5" x14ac:dyDescent="0.3">
      <c r="A1692">
        <f t="shared" si="108"/>
        <v>16.899999999999842</v>
      </c>
      <c r="B1692">
        <f t="shared" si="108"/>
        <v>46.899999999997348</v>
      </c>
      <c r="C1692">
        <f t="shared" si="106"/>
        <v>8.6908827020941751E-4</v>
      </c>
      <c r="D1692">
        <f t="shared" si="109"/>
        <v>8.6908827020941751E-4</v>
      </c>
      <c r="E1692" s="3">
        <f t="shared" si="107"/>
        <v>81080.27102966934</v>
      </c>
    </row>
    <row r="1693" spans="1:5" x14ac:dyDescent="0.3">
      <c r="A1693">
        <f t="shared" si="108"/>
        <v>16.909999999999844</v>
      </c>
      <c r="B1693">
        <f t="shared" si="108"/>
        <v>46.909999999997346</v>
      </c>
      <c r="C1693">
        <f t="shared" si="106"/>
        <v>8.6984745747361648E-4</v>
      </c>
      <c r="D1693">
        <f t="shared" si="109"/>
        <v>8.6984745747361648E-4</v>
      </c>
      <c r="E1693" s="3">
        <f t="shared" si="107"/>
        <v>81137.538708935972</v>
      </c>
    </row>
    <row r="1694" spans="1:5" x14ac:dyDescent="0.3">
      <c r="A1694">
        <f t="shared" si="108"/>
        <v>16.919999999999845</v>
      </c>
      <c r="B1694">
        <f t="shared" si="108"/>
        <v>46.919999999997344</v>
      </c>
      <c r="C1694">
        <f t="shared" si="106"/>
        <v>8.7060753269917364E-4</v>
      </c>
      <c r="D1694">
        <f t="shared" si="109"/>
        <v>8.7060753269917364E-4</v>
      </c>
      <c r="E1694" s="3">
        <f t="shared" si="107"/>
        <v>81194.829649779567</v>
      </c>
    </row>
    <row r="1695" spans="1:5" x14ac:dyDescent="0.3">
      <c r="A1695">
        <f t="shared" si="108"/>
        <v>16.929999999999847</v>
      </c>
      <c r="B1695">
        <f t="shared" si="108"/>
        <v>46.929999999997342</v>
      </c>
      <c r="C1695">
        <f t="shared" si="106"/>
        <v>8.713684969246674E-4</v>
      </c>
      <c r="D1695">
        <f t="shared" si="109"/>
        <v>8.713684969246674E-4</v>
      </c>
      <c r="E1695" s="3">
        <f t="shared" si="107"/>
        <v>81252.143862409852</v>
      </c>
    </row>
    <row r="1696" spans="1:5" x14ac:dyDescent="0.3">
      <c r="A1696">
        <f t="shared" si="108"/>
        <v>16.939999999999849</v>
      </c>
      <c r="B1696">
        <f t="shared" si="108"/>
        <v>46.93999999999734</v>
      </c>
      <c r="C1696">
        <f t="shared" si="106"/>
        <v>8.721303511898909E-4</v>
      </c>
      <c r="D1696">
        <f t="shared" si="109"/>
        <v>8.721303511898909E-4</v>
      </c>
      <c r="E1696" s="3">
        <f t="shared" si="107"/>
        <v>81309.48135704259</v>
      </c>
    </row>
    <row r="1697" spans="1:5" x14ac:dyDescent="0.3">
      <c r="A1697">
        <f t="shared" si="108"/>
        <v>16.94999999999985</v>
      </c>
      <c r="B1697">
        <f t="shared" si="108"/>
        <v>46.949999999997338</v>
      </c>
      <c r="C1697">
        <f t="shared" si="106"/>
        <v>8.7289309653585366E-4</v>
      </c>
      <c r="D1697">
        <f t="shared" si="109"/>
        <v>8.7289309653585366E-4</v>
      </c>
      <c r="E1697" s="3">
        <f t="shared" si="107"/>
        <v>81366.842143899528</v>
      </c>
    </row>
    <row r="1698" spans="1:5" x14ac:dyDescent="0.3">
      <c r="A1698">
        <f t="shared" si="108"/>
        <v>16.959999999999852</v>
      </c>
      <c r="B1698">
        <f t="shared" si="108"/>
        <v>46.959999999997336</v>
      </c>
      <c r="C1698">
        <f t="shared" si="106"/>
        <v>8.7365673400478132E-4</v>
      </c>
      <c r="D1698">
        <f t="shared" si="109"/>
        <v>8.7365673400478132E-4</v>
      </c>
      <c r="E1698" s="3">
        <f t="shared" si="107"/>
        <v>81424.226233208494</v>
      </c>
    </row>
    <row r="1699" spans="1:5" x14ac:dyDescent="0.3">
      <c r="A1699">
        <f t="shared" si="108"/>
        <v>16.969999999999853</v>
      </c>
      <c r="B1699">
        <f t="shared" si="108"/>
        <v>46.969999999997334</v>
      </c>
      <c r="C1699">
        <f t="shared" si="106"/>
        <v>8.7442126464012027E-4</v>
      </c>
      <c r="D1699">
        <f t="shared" si="109"/>
        <v>8.7442126464012027E-4</v>
      </c>
      <c r="E1699" s="3">
        <f t="shared" si="107"/>
        <v>81481.633635203354</v>
      </c>
    </row>
    <row r="1700" spans="1:5" x14ac:dyDescent="0.3">
      <c r="A1700">
        <f t="shared" si="108"/>
        <v>16.979999999999855</v>
      </c>
      <c r="B1700">
        <f t="shared" si="108"/>
        <v>46.979999999997332</v>
      </c>
      <c r="C1700">
        <f t="shared" si="106"/>
        <v>8.7518668948653646E-4</v>
      </c>
      <c r="D1700">
        <f t="shared" si="109"/>
        <v>8.7518668948653646E-4</v>
      </c>
      <c r="E1700" s="3">
        <f t="shared" si="107"/>
        <v>81539.064360124074</v>
      </c>
    </row>
    <row r="1701" spans="1:5" x14ac:dyDescent="0.3">
      <c r="A1701">
        <f t="shared" si="108"/>
        <v>16.989999999999856</v>
      </c>
      <c r="B1701">
        <f t="shared" si="108"/>
        <v>46.98999999999733</v>
      </c>
      <c r="C1701">
        <f t="shared" si="106"/>
        <v>8.7595300958991833E-4</v>
      </c>
      <c r="D1701">
        <f t="shared" si="109"/>
        <v>8.7595300958991833E-4</v>
      </c>
      <c r="E1701" s="3">
        <f t="shared" si="107"/>
        <v>81596.518418216656</v>
      </c>
    </row>
    <row r="1702" spans="1:5" x14ac:dyDescent="0.3">
      <c r="A1702">
        <f t="shared" si="108"/>
        <v>16.999999999999858</v>
      </c>
      <c r="B1702">
        <f t="shared" si="108"/>
        <v>46.999999999997328</v>
      </c>
      <c r="C1702">
        <f t="shared" si="106"/>
        <v>8.7672022599737738E-4</v>
      </c>
      <c r="D1702">
        <f t="shared" si="109"/>
        <v>8.7672022599737738E-4</v>
      </c>
      <c r="E1702" s="3">
        <f t="shared" si="107"/>
        <v>81653.995819733158</v>
      </c>
    </row>
    <row r="1703" spans="1:5" x14ac:dyDescent="0.3">
      <c r="A1703">
        <f t="shared" si="108"/>
        <v>17.009999999999859</v>
      </c>
      <c r="B1703">
        <f t="shared" si="108"/>
        <v>47.009999999997326</v>
      </c>
      <c r="C1703">
        <f t="shared" si="106"/>
        <v>8.7748833975724886E-4</v>
      </c>
      <c r="D1703">
        <f t="shared" si="109"/>
        <v>8.7748833975724886E-4</v>
      </c>
      <c r="E1703" s="3">
        <f t="shared" si="107"/>
        <v>81711.496574931734</v>
      </c>
    </row>
    <row r="1704" spans="1:5" x14ac:dyDescent="0.3">
      <c r="A1704">
        <f t="shared" si="108"/>
        <v>17.019999999999861</v>
      </c>
      <c r="B1704">
        <f t="shared" si="108"/>
        <v>47.019999999997324</v>
      </c>
      <c r="C1704">
        <f t="shared" si="106"/>
        <v>8.7825735191909534E-4</v>
      </c>
      <c r="D1704">
        <f t="shared" si="109"/>
        <v>8.7825735191909534E-4</v>
      </c>
      <c r="E1704" s="3">
        <f t="shared" si="107"/>
        <v>81769.020694076637</v>
      </c>
    </row>
    <row r="1705" spans="1:5" x14ac:dyDescent="0.3">
      <c r="A1705">
        <f t="shared" si="108"/>
        <v>17.029999999999863</v>
      </c>
      <c r="B1705">
        <f t="shared" si="108"/>
        <v>47.029999999997322</v>
      </c>
      <c r="C1705">
        <f t="shared" si="106"/>
        <v>8.7902726353370657E-4</v>
      </c>
      <c r="D1705">
        <f t="shared" si="109"/>
        <v>8.7902726353370657E-4</v>
      </c>
      <c r="E1705" s="3">
        <f t="shared" si="107"/>
        <v>81826.568187438184</v>
      </c>
    </row>
    <row r="1706" spans="1:5" x14ac:dyDescent="0.3">
      <c r="A1706">
        <f t="shared" si="108"/>
        <v>17.039999999999864</v>
      </c>
      <c r="B1706">
        <f t="shared" si="108"/>
        <v>47.03999999999732</v>
      </c>
      <c r="C1706">
        <f t="shared" si="106"/>
        <v>8.7979807565310173E-4</v>
      </c>
      <c r="D1706">
        <f t="shared" si="109"/>
        <v>8.7979807565310173E-4</v>
      </c>
      <c r="E1706" s="3">
        <f t="shared" si="107"/>
        <v>81884.139065292795</v>
      </c>
    </row>
    <row r="1707" spans="1:5" x14ac:dyDescent="0.3">
      <c r="A1707">
        <f t="shared" si="108"/>
        <v>17.049999999999866</v>
      </c>
      <c r="B1707">
        <f t="shared" si="108"/>
        <v>47.049999999997318</v>
      </c>
      <c r="C1707">
        <f t="shared" si="106"/>
        <v>8.805697893305304E-4</v>
      </c>
      <c r="D1707">
        <f t="shared" si="109"/>
        <v>8.805697893305304E-4</v>
      </c>
      <c r="E1707" s="3">
        <f t="shared" si="107"/>
        <v>81941.733337923026</v>
      </c>
    </row>
    <row r="1708" spans="1:5" x14ac:dyDescent="0.3">
      <c r="A1708">
        <f t="shared" si="108"/>
        <v>17.059999999999867</v>
      </c>
      <c r="B1708">
        <f t="shared" si="108"/>
        <v>47.059999999997316</v>
      </c>
      <c r="C1708">
        <f t="shared" si="106"/>
        <v>8.8134240562047256E-4</v>
      </c>
      <c r="D1708">
        <f t="shared" si="109"/>
        <v>8.8134240562047256E-4</v>
      </c>
      <c r="E1708" s="3">
        <f t="shared" si="107"/>
        <v>81999.351015617489</v>
      </c>
    </row>
    <row r="1709" spans="1:5" x14ac:dyDescent="0.3">
      <c r="A1709">
        <f t="shared" si="108"/>
        <v>17.069999999999869</v>
      </c>
      <c r="B1709">
        <f t="shared" si="108"/>
        <v>47.069999999997314</v>
      </c>
      <c r="C1709">
        <f t="shared" si="106"/>
        <v>8.8211592557864362E-4</v>
      </c>
      <c r="D1709">
        <f t="shared" si="109"/>
        <v>8.8211592557864362E-4</v>
      </c>
      <c r="E1709" s="3">
        <f t="shared" si="107"/>
        <v>82056.992108670951</v>
      </c>
    </row>
    <row r="1710" spans="1:5" x14ac:dyDescent="0.3">
      <c r="A1710">
        <f t="shared" si="108"/>
        <v>17.07999999999987</v>
      </c>
      <c r="B1710">
        <f t="shared" si="108"/>
        <v>47.079999999997312</v>
      </c>
      <c r="C1710">
        <f t="shared" si="106"/>
        <v>8.8289035026199269E-4</v>
      </c>
      <c r="D1710">
        <f t="shared" si="109"/>
        <v>8.8289035026199269E-4</v>
      </c>
      <c r="E1710" s="3">
        <f t="shared" si="107"/>
        <v>82114.656627384276</v>
      </c>
    </row>
    <row r="1711" spans="1:5" x14ac:dyDescent="0.3">
      <c r="A1711">
        <f t="shared" si="108"/>
        <v>17.089999999999872</v>
      </c>
      <c r="B1711">
        <f t="shared" si="108"/>
        <v>47.08999999999731</v>
      </c>
      <c r="C1711">
        <f t="shared" si="106"/>
        <v>8.8366568072870534E-4</v>
      </c>
      <c r="D1711">
        <f t="shared" si="109"/>
        <v>8.8366568072870534E-4</v>
      </c>
      <c r="E1711" s="3">
        <f t="shared" si="107"/>
        <v>82172.34458206447</v>
      </c>
    </row>
    <row r="1712" spans="1:5" x14ac:dyDescent="0.3">
      <c r="A1712">
        <f t="shared" si="108"/>
        <v>17.099999999999874</v>
      </c>
      <c r="B1712">
        <f t="shared" si="108"/>
        <v>47.099999999997308</v>
      </c>
      <c r="C1712">
        <f t="shared" si="106"/>
        <v>8.8444191803820559E-4</v>
      </c>
      <c r="D1712">
        <f t="shared" si="109"/>
        <v>8.8444191803820559E-4</v>
      </c>
      <c r="E1712" s="3">
        <f t="shared" si="107"/>
        <v>82230.055983024678</v>
      </c>
    </row>
    <row r="1713" spans="1:5" x14ac:dyDescent="0.3">
      <c r="A1713">
        <f t="shared" si="108"/>
        <v>17.109999999999875</v>
      </c>
      <c r="B1713">
        <f t="shared" si="108"/>
        <v>47.109999999997306</v>
      </c>
      <c r="C1713">
        <f t="shared" si="106"/>
        <v>8.8521906325115434E-4</v>
      </c>
      <c r="D1713">
        <f t="shared" si="109"/>
        <v>8.8521906325115434E-4</v>
      </c>
      <c r="E1713" s="3">
        <f t="shared" si="107"/>
        <v>82287.790840584188</v>
      </c>
    </row>
    <row r="1714" spans="1:5" x14ac:dyDescent="0.3">
      <c r="A1714">
        <f t="shared" si="108"/>
        <v>17.119999999999877</v>
      </c>
      <c r="B1714">
        <f t="shared" si="108"/>
        <v>47.119999999997304</v>
      </c>
      <c r="C1714">
        <f t="shared" si="106"/>
        <v>8.8599711742945518E-4</v>
      </c>
      <c r="D1714">
        <f t="shared" si="109"/>
        <v>8.8599711742945518E-4</v>
      </c>
      <c r="E1714" s="3">
        <f t="shared" si="107"/>
        <v>82345.549165068427</v>
      </c>
    </row>
    <row r="1715" spans="1:5" x14ac:dyDescent="0.3">
      <c r="A1715">
        <f t="shared" si="108"/>
        <v>17.129999999999878</v>
      </c>
      <c r="B1715">
        <f t="shared" si="108"/>
        <v>47.129999999997302</v>
      </c>
      <c r="C1715">
        <f t="shared" si="106"/>
        <v>8.8677608163625324E-4</v>
      </c>
      <c r="D1715">
        <f t="shared" si="109"/>
        <v>8.8677608163625324E-4</v>
      </c>
      <c r="E1715" s="3">
        <f t="shared" si="107"/>
        <v>82403.330966808964</v>
      </c>
    </row>
    <row r="1716" spans="1:5" x14ac:dyDescent="0.3">
      <c r="A1716">
        <f t="shared" si="108"/>
        <v>17.13999999999988</v>
      </c>
      <c r="B1716">
        <f t="shared" si="108"/>
        <v>47.139999999997301</v>
      </c>
      <c r="C1716">
        <f t="shared" si="106"/>
        <v>8.8755595693593679E-4</v>
      </c>
      <c r="D1716">
        <f t="shared" si="109"/>
        <v>8.8755595693593679E-4</v>
      </c>
      <c r="E1716" s="3">
        <f t="shared" si="107"/>
        <v>82461.136256143523</v>
      </c>
    </row>
    <row r="1717" spans="1:5" x14ac:dyDescent="0.3">
      <c r="A1717">
        <f t="shared" si="108"/>
        <v>17.149999999999881</v>
      </c>
      <c r="B1717">
        <f t="shared" si="108"/>
        <v>47.149999999997299</v>
      </c>
      <c r="C1717">
        <f t="shared" si="106"/>
        <v>8.8833674439413974E-4</v>
      </c>
      <c r="D1717">
        <f t="shared" si="109"/>
        <v>8.8833674439413974E-4</v>
      </c>
      <c r="E1717" s="3">
        <f t="shared" si="107"/>
        <v>82518.965043416028</v>
      </c>
    </row>
    <row r="1718" spans="1:5" x14ac:dyDescent="0.3">
      <c r="A1718">
        <f t="shared" si="108"/>
        <v>17.159999999999883</v>
      </c>
      <c r="B1718">
        <f t="shared" si="108"/>
        <v>47.159999999997297</v>
      </c>
      <c r="C1718">
        <f t="shared" si="106"/>
        <v>8.8911844507774088E-4</v>
      </c>
      <c r="D1718">
        <f t="shared" si="109"/>
        <v>8.8911844507774088E-4</v>
      </c>
      <c r="E1718" s="3">
        <f t="shared" si="107"/>
        <v>82576.817338976573</v>
      </c>
    </row>
    <row r="1719" spans="1:5" x14ac:dyDescent="0.3">
      <c r="A1719">
        <f t="shared" si="108"/>
        <v>17.169999999999884</v>
      </c>
      <c r="B1719">
        <f t="shared" si="108"/>
        <v>47.169999999997295</v>
      </c>
      <c r="C1719">
        <f t="shared" si="106"/>
        <v>8.8990106005486821E-4</v>
      </c>
      <c r="D1719">
        <f t="shared" si="109"/>
        <v>8.8990106005486821E-4</v>
      </c>
      <c r="E1719" s="3">
        <f t="shared" si="107"/>
        <v>82634.69315318139</v>
      </c>
    </row>
    <row r="1720" spans="1:5" x14ac:dyDescent="0.3">
      <c r="A1720">
        <f t="shared" si="108"/>
        <v>17.179999999999886</v>
      </c>
      <c r="B1720">
        <f t="shared" si="108"/>
        <v>47.179999999997293</v>
      </c>
      <c r="C1720">
        <f t="shared" si="106"/>
        <v>8.9068459039489865E-4</v>
      </c>
      <c r="D1720">
        <f t="shared" si="109"/>
        <v>8.9068459039489865E-4</v>
      </c>
      <c r="E1720" s="3">
        <f t="shared" si="107"/>
        <v>82692.592496392957</v>
      </c>
    </row>
    <row r="1721" spans="1:5" x14ac:dyDescent="0.3">
      <c r="A1721">
        <f t="shared" si="108"/>
        <v>17.189999999999888</v>
      </c>
      <c r="B1721">
        <f t="shared" si="108"/>
        <v>47.189999999997291</v>
      </c>
      <c r="C1721">
        <f t="shared" si="106"/>
        <v>8.9146903716845992E-4</v>
      </c>
      <c r="D1721">
        <f t="shared" si="109"/>
        <v>8.9146903716845992E-4</v>
      </c>
      <c r="E1721" s="3">
        <f t="shared" si="107"/>
        <v>82750.515378979879</v>
      </c>
    </row>
    <row r="1722" spans="1:5" x14ac:dyDescent="0.3">
      <c r="A1722">
        <f t="shared" si="108"/>
        <v>17.199999999999889</v>
      </c>
      <c r="B1722">
        <f t="shared" si="108"/>
        <v>47.199999999997289</v>
      </c>
      <c r="C1722">
        <f t="shared" si="106"/>
        <v>8.9225440144743236E-4</v>
      </c>
      <c r="D1722">
        <f t="shared" si="109"/>
        <v>8.9225440144743236E-4</v>
      </c>
      <c r="E1722" s="3">
        <f t="shared" si="107"/>
        <v>82808.461811316985</v>
      </c>
    </row>
    <row r="1723" spans="1:5" x14ac:dyDescent="0.3">
      <c r="A1723">
        <f t="shared" si="108"/>
        <v>17.209999999999891</v>
      </c>
      <c r="B1723">
        <f t="shared" si="108"/>
        <v>47.209999999997287</v>
      </c>
      <c r="C1723">
        <f t="shared" si="106"/>
        <v>8.9304068430494854E-4</v>
      </c>
      <c r="D1723">
        <f t="shared" si="109"/>
        <v>8.9304068430494854E-4</v>
      </c>
      <c r="E1723" s="3">
        <f t="shared" si="107"/>
        <v>82866.431803785352</v>
      </c>
    </row>
    <row r="1724" spans="1:5" x14ac:dyDescent="0.3">
      <c r="A1724">
        <f t="shared" si="108"/>
        <v>17.219999999999892</v>
      </c>
      <c r="B1724">
        <f t="shared" si="108"/>
        <v>47.219999999997285</v>
      </c>
      <c r="C1724">
        <f t="shared" si="106"/>
        <v>8.9382788681539773E-4</v>
      </c>
      <c r="D1724">
        <f t="shared" si="109"/>
        <v>8.9382788681539773E-4</v>
      </c>
      <c r="E1724" s="3">
        <f t="shared" si="107"/>
        <v>82924.425366772208</v>
      </c>
    </row>
    <row r="1725" spans="1:5" x14ac:dyDescent="0.3">
      <c r="A1725">
        <f t="shared" si="108"/>
        <v>17.229999999999894</v>
      </c>
      <c r="B1725">
        <f t="shared" si="108"/>
        <v>47.229999999997283</v>
      </c>
      <c r="C1725">
        <f t="shared" si="106"/>
        <v>8.9461601005442538E-4</v>
      </c>
      <c r="D1725">
        <f t="shared" si="109"/>
        <v>8.9461601005442538E-4</v>
      </c>
      <c r="E1725" s="3">
        <f t="shared" si="107"/>
        <v>82982.442510671011</v>
      </c>
    </row>
    <row r="1726" spans="1:5" x14ac:dyDescent="0.3">
      <c r="A1726">
        <f t="shared" si="108"/>
        <v>17.239999999999895</v>
      </c>
      <c r="B1726">
        <f t="shared" si="108"/>
        <v>47.239999999997281</v>
      </c>
      <c r="C1726">
        <f t="shared" si="106"/>
        <v>8.954050550989348E-4</v>
      </c>
      <c r="D1726">
        <f t="shared" si="109"/>
        <v>8.954050550989348E-4</v>
      </c>
      <c r="E1726" s="3">
        <f t="shared" si="107"/>
        <v>83040.483245881449</v>
      </c>
    </row>
    <row r="1727" spans="1:5" x14ac:dyDescent="0.3">
      <c r="A1727">
        <f t="shared" si="108"/>
        <v>17.249999999999897</v>
      </c>
      <c r="B1727">
        <f t="shared" si="108"/>
        <v>47.249999999997279</v>
      </c>
      <c r="C1727">
        <f t="shared" si="106"/>
        <v>8.961950230270897E-4</v>
      </c>
      <c r="D1727">
        <f t="shared" si="109"/>
        <v>8.961950230270897E-4</v>
      </c>
      <c r="E1727" s="3">
        <f t="shared" si="107"/>
        <v>83098.547582809464</v>
      </c>
    </row>
    <row r="1728" spans="1:5" x14ac:dyDescent="0.3">
      <c r="A1728">
        <f t="shared" si="108"/>
        <v>17.259999999999899</v>
      </c>
      <c r="B1728">
        <f t="shared" si="108"/>
        <v>47.259999999997277</v>
      </c>
      <c r="C1728">
        <f t="shared" si="106"/>
        <v>8.9698591491831298E-4</v>
      </c>
      <c r="D1728">
        <f t="shared" si="109"/>
        <v>8.9698591491831298E-4</v>
      </c>
      <c r="E1728" s="3">
        <f t="shared" si="107"/>
        <v>83156.635531867214</v>
      </c>
    </row>
    <row r="1729" spans="1:5" x14ac:dyDescent="0.3">
      <c r="A1729">
        <f t="shared" si="108"/>
        <v>17.2699999999999</v>
      </c>
      <c r="B1729">
        <f t="shared" si="108"/>
        <v>47.269999999997275</v>
      </c>
      <c r="C1729">
        <f t="shared" si="106"/>
        <v>8.9777773185329194E-4</v>
      </c>
      <c r="D1729">
        <f t="shared" si="109"/>
        <v>8.9777773185329194E-4</v>
      </c>
      <c r="E1729" s="3">
        <f t="shared" si="107"/>
        <v>83214.747103473084</v>
      </c>
    </row>
    <row r="1730" spans="1:5" x14ac:dyDescent="0.3">
      <c r="A1730">
        <f t="shared" si="108"/>
        <v>17.279999999999902</v>
      </c>
      <c r="B1730">
        <f t="shared" si="108"/>
        <v>47.279999999997273</v>
      </c>
      <c r="C1730">
        <f t="shared" si="106"/>
        <v>8.9857047491397697E-4</v>
      </c>
      <c r="D1730">
        <f t="shared" si="109"/>
        <v>8.9857047491397697E-4</v>
      </c>
      <c r="E1730" s="3">
        <f t="shared" si="107"/>
        <v>83272.882308051732</v>
      </c>
    </row>
    <row r="1731" spans="1:5" x14ac:dyDescent="0.3">
      <c r="A1731">
        <f t="shared" si="108"/>
        <v>17.289999999999903</v>
      </c>
      <c r="B1731">
        <f t="shared" si="108"/>
        <v>47.289999999997271</v>
      </c>
      <c r="C1731">
        <f t="shared" ref="C1731:C1794" si="110">$N$2 + $N$3*$N$4^(B1731)</f>
        <v>8.9936414518358427E-4</v>
      </c>
      <c r="D1731">
        <f t="shared" si="109"/>
        <v>8.9936414518358427E-4</v>
      </c>
      <c r="E1731" s="3">
        <f t="shared" ref="E1731:E1794" si="111">IF(ROUND(A1731, 2)=$N$10,$N$6,(E1732-$N$5*($N$7-$N$8-($N$6+$N$9)*D1731))/(1+$N$5*$N$11+$N$5*D1731))</f>
        <v>83331.041156034058</v>
      </c>
    </row>
    <row r="1732" spans="1:5" x14ac:dyDescent="0.3">
      <c r="A1732">
        <f t="shared" ref="A1732:B1795" si="112">A1731+$N$5</f>
        <v>17.299999999999905</v>
      </c>
      <c r="B1732">
        <f t="shared" si="112"/>
        <v>47.299999999997269</v>
      </c>
      <c r="C1732">
        <f t="shared" si="110"/>
        <v>9.0015874374659748E-4</v>
      </c>
      <c r="D1732">
        <f t="shared" si="109"/>
        <v>9.0015874374659748E-4</v>
      </c>
      <c r="E1732" s="3">
        <f t="shared" si="111"/>
        <v>83389.223657857248</v>
      </c>
    </row>
    <row r="1733" spans="1:5" x14ac:dyDescent="0.3">
      <c r="A1733">
        <f t="shared" si="112"/>
        <v>17.309999999999906</v>
      </c>
      <c r="B1733">
        <f t="shared" si="112"/>
        <v>47.309999999997267</v>
      </c>
      <c r="C1733">
        <f t="shared" si="110"/>
        <v>9.0095427168876668E-4</v>
      </c>
      <c r="D1733">
        <f t="shared" si="109"/>
        <v>9.0095427168876668E-4</v>
      </c>
      <c r="E1733" s="3">
        <f t="shared" si="111"/>
        <v>83447.429823964732</v>
      </c>
    </row>
    <row r="1734" spans="1:5" x14ac:dyDescent="0.3">
      <c r="A1734">
        <f t="shared" si="112"/>
        <v>17.319999999999908</v>
      </c>
      <c r="B1734">
        <f t="shared" si="112"/>
        <v>47.319999999997265</v>
      </c>
      <c r="C1734">
        <f t="shared" si="110"/>
        <v>9.0175073009711394E-4</v>
      </c>
      <c r="D1734">
        <f t="shared" si="109"/>
        <v>9.0175073009711394E-4</v>
      </c>
      <c r="E1734" s="3">
        <f t="shared" si="111"/>
        <v>83505.65966480624</v>
      </c>
    </row>
    <row r="1735" spans="1:5" x14ac:dyDescent="0.3">
      <c r="A1735">
        <f t="shared" si="112"/>
        <v>17.329999999999909</v>
      </c>
      <c r="B1735">
        <f t="shared" si="112"/>
        <v>47.329999999997263</v>
      </c>
      <c r="C1735">
        <f t="shared" si="110"/>
        <v>9.0254812005993214E-4</v>
      </c>
      <c r="D1735">
        <f t="shared" si="109"/>
        <v>9.0254812005993214E-4</v>
      </c>
      <c r="E1735" s="3">
        <f t="shared" si="111"/>
        <v>83563.913190837746</v>
      </c>
    </row>
    <row r="1736" spans="1:5" x14ac:dyDescent="0.3">
      <c r="A1736">
        <f t="shared" si="112"/>
        <v>17.339999999999911</v>
      </c>
      <c r="B1736">
        <f t="shared" si="112"/>
        <v>47.339999999997261</v>
      </c>
      <c r="C1736">
        <f t="shared" si="110"/>
        <v>9.0334644266678677E-4</v>
      </c>
      <c r="D1736">
        <f t="shared" si="109"/>
        <v>9.0334644266678677E-4</v>
      </c>
      <c r="E1736" s="3">
        <f t="shared" si="111"/>
        <v>83622.190412521566</v>
      </c>
    </row>
    <row r="1737" spans="1:5" x14ac:dyDescent="0.3">
      <c r="A1737">
        <f t="shared" si="112"/>
        <v>17.349999999999913</v>
      </c>
      <c r="B1737">
        <f t="shared" si="112"/>
        <v>47.349999999997259</v>
      </c>
      <c r="C1737">
        <f t="shared" si="110"/>
        <v>9.0414569900851857E-4</v>
      </c>
      <c r="D1737">
        <f t="shared" si="109"/>
        <v>9.0414569900851857E-4</v>
      </c>
      <c r="E1737" s="3">
        <f t="shared" si="111"/>
        <v>83680.491340326291</v>
      </c>
    </row>
    <row r="1738" spans="1:5" x14ac:dyDescent="0.3">
      <c r="A1738">
        <f t="shared" si="112"/>
        <v>17.359999999999914</v>
      </c>
      <c r="B1738">
        <f t="shared" si="112"/>
        <v>47.359999999997257</v>
      </c>
      <c r="C1738">
        <f t="shared" si="110"/>
        <v>9.0494589017724224E-4</v>
      </c>
      <c r="D1738">
        <f t="shared" si="109"/>
        <v>9.0494589017724224E-4</v>
      </c>
      <c r="E1738" s="3">
        <f t="shared" si="111"/>
        <v>83738.815984726767</v>
      </c>
    </row>
    <row r="1739" spans="1:5" x14ac:dyDescent="0.3">
      <c r="A1739">
        <f t="shared" si="112"/>
        <v>17.369999999999916</v>
      </c>
      <c r="B1739">
        <f t="shared" si="112"/>
        <v>47.369999999997255</v>
      </c>
      <c r="C1739">
        <f t="shared" si="110"/>
        <v>9.0574701726635158E-4</v>
      </c>
      <c r="D1739">
        <f t="shared" si="109"/>
        <v>9.0574701726635158E-4</v>
      </c>
      <c r="E1739" s="3">
        <f t="shared" si="111"/>
        <v>83797.164356204215</v>
      </c>
    </row>
    <row r="1740" spans="1:5" x14ac:dyDescent="0.3">
      <c r="A1740">
        <f t="shared" si="112"/>
        <v>17.379999999999917</v>
      </c>
      <c r="B1740">
        <f t="shared" si="112"/>
        <v>47.379999999997253</v>
      </c>
      <c r="C1740">
        <f t="shared" si="110"/>
        <v>9.0654908137051881E-4</v>
      </c>
      <c r="D1740">
        <f t="shared" si="109"/>
        <v>9.0654908137051881E-4</v>
      </c>
      <c r="E1740" s="3">
        <f t="shared" si="111"/>
        <v>83855.536465246143</v>
      </c>
    </row>
    <row r="1741" spans="1:5" x14ac:dyDescent="0.3">
      <c r="A1741">
        <f t="shared" si="112"/>
        <v>17.389999999999919</v>
      </c>
      <c r="B1741">
        <f t="shared" si="112"/>
        <v>47.389999999997251</v>
      </c>
      <c r="C1741">
        <f t="shared" si="110"/>
        <v>9.0735208358569625E-4</v>
      </c>
      <c r="D1741">
        <f t="shared" si="109"/>
        <v>9.0735208358569625E-4</v>
      </c>
      <c r="E1741" s="3">
        <f t="shared" si="111"/>
        <v>83913.932322346387</v>
      </c>
    </row>
    <row r="1742" spans="1:5" x14ac:dyDescent="0.3">
      <c r="A1742">
        <f t="shared" si="112"/>
        <v>17.39999999999992</v>
      </c>
      <c r="B1742">
        <f t="shared" si="112"/>
        <v>47.399999999997249</v>
      </c>
      <c r="C1742">
        <f t="shared" si="110"/>
        <v>9.0815602500911904E-4</v>
      </c>
      <c r="D1742">
        <f t="shared" si="109"/>
        <v>9.0815602500911904E-4</v>
      </c>
      <c r="E1742" s="3">
        <f t="shared" si="111"/>
        <v>83972.351938005086</v>
      </c>
    </row>
    <row r="1743" spans="1:5" x14ac:dyDescent="0.3">
      <c r="A1743">
        <f t="shared" si="112"/>
        <v>17.409999999999922</v>
      </c>
      <c r="B1743">
        <f t="shared" si="112"/>
        <v>47.409999999997247</v>
      </c>
      <c r="C1743">
        <f t="shared" si="110"/>
        <v>9.0896090673930354E-4</v>
      </c>
      <c r="D1743">
        <f t="shared" si="109"/>
        <v>9.0896090673930354E-4</v>
      </c>
      <c r="E1743" s="3">
        <f t="shared" si="111"/>
        <v>84030.795322728736</v>
      </c>
    </row>
    <row r="1744" spans="1:5" x14ac:dyDescent="0.3">
      <c r="A1744">
        <f t="shared" si="112"/>
        <v>17.419999999999924</v>
      </c>
      <c r="B1744">
        <f t="shared" si="112"/>
        <v>47.419999999997245</v>
      </c>
      <c r="C1744">
        <f t="shared" si="110"/>
        <v>9.0976672987605283E-4</v>
      </c>
      <c r="D1744">
        <f t="shared" si="109"/>
        <v>9.0976672987605283E-4</v>
      </c>
      <c r="E1744" s="3">
        <f t="shared" si="111"/>
        <v>84089.262487030181</v>
      </c>
    </row>
    <row r="1745" spans="1:5" x14ac:dyDescent="0.3">
      <c r="A1745">
        <f t="shared" si="112"/>
        <v>17.429999999999925</v>
      </c>
      <c r="B1745">
        <f t="shared" si="112"/>
        <v>47.429999999997243</v>
      </c>
      <c r="C1745">
        <f t="shared" si="110"/>
        <v>9.1057349552045596E-4</v>
      </c>
      <c r="D1745">
        <f t="shared" si="109"/>
        <v>9.1057349552045596E-4</v>
      </c>
      <c r="E1745" s="3">
        <f t="shared" si="111"/>
        <v>84147.75344142862</v>
      </c>
    </row>
    <row r="1746" spans="1:5" x14ac:dyDescent="0.3">
      <c r="A1746">
        <f t="shared" si="112"/>
        <v>17.439999999999927</v>
      </c>
      <c r="B1746">
        <f t="shared" si="112"/>
        <v>47.439999999997241</v>
      </c>
      <c r="C1746">
        <f t="shared" si="110"/>
        <v>9.1138120477488949E-4</v>
      </c>
      <c r="D1746">
        <f t="shared" si="109"/>
        <v>9.1138120477488949E-4</v>
      </c>
      <c r="E1746" s="3">
        <f t="shared" si="111"/>
        <v>84206.268196449571</v>
      </c>
    </row>
    <row r="1747" spans="1:5" x14ac:dyDescent="0.3">
      <c r="A1747">
        <f t="shared" si="112"/>
        <v>17.449999999999928</v>
      </c>
      <c r="B1747">
        <f t="shared" si="112"/>
        <v>47.449999999997239</v>
      </c>
      <c r="C1747">
        <f t="shared" si="110"/>
        <v>9.1218985874302026E-4</v>
      </c>
      <c r="D1747">
        <f t="shared" si="109"/>
        <v>9.1218985874302026E-4</v>
      </c>
      <c r="E1747" s="3">
        <f t="shared" si="111"/>
        <v>84264.806762624954</v>
      </c>
    </row>
    <row r="1748" spans="1:5" x14ac:dyDescent="0.3">
      <c r="A1748">
        <f t="shared" si="112"/>
        <v>17.45999999999993</v>
      </c>
      <c r="B1748">
        <f t="shared" si="112"/>
        <v>47.459999999997237</v>
      </c>
      <c r="C1748">
        <f t="shared" si="110"/>
        <v>9.1299945852980381E-4</v>
      </c>
      <c r="D1748">
        <f t="shared" si="109"/>
        <v>9.1299945852980381E-4</v>
      </c>
      <c r="E1748" s="3">
        <f t="shared" si="111"/>
        <v>84323.369150493032</v>
      </c>
    </row>
    <row r="1749" spans="1:5" x14ac:dyDescent="0.3">
      <c r="A1749">
        <f t="shared" si="112"/>
        <v>17.469999999999931</v>
      </c>
      <c r="B1749">
        <f t="shared" si="112"/>
        <v>47.469999999997235</v>
      </c>
      <c r="C1749">
        <f t="shared" si="110"/>
        <v>9.1381000524149022E-4</v>
      </c>
      <c r="D1749">
        <f t="shared" si="109"/>
        <v>9.1381000524149022E-4</v>
      </c>
      <c r="E1749" s="3">
        <f t="shared" si="111"/>
        <v>84381.955370598458</v>
      </c>
    </row>
    <row r="1750" spans="1:5" x14ac:dyDescent="0.3">
      <c r="A1750">
        <f t="shared" si="112"/>
        <v>17.479999999999933</v>
      </c>
      <c r="B1750">
        <f t="shared" si="112"/>
        <v>47.479999999997233</v>
      </c>
      <c r="C1750">
        <f t="shared" si="110"/>
        <v>9.1462149998562279E-4</v>
      </c>
      <c r="D1750">
        <f t="shared" si="109"/>
        <v>9.1462149998562279E-4</v>
      </c>
      <c r="E1750" s="3">
        <f t="shared" si="111"/>
        <v>84440.565433492258</v>
      </c>
    </row>
    <row r="1751" spans="1:5" x14ac:dyDescent="0.3">
      <c r="A1751">
        <f t="shared" si="112"/>
        <v>17.489999999999934</v>
      </c>
      <c r="B1751">
        <f t="shared" si="112"/>
        <v>47.489999999997231</v>
      </c>
      <c r="C1751">
        <f t="shared" si="110"/>
        <v>9.1543394387104025E-4</v>
      </c>
      <c r="D1751">
        <f t="shared" ref="D1751:D1814" si="113">IF(A1751&lt;=2, (0.9)^(2-A1751)*C1751, C1751)</f>
        <v>9.1543394387104025E-4</v>
      </c>
      <c r="E1751" s="3">
        <f t="shared" si="111"/>
        <v>84499.199349731818</v>
      </c>
    </row>
    <row r="1752" spans="1:5" x14ac:dyDescent="0.3">
      <c r="A1752">
        <f t="shared" si="112"/>
        <v>17.499999999999936</v>
      </c>
      <c r="B1752">
        <f t="shared" si="112"/>
        <v>47.499999999997229</v>
      </c>
      <c r="C1752">
        <f t="shared" si="110"/>
        <v>9.1624733800787844E-4</v>
      </c>
      <c r="D1752">
        <f t="shared" si="113"/>
        <v>9.1624733800787844E-4</v>
      </c>
      <c r="E1752" s="3">
        <f t="shared" si="111"/>
        <v>84557.857129880984</v>
      </c>
    </row>
    <row r="1753" spans="1:5" x14ac:dyDescent="0.3">
      <c r="A1753">
        <f t="shared" si="112"/>
        <v>17.509999999999938</v>
      </c>
      <c r="B1753">
        <f t="shared" si="112"/>
        <v>47.509999999997227</v>
      </c>
      <c r="C1753">
        <f t="shared" si="110"/>
        <v>9.1706168350757047E-4</v>
      </c>
      <c r="D1753">
        <f t="shared" si="113"/>
        <v>9.1706168350757047E-4</v>
      </c>
      <c r="E1753" s="3">
        <f t="shared" si="111"/>
        <v>84616.538784509947</v>
      </c>
    </row>
    <row r="1754" spans="1:5" x14ac:dyDescent="0.3">
      <c r="A1754">
        <f t="shared" si="112"/>
        <v>17.519999999999939</v>
      </c>
      <c r="B1754">
        <f t="shared" si="112"/>
        <v>47.519999999997225</v>
      </c>
      <c r="C1754">
        <f t="shared" si="110"/>
        <v>9.1787698148285092E-4</v>
      </c>
      <c r="D1754">
        <f t="shared" si="113"/>
        <v>9.1787698148285092E-4</v>
      </c>
      <c r="E1754" s="3">
        <f t="shared" si="111"/>
        <v>84675.244324195344</v>
      </c>
    </row>
    <row r="1755" spans="1:5" x14ac:dyDescent="0.3">
      <c r="A1755">
        <f t="shared" si="112"/>
        <v>17.529999999999941</v>
      </c>
      <c r="B1755">
        <f t="shared" si="112"/>
        <v>47.529999999997223</v>
      </c>
      <c r="C1755">
        <f t="shared" si="110"/>
        <v>9.1869323304775486E-4</v>
      </c>
      <c r="D1755">
        <f t="shared" si="113"/>
        <v>9.1869323304775486E-4</v>
      </c>
      <c r="E1755" s="3">
        <f t="shared" si="111"/>
        <v>84733.973759520202</v>
      </c>
    </row>
    <row r="1756" spans="1:5" x14ac:dyDescent="0.3">
      <c r="A1756">
        <f t="shared" si="112"/>
        <v>17.539999999999942</v>
      </c>
      <c r="B1756">
        <f t="shared" si="112"/>
        <v>47.539999999997221</v>
      </c>
      <c r="C1756">
        <f t="shared" si="110"/>
        <v>9.1951043931762114E-4</v>
      </c>
      <c r="D1756">
        <f t="shared" si="113"/>
        <v>9.1951043931762114E-4</v>
      </c>
      <c r="E1756" s="3">
        <f t="shared" si="111"/>
        <v>84792.727101073979</v>
      </c>
    </row>
    <row r="1757" spans="1:5" x14ac:dyDescent="0.3">
      <c r="A1757">
        <f t="shared" si="112"/>
        <v>17.549999999999944</v>
      </c>
      <c r="B1757">
        <f t="shared" si="112"/>
        <v>47.549999999997219</v>
      </c>
      <c r="C1757">
        <f t="shared" si="110"/>
        <v>9.203286014090932E-4</v>
      </c>
      <c r="D1757">
        <f t="shared" si="113"/>
        <v>9.203286014090932E-4</v>
      </c>
      <c r="E1757" s="3">
        <f t="shared" si="111"/>
        <v>84851.504359452578</v>
      </c>
    </row>
    <row r="1758" spans="1:5" x14ac:dyDescent="0.3">
      <c r="A1758">
        <f t="shared" si="112"/>
        <v>17.559999999999945</v>
      </c>
      <c r="B1758">
        <f t="shared" si="112"/>
        <v>47.559999999997217</v>
      </c>
      <c r="C1758">
        <f t="shared" si="110"/>
        <v>9.2114772044011857E-4</v>
      </c>
      <c r="D1758">
        <f t="shared" si="113"/>
        <v>9.2114772044011857E-4</v>
      </c>
      <c r="E1758" s="3">
        <f t="shared" si="111"/>
        <v>84910.305545258292</v>
      </c>
    </row>
    <row r="1759" spans="1:5" x14ac:dyDescent="0.3">
      <c r="A1759">
        <f t="shared" si="112"/>
        <v>17.569999999999947</v>
      </c>
      <c r="B1759">
        <f t="shared" si="112"/>
        <v>47.569999999997215</v>
      </c>
      <c r="C1759">
        <f t="shared" si="110"/>
        <v>9.2196779752995494E-4</v>
      </c>
      <c r="D1759">
        <f t="shared" si="113"/>
        <v>9.2196779752995494E-4</v>
      </c>
      <c r="E1759" s="3">
        <f t="shared" si="111"/>
        <v>84969.130669099904</v>
      </c>
    </row>
    <row r="1760" spans="1:5" x14ac:dyDescent="0.3">
      <c r="A1760">
        <f t="shared" si="112"/>
        <v>17.579999999999949</v>
      </c>
      <c r="B1760">
        <f t="shared" si="112"/>
        <v>47.579999999997213</v>
      </c>
      <c r="C1760">
        <f t="shared" si="110"/>
        <v>9.2278883379916753E-4</v>
      </c>
      <c r="D1760">
        <f t="shared" si="113"/>
        <v>9.2278883379916753E-4</v>
      </c>
      <c r="E1760" s="3">
        <f t="shared" si="111"/>
        <v>85027.979741592615</v>
      </c>
    </row>
    <row r="1761" spans="1:5" x14ac:dyDescent="0.3">
      <c r="A1761">
        <f t="shared" si="112"/>
        <v>17.58999999999995</v>
      </c>
      <c r="B1761">
        <f t="shared" si="112"/>
        <v>47.589999999997211</v>
      </c>
      <c r="C1761">
        <f t="shared" si="110"/>
        <v>9.2361083036963303E-4</v>
      </c>
      <c r="D1761">
        <f t="shared" si="113"/>
        <v>9.2361083036963303E-4</v>
      </c>
      <c r="E1761" s="3">
        <f t="shared" si="111"/>
        <v>85086.8527733581</v>
      </c>
    </row>
    <row r="1762" spans="1:5" x14ac:dyDescent="0.3">
      <c r="A1762">
        <f t="shared" si="112"/>
        <v>17.599999999999952</v>
      </c>
      <c r="B1762">
        <f t="shared" si="112"/>
        <v>47.599999999997209</v>
      </c>
      <c r="C1762">
        <f t="shared" si="110"/>
        <v>9.2443378836454032E-4</v>
      </c>
      <c r="D1762">
        <f t="shared" si="113"/>
        <v>9.2443378836454032E-4</v>
      </c>
      <c r="E1762" s="3">
        <f t="shared" si="111"/>
        <v>85145.749775024509</v>
      </c>
    </row>
    <row r="1763" spans="1:5" x14ac:dyDescent="0.3">
      <c r="A1763">
        <f t="shared" si="112"/>
        <v>17.609999999999953</v>
      </c>
      <c r="B1763">
        <f t="shared" si="112"/>
        <v>47.609999999997207</v>
      </c>
      <c r="C1763">
        <f t="shared" si="110"/>
        <v>9.252577089083904E-4</v>
      </c>
      <c r="D1763">
        <f t="shared" si="113"/>
        <v>9.252577089083904E-4</v>
      </c>
      <c r="E1763" s="3">
        <f t="shared" si="111"/>
        <v>85204.670757226428</v>
      </c>
    </row>
    <row r="1764" spans="1:5" x14ac:dyDescent="0.3">
      <c r="A1764">
        <f t="shared" si="112"/>
        <v>17.619999999999955</v>
      </c>
      <c r="B1764">
        <f t="shared" si="112"/>
        <v>47.619999999997205</v>
      </c>
      <c r="C1764">
        <f t="shared" si="110"/>
        <v>9.2608259312700156E-4</v>
      </c>
      <c r="D1764">
        <f t="shared" si="113"/>
        <v>9.2608259312700156E-4</v>
      </c>
      <c r="E1764" s="3">
        <f t="shared" si="111"/>
        <v>85263.615730604943</v>
      </c>
    </row>
    <row r="1765" spans="1:5" x14ac:dyDescent="0.3">
      <c r="A1765">
        <f t="shared" si="112"/>
        <v>17.629999999999956</v>
      </c>
      <c r="B1765">
        <f t="shared" si="112"/>
        <v>47.629999999997203</v>
      </c>
      <c r="C1765">
        <f t="shared" si="110"/>
        <v>9.2690844214750768E-4</v>
      </c>
      <c r="D1765">
        <f t="shared" si="113"/>
        <v>9.2690844214750768E-4</v>
      </c>
      <c r="E1765" s="3">
        <f t="shared" si="111"/>
        <v>85322.584705807603</v>
      </c>
    </row>
    <row r="1766" spans="1:5" x14ac:dyDescent="0.3">
      <c r="A1766">
        <f t="shared" si="112"/>
        <v>17.639999999999958</v>
      </c>
      <c r="B1766">
        <f t="shared" si="112"/>
        <v>47.639999999997201</v>
      </c>
      <c r="C1766">
        <f t="shared" si="110"/>
        <v>9.2773525709836154E-4</v>
      </c>
      <c r="D1766">
        <f t="shared" si="113"/>
        <v>9.2773525709836154E-4</v>
      </c>
      <c r="E1766" s="3">
        <f t="shared" si="111"/>
        <v>85381.577693488478</v>
      </c>
    </row>
    <row r="1767" spans="1:5" x14ac:dyDescent="0.3">
      <c r="A1767">
        <f t="shared" si="112"/>
        <v>17.649999999999959</v>
      </c>
      <c r="B1767">
        <f t="shared" si="112"/>
        <v>47.649999999997199</v>
      </c>
      <c r="C1767">
        <f t="shared" si="110"/>
        <v>9.2856303910933543E-4</v>
      </c>
      <c r="D1767">
        <f t="shared" si="113"/>
        <v>9.2856303910933543E-4</v>
      </c>
      <c r="E1767" s="3">
        <f t="shared" si="111"/>
        <v>85440.594704308111</v>
      </c>
    </row>
    <row r="1768" spans="1:5" x14ac:dyDescent="0.3">
      <c r="A1768">
        <f t="shared" si="112"/>
        <v>17.659999999999961</v>
      </c>
      <c r="B1768">
        <f t="shared" si="112"/>
        <v>47.659999999997197</v>
      </c>
      <c r="C1768">
        <f t="shared" si="110"/>
        <v>9.2939178931152392E-4</v>
      </c>
      <c r="D1768">
        <f t="shared" si="113"/>
        <v>9.2939178931152392E-4</v>
      </c>
      <c r="E1768" s="3">
        <f t="shared" si="111"/>
        <v>85499.635748933535</v>
      </c>
    </row>
    <row r="1769" spans="1:5" x14ac:dyDescent="0.3">
      <c r="A1769">
        <f t="shared" si="112"/>
        <v>17.669999999999963</v>
      </c>
      <c r="B1769">
        <f t="shared" si="112"/>
        <v>47.669999999997195</v>
      </c>
      <c r="C1769">
        <f t="shared" si="110"/>
        <v>9.3022150883734255E-4</v>
      </c>
      <c r="D1769">
        <f t="shared" si="113"/>
        <v>9.3022150883734255E-4</v>
      </c>
      <c r="E1769" s="3">
        <f t="shared" si="111"/>
        <v>85558.700838038334</v>
      </c>
    </row>
    <row r="1770" spans="1:5" x14ac:dyDescent="0.3">
      <c r="A1770">
        <f t="shared" si="112"/>
        <v>17.679999999999964</v>
      </c>
      <c r="B1770">
        <f t="shared" si="112"/>
        <v>47.679999999997193</v>
      </c>
      <c r="C1770">
        <f t="shared" si="110"/>
        <v>9.3105219882053298E-4</v>
      </c>
      <c r="D1770">
        <f t="shared" si="113"/>
        <v>9.3105219882053298E-4</v>
      </c>
      <c r="E1770" s="3">
        <f t="shared" si="111"/>
        <v>85617.789982302595</v>
      </c>
    </row>
    <row r="1771" spans="1:5" x14ac:dyDescent="0.3">
      <c r="A1771">
        <f t="shared" si="112"/>
        <v>17.689999999999966</v>
      </c>
      <c r="B1771">
        <f t="shared" si="112"/>
        <v>47.689999999997191</v>
      </c>
      <c r="C1771">
        <f t="shared" si="110"/>
        <v>9.3188386039616273E-4</v>
      </c>
      <c r="D1771">
        <f t="shared" si="113"/>
        <v>9.3188386039616273E-4</v>
      </c>
      <c r="E1771" s="3">
        <f t="shared" si="111"/>
        <v>85676.903192412909</v>
      </c>
    </row>
    <row r="1772" spans="1:5" x14ac:dyDescent="0.3">
      <c r="A1772">
        <f t="shared" si="112"/>
        <v>17.699999999999967</v>
      </c>
      <c r="B1772">
        <f t="shared" si="112"/>
        <v>47.699999999997189</v>
      </c>
      <c r="C1772">
        <f t="shared" si="110"/>
        <v>9.3271649470062659E-4</v>
      </c>
      <c r="D1772">
        <f t="shared" si="113"/>
        <v>9.3271649470062659E-4</v>
      </c>
      <c r="E1772" s="3">
        <f t="shared" si="111"/>
        <v>85736.040479062402</v>
      </c>
    </row>
    <row r="1773" spans="1:5" x14ac:dyDescent="0.3">
      <c r="A1773">
        <f t="shared" si="112"/>
        <v>17.709999999999969</v>
      </c>
      <c r="B1773">
        <f t="shared" si="112"/>
        <v>47.709999999997187</v>
      </c>
      <c r="C1773">
        <f t="shared" si="110"/>
        <v>9.3355010287164925E-4</v>
      </c>
      <c r="D1773">
        <f t="shared" si="113"/>
        <v>9.3355010287164925E-4</v>
      </c>
      <c r="E1773" s="3">
        <f t="shared" si="111"/>
        <v>85795.201852950777</v>
      </c>
    </row>
    <row r="1774" spans="1:5" x14ac:dyDescent="0.3">
      <c r="A1774">
        <f t="shared" si="112"/>
        <v>17.71999999999997</v>
      </c>
      <c r="B1774">
        <f t="shared" si="112"/>
        <v>47.719999999997185</v>
      </c>
      <c r="C1774">
        <f t="shared" si="110"/>
        <v>9.3438468604828417E-4</v>
      </c>
      <c r="D1774">
        <f t="shared" si="113"/>
        <v>9.3438468604828417E-4</v>
      </c>
      <c r="E1774" s="3">
        <f t="shared" si="111"/>
        <v>85854.387324784242</v>
      </c>
    </row>
    <row r="1775" spans="1:5" x14ac:dyDescent="0.3">
      <c r="A1775">
        <f t="shared" si="112"/>
        <v>17.729999999999972</v>
      </c>
      <c r="B1775">
        <f t="shared" si="112"/>
        <v>47.729999999997183</v>
      </c>
      <c r="C1775">
        <f t="shared" si="110"/>
        <v>9.3522024537091928E-4</v>
      </c>
      <c r="D1775">
        <f t="shared" si="113"/>
        <v>9.3522024537091928E-4</v>
      </c>
      <c r="E1775" s="3">
        <f t="shared" si="111"/>
        <v>85913.596905275568</v>
      </c>
    </row>
    <row r="1776" spans="1:5" x14ac:dyDescent="0.3">
      <c r="A1776">
        <f t="shared" si="112"/>
        <v>17.739999999999974</v>
      </c>
      <c r="B1776">
        <f t="shared" si="112"/>
        <v>47.739999999997181</v>
      </c>
      <c r="C1776">
        <f t="shared" si="110"/>
        <v>9.3605678198127519E-4</v>
      </c>
      <c r="D1776">
        <f t="shared" si="113"/>
        <v>9.3605678198127519E-4</v>
      </c>
      <c r="E1776" s="3">
        <f t="shared" si="111"/>
        <v>85972.830605144089</v>
      </c>
    </row>
    <row r="1777" spans="1:5" x14ac:dyDescent="0.3">
      <c r="A1777">
        <f t="shared" si="112"/>
        <v>17.749999999999975</v>
      </c>
      <c r="B1777">
        <f t="shared" si="112"/>
        <v>47.749999999997179</v>
      </c>
      <c r="C1777">
        <f t="shared" si="110"/>
        <v>9.3689429702240815E-4</v>
      </c>
      <c r="D1777">
        <f t="shared" si="113"/>
        <v>9.3689429702240815E-4</v>
      </c>
      <c r="E1777" s="3">
        <f t="shared" si="111"/>
        <v>86032.0884351157</v>
      </c>
    </row>
    <row r="1778" spans="1:5" x14ac:dyDescent="0.3">
      <c r="A1778">
        <f t="shared" si="112"/>
        <v>17.759999999999977</v>
      </c>
      <c r="B1778">
        <f t="shared" si="112"/>
        <v>47.759999999997177</v>
      </c>
      <c r="C1778">
        <f t="shared" si="110"/>
        <v>9.3773279163871209E-4</v>
      </c>
      <c r="D1778">
        <f t="shared" si="113"/>
        <v>9.3773279163871209E-4</v>
      </c>
      <c r="E1778" s="3">
        <f t="shared" si="111"/>
        <v>86091.370405922891</v>
      </c>
    </row>
    <row r="1779" spans="1:5" x14ac:dyDescent="0.3">
      <c r="A1779">
        <f t="shared" si="112"/>
        <v>17.769999999999978</v>
      </c>
      <c r="B1779">
        <f t="shared" si="112"/>
        <v>47.769999999997175</v>
      </c>
      <c r="C1779">
        <f t="shared" si="110"/>
        <v>9.3857226697591732E-4</v>
      </c>
      <c r="D1779">
        <f t="shared" si="113"/>
        <v>9.3857226697591732E-4</v>
      </c>
      <c r="E1779" s="3">
        <f t="shared" si="111"/>
        <v>86150.676528304684</v>
      </c>
    </row>
    <row r="1780" spans="1:5" x14ac:dyDescent="0.3">
      <c r="A1780">
        <f t="shared" si="112"/>
        <v>17.77999999999998</v>
      </c>
      <c r="B1780">
        <f t="shared" si="112"/>
        <v>47.779999999997173</v>
      </c>
      <c r="C1780">
        <f t="shared" si="110"/>
        <v>9.394127241810961E-4</v>
      </c>
      <c r="D1780">
        <f t="shared" si="113"/>
        <v>9.394127241810961E-4</v>
      </c>
      <c r="E1780" s="3">
        <f t="shared" si="111"/>
        <v>86210.006813006723</v>
      </c>
    </row>
    <row r="1781" spans="1:5" x14ac:dyDescent="0.3">
      <c r="A1781">
        <f t="shared" si="112"/>
        <v>17.789999999999981</v>
      </c>
      <c r="B1781">
        <f t="shared" si="112"/>
        <v>47.789999999997171</v>
      </c>
      <c r="C1781">
        <f t="shared" si="110"/>
        <v>9.4025416440266202E-4</v>
      </c>
      <c r="D1781">
        <f t="shared" si="113"/>
        <v>9.4025416440266202E-4</v>
      </c>
      <c r="E1781" s="3">
        <f t="shared" si="111"/>
        <v>86269.361270781257</v>
      </c>
    </row>
    <row r="1782" spans="1:5" x14ac:dyDescent="0.3">
      <c r="A1782">
        <f t="shared" si="112"/>
        <v>17.799999999999983</v>
      </c>
      <c r="B1782">
        <f t="shared" si="112"/>
        <v>47.799999999997169</v>
      </c>
      <c r="C1782">
        <f t="shared" si="110"/>
        <v>9.4109658879037181E-4</v>
      </c>
      <c r="D1782">
        <f t="shared" si="113"/>
        <v>9.4109658879037181E-4</v>
      </c>
      <c r="E1782" s="3">
        <f t="shared" si="111"/>
        <v>86328.7399123871</v>
      </c>
    </row>
    <row r="1783" spans="1:5" x14ac:dyDescent="0.3">
      <c r="A1783">
        <f t="shared" si="112"/>
        <v>17.809999999999985</v>
      </c>
      <c r="B1783">
        <f t="shared" si="112"/>
        <v>47.809999999997167</v>
      </c>
      <c r="C1783">
        <f t="shared" si="110"/>
        <v>9.4193999849532715E-4</v>
      </c>
      <c r="D1783">
        <f t="shared" si="113"/>
        <v>9.4193999849532715E-4</v>
      </c>
      <c r="E1783" s="3">
        <f t="shared" si="111"/>
        <v>86388.142748589715</v>
      </c>
    </row>
    <row r="1784" spans="1:5" x14ac:dyDescent="0.3">
      <c r="A1784">
        <f t="shared" si="112"/>
        <v>17.819999999999986</v>
      </c>
      <c r="B1784">
        <f t="shared" si="112"/>
        <v>47.819999999997165</v>
      </c>
      <c r="C1784">
        <f t="shared" si="110"/>
        <v>9.4278439466997455E-4</v>
      </c>
      <c r="D1784">
        <f t="shared" si="113"/>
        <v>9.4278439466997455E-4</v>
      </c>
      <c r="E1784" s="3">
        <f t="shared" si="111"/>
        <v>86447.569790161157</v>
      </c>
    </row>
    <row r="1785" spans="1:5" x14ac:dyDescent="0.3">
      <c r="A1785">
        <f t="shared" si="112"/>
        <v>17.829999999999988</v>
      </c>
      <c r="B1785">
        <f t="shared" si="112"/>
        <v>47.829999999997163</v>
      </c>
      <c r="C1785">
        <f t="shared" si="110"/>
        <v>9.4362977846811037E-4</v>
      </c>
      <c r="D1785">
        <f t="shared" si="113"/>
        <v>9.4362977846811037E-4</v>
      </c>
      <c r="E1785" s="3">
        <f t="shared" si="111"/>
        <v>86507.021047880087</v>
      </c>
    </row>
    <row r="1786" spans="1:5" x14ac:dyDescent="0.3">
      <c r="A1786">
        <f t="shared" si="112"/>
        <v>17.839999999999989</v>
      </c>
      <c r="B1786">
        <f t="shared" si="112"/>
        <v>47.839999999997161</v>
      </c>
      <c r="C1786">
        <f t="shared" si="110"/>
        <v>9.4447615104487992E-4</v>
      </c>
      <c r="D1786">
        <f t="shared" si="113"/>
        <v>9.4447615104487992E-4</v>
      </c>
      <c r="E1786" s="3">
        <f t="shared" si="111"/>
        <v>86566.496532531848</v>
      </c>
    </row>
    <row r="1787" spans="1:5" x14ac:dyDescent="0.3">
      <c r="A1787">
        <f t="shared" si="112"/>
        <v>17.849999999999991</v>
      </c>
      <c r="B1787">
        <f t="shared" si="112"/>
        <v>47.849999999997159</v>
      </c>
      <c r="C1787">
        <f t="shared" si="110"/>
        <v>9.4532351355677933E-4</v>
      </c>
      <c r="D1787">
        <f t="shared" si="113"/>
        <v>9.4532351355677933E-4</v>
      </c>
      <c r="E1787" s="3">
        <f t="shared" si="111"/>
        <v>86625.996254908358</v>
      </c>
    </row>
    <row r="1788" spans="1:5" x14ac:dyDescent="0.3">
      <c r="A1788">
        <f t="shared" si="112"/>
        <v>17.859999999999992</v>
      </c>
      <c r="B1788">
        <f t="shared" si="112"/>
        <v>47.859999999997157</v>
      </c>
      <c r="C1788">
        <f t="shared" si="110"/>
        <v>9.4617186716165801E-4</v>
      </c>
      <c r="D1788">
        <f t="shared" si="113"/>
        <v>9.4617186716165801E-4</v>
      </c>
      <c r="E1788" s="3">
        <f t="shared" si="111"/>
        <v>86685.520225808214</v>
      </c>
    </row>
    <row r="1789" spans="1:5" x14ac:dyDescent="0.3">
      <c r="A1789">
        <f t="shared" si="112"/>
        <v>17.869999999999994</v>
      </c>
      <c r="B1789">
        <f t="shared" si="112"/>
        <v>47.869999999997155</v>
      </c>
      <c r="C1789">
        <f t="shared" si="110"/>
        <v>9.4702121301871805E-4</v>
      </c>
      <c r="D1789">
        <f t="shared" si="113"/>
        <v>9.4702121301871805E-4</v>
      </c>
      <c r="E1789" s="3">
        <f t="shared" si="111"/>
        <v>86745.06845603665</v>
      </c>
    </row>
    <row r="1790" spans="1:5" x14ac:dyDescent="0.3">
      <c r="A1790">
        <f t="shared" si="112"/>
        <v>17.879999999999995</v>
      </c>
      <c r="B1790">
        <f t="shared" si="112"/>
        <v>47.879999999997153</v>
      </c>
      <c r="C1790">
        <f t="shared" si="110"/>
        <v>9.4787155228851893E-4</v>
      </c>
      <c r="D1790">
        <f t="shared" si="113"/>
        <v>9.4787155228851893E-4</v>
      </c>
      <c r="E1790" s="3">
        <f t="shared" si="111"/>
        <v>86804.640956405565</v>
      </c>
    </row>
    <row r="1791" spans="1:5" x14ac:dyDescent="0.3">
      <c r="A1791">
        <f t="shared" si="112"/>
        <v>17.889999999999997</v>
      </c>
      <c r="B1791">
        <f t="shared" si="112"/>
        <v>47.889999999997151</v>
      </c>
      <c r="C1791">
        <f t="shared" si="110"/>
        <v>9.4872288613297704E-4</v>
      </c>
      <c r="D1791">
        <f t="shared" si="113"/>
        <v>9.4872288613297704E-4</v>
      </c>
      <c r="E1791" s="3">
        <f t="shared" si="111"/>
        <v>86864.237737733536</v>
      </c>
    </row>
    <row r="1792" spans="1:5" x14ac:dyDescent="0.3">
      <c r="A1792">
        <f t="shared" si="112"/>
        <v>17.899999999999999</v>
      </c>
      <c r="B1792">
        <f t="shared" si="112"/>
        <v>47.899999999997149</v>
      </c>
      <c r="C1792">
        <f t="shared" si="110"/>
        <v>9.4957521571536791E-4</v>
      </c>
      <c r="D1792">
        <f t="shared" si="113"/>
        <v>9.4957521571536791E-4</v>
      </c>
      <c r="E1792" s="3">
        <f t="shared" si="111"/>
        <v>86923.858810845777</v>
      </c>
    </row>
    <row r="1793" spans="1:5" x14ac:dyDescent="0.3">
      <c r="A1793">
        <f t="shared" si="112"/>
        <v>17.91</v>
      </c>
      <c r="B1793">
        <f t="shared" si="112"/>
        <v>47.909999999997147</v>
      </c>
      <c r="C1793">
        <f t="shared" si="110"/>
        <v>9.5042854220032805E-4</v>
      </c>
      <c r="D1793">
        <f t="shared" si="113"/>
        <v>9.5042854220032805E-4</v>
      </c>
      <c r="E1793" s="3">
        <f t="shared" si="111"/>
        <v>86983.504186574224</v>
      </c>
    </row>
    <row r="1794" spans="1:5" x14ac:dyDescent="0.3">
      <c r="A1794">
        <f t="shared" si="112"/>
        <v>17.920000000000002</v>
      </c>
      <c r="B1794">
        <f t="shared" si="112"/>
        <v>47.919999999997145</v>
      </c>
      <c r="C1794">
        <f t="shared" si="110"/>
        <v>9.5128286675385425E-4</v>
      </c>
      <c r="D1794">
        <f t="shared" si="113"/>
        <v>9.5128286675385425E-4</v>
      </c>
      <c r="E1794" s="3">
        <f t="shared" si="111"/>
        <v>87043.173875757449</v>
      </c>
    </row>
    <row r="1795" spans="1:5" x14ac:dyDescent="0.3">
      <c r="A1795">
        <f t="shared" si="112"/>
        <v>17.930000000000003</v>
      </c>
      <c r="B1795">
        <f t="shared" si="112"/>
        <v>47.929999999997143</v>
      </c>
      <c r="C1795">
        <f t="shared" ref="C1795:C1858" si="114">$N$2 + $N$3*$N$4^(B1795)</f>
        <v>9.5213819054330937E-4</v>
      </c>
      <c r="D1795">
        <f t="shared" si="113"/>
        <v>9.5213819054330937E-4</v>
      </c>
      <c r="E1795" s="3">
        <f t="shared" ref="E1795:E1858" si="115">IF(ROUND(A1795, 2)=$N$10,$N$6,(E1796-$N$5*($N$7-$N$8-($N$6+$N$9)*D1795))/(1+$N$5*$N$11+$N$5*D1795))</f>
        <v>87102.867889240748</v>
      </c>
    </row>
    <row r="1796" spans="1:5" x14ac:dyDescent="0.3">
      <c r="A1796">
        <f t="shared" ref="A1796:B1859" si="116">A1795+$N$5</f>
        <v>17.940000000000005</v>
      </c>
      <c r="B1796">
        <f t="shared" si="116"/>
        <v>47.939999999997141</v>
      </c>
      <c r="C1796">
        <f t="shared" si="114"/>
        <v>9.5299451473742042E-4</v>
      </c>
      <c r="D1796">
        <f t="shared" si="113"/>
        <v>9.5299451473742042E-4</v>
      </c>
      <c r="E1796" s="3">
        <f t="shared" si="115"/>
        <v>87162.586237876123</v>
      </c>
    </row>
    <row r="1797" spans="1:5" x14ac:dyDescent="0.3">
      <c r="A1797">
        <f t="shared" si="116"/>
        <v>17.950000000000006</v>
      </c>
      <c r="B1797">
        <f t="shared" si="116"/>
        <v>47.949999999997139</v>
      </c>
      <c r="C1797">
        <f t="shared" si="114"/>
        <v>9.53851840506282E-4</v>
      </c>
      <c r="D1797">
        <f t="shared" si="113"/>
        <v>9.53851840506282E-4</v>
      </c>
      <c r="E1797" s="3">
        <f t="shared" si="115"/>
        <v>87222.328932522287</v>
      </c>
    </row>
    <row r="1798" spans="1:5" x14ac:dyDescent="0.3">
      <c r="A1798">
        <f t="shared" si="116"/>
        <v>17.960000000000008</v>
      </c>
      <c r="B1798">
        <f t="shared" si="116"/>
        <v>47.959999999997137</v>
      </c>
      <c r="C1798">
        <f t="shared" si="114"/>
        <v>9.5471016902135724E-4</v>
      </c>
      <c r="D1798">
        <f t="shared" si="113"/>
        <v>9.5471016902135724E-4</v>
      </c>
      <c r="E1798" s="3">
        <f t="shared" si="115"/>
        <v>87282.095984044645</v>
      </c>
    </row>
    <row r="1799" spans="1:5" x14ac:dyDescent="0.3">
      <c r="A1799">
        <f t="shared" si="116"/>
        <v>17.97000000000001</v>
      </c>
      <c r="B1799">
        <f t="shared" si="116"/>
        <v>47.969999999997135</v>
      </c>
      <c r="C1799">
        <f t="shared" si="114"/>
        <v>9.5556950145547813E-4</v>
      </c>
      <c r="D1799">
        <f t="shared" si="113"/>
        <v>9.5556950145547813E-4</v>
      </c>
      <c r="E1799" s="3">
        <f t="shared" si="115"/>
        <v>87341.887403315341</v>
      </c>
    </row>
    <row r="1800" spans="1:5" x14ac:dyDescent="0.3">
      <c r="A1800">
        <f t="shared" si="116"/>
        <v>17.980000000000011</v>
      </c>
      <c r="B1800">
        <f t="shared" si="116"/>
        <v>47.979999999997133</v>
      </c>
      <c r="C1800">
        <f t="shared" si="114"/>
        <v>9.5642983898284995E-4</v>
      </c>
      <c r="D1800">
        <f t="shared" si="113"/>
        <v>9.5642983898284995E-4</v>
      </c>
      <c r="E1800" s="3">
        <f t="shared" si="115"/>
        <v>87401.703201213226</v>
      </c>
    </row>
    <row r="1801" spans="1:5" x14ac:dyDescent="0.3">
      <c r="A1801">
        <f t="shared" si="116"/>
        <v>17.990000000000013</v>
      </c>
      <c r="B1801">
        <f t="shared" si="116"/>
        <v>47.989999999997131</v>
      </c>
      <c r="C1801">
        <f t="shared" si="114"/>
        <v>9.572911827790511E-4</v>
      </c>
      <c r="D1801">
        <f t="shared" si="113"/>
        <v>9.572911827790511E-4</v>
      </c>
      <c r="E1801" s="3">
        <f t="shared" si="115"/>
        <v>87461.543388623904</v>
      </c>
    </row>
    <row r="1802" spans="1:5" x14ac:dyDescent="0.3">
      <c r="A1802">
        <f t="shared" si="116"/>
        <v>18.000000000000014</v>
      </c>
      <c r="B1802">
        <f t="shared" si="116"/>
        <v>47.999999999997129</v>
      </c>
      <c r="C1802">
        <f t="shared" si="114"/>
        <v>9.5815353402103453E-4</v>
      </c>
      <c r="D1802">
        <f t="shared" si="113"/>
        <v>9.5815353402103453E-4</v>
      </c>
      <c r="E1802" s="3">
        <f t="shared" si="115"/>
        <v>87521.407976439732</v>
      </c>
    </row>
    <row r="1803" spans="1:5" x14ac:dyDescent="0.3">
      <c r="A1803">
        <f t="shared" si="116"/>
        <v>18.010000000000016</v>
      </c>
      <c r="B1803">
        <f t="shared" si="116"/>
        <v>48.009999999997127</v>
      </c>
      <c r="C1803">
        <f t="shared" si="114"/>
        <v>9.5901689388713069E-4</v>
      </c>
      <c r="D1803">
        <f t="shared" si="113"/>
        <v>9.5901689388713069E-4</v>
      </c>
      <c r="E1803" s="3">
        <f t="shared" si="115"/>
        <v>87581.296975559831</v>
      </c>
    </row>
    <row r="1804" spans="1:5" x14ac:dyDescent="0.3">
      <c r="A1804">
        <f t="shared" si="116"/>
        <v>18.020000000000017</v>
      </c>
      <c r="B1804">
        <f t="shared" si="116"/>
        <v>48.019999999997125</v>
      </c>
      <c r="C1804">
        <f t="shared" si="114"/>
        <v>9.5988126355704597E-4</v>
      </c>
      <c r="D1804">
        <f t="shared" si="113"/>
        <v>9.5988126355704597E-4</v>
      </c>
      <c r="E1804" s="3">
        <f t="shared" si="115"/>
        <v>87641.210396890048</v>
      </c>
    </row>
    <row r="1805" spans="1:5" x14ac:dyDescent="0.3">
      <c r="A1805">
        <f t="shared" si="116"/>
        <v>18.030000000000019</v>
      </c>
      <c r="B1805">
        <f t="shared" si="116"/>
        <v>48.029999999997123</v>
      </c>
      <c r="C1805">
        <f t="shared" si="114"/>
        <v>9.6074664421186913E-4</v>
      </c>
      <c r="D1805">
        <f t="shared" si="113"/>
        <v>9.6074664421186913E-4</v>
      </c>
      <c r="E1805" s="3">
        <f t="shared" si="115"/>
        <v>87701.148251343009</v>
      </c>
    </row>
    <row r="1806" spans="1:5" x14ac:dyDescent="0.3">
      <c r="A1806">
        <f t="shared" si="116"/>
        <v>18.04000000000002</v>
      </c>
      <c r="B1806">
        <f t="shared" si="116"/>
        <v>48.039999999997121</v>
      </c>
      <c r="C1806">
        <f t="shared" si="114"/>
        <v>9.6161303703406911E-4</v>
      </c>
      <c r="D1806">
        <f t="shared" si="113"/>
        <v>9.6161303703406911E-4</v>
      </c>
      <c r="E1806" s="3">
        <f t="shared" si="115"/>
        <v>87761.110549838093</v>
      </c>
    </row>
    <row r="1807" spans="1:5" x14ac:dyDescent="0.3">
      <c r="A1807">
        <f t="shared" si="116"/>
        <v>18.050000000000022</v>
      </c>
      <c r="B1807">
        <f t="shared" si="116"/>
        <v>48.049999999997119</v>
      </c>
      <c r="C1807">
        <f t="shared" si="114"/>
        <v>9.624804432074983E-4</v>
      </c>
      <c r="D1807">
        <f t="shared" si="113"/>
        <v>9.624804432074983E-4</v>
      </c>
      <c r="E1807" s="3">
        <f t="shared" si="115"/>
        <v>87821.097303301503</v>
      </c>
    </row>
    <row r="1808" spans="1:5" x14ac:dyDescent="0.3">
      <c r="A1808">
        <f t="shared" si="116"/>
        <v>18.060000000000024</v>
      </c>
      <c r="B1808">
        <f t="shared" si="116"/>
        <v>48.059999999997117</v>
      </c>
      <c r="C1808">
        <f t="shared" si="114"/>
        <v>9.6334886391739416E-4</v>
      </c>
      <c r="D1808">
        <f t="shared" si="113"/>
        <v>9.6334886391739416E-4</v>
      </c>
      <c r="E1808" s="3">
        <f t="shared" si="115"/>
        <v>87881.108522666167</v>
      </c>
    </row>
    <row r="1809" spans="1:5" x14ac:dyDescent="0.3">
      <c r="A1809">
        <f t="shared" si="116"/>
        <v>18.070000000000025</v>
      </c>
      <c r="B1809">
        <f t="shared" si="116"/>
        <v>48.069999999997115</v>
      </c>
      <c r="C1809">
        <f t="shared" si="114"/>
        <v>9.6421830035037833E-4</v>
      </c>
      <c r="D1809">
        <f t="shared" si="113"/>
        <v>9.6421830035037833E-4</v>
      </c>
      <c r="E1809" s="3">
        <f t="shared" si="115"/>
        <v>87941.144218871865</v>
      </c>
    </row>
    <row r="1810" spans="1:5" x14ac:dyDescent="0.3">
      <c r="A1810">
        <f t="shared" si="116"/>
        <v>18.080000000000027</v>
      </c>
      <c r="B1810">
        <f t="shared" si="116"/>
        <v>48.079999999997113</v>
      </c>
      <c r="C1810">
        <f t="shared" si="114"/>
        <v>9.6508875369446254E-4</v>
      </c>
      <c r="D1810">
        <f t="shared" si="113"/>
        <v>9.6508875369446254E-4</v>
      </c>
      <c r="E1810" s="3">
        <f t="shared" si="115"/>
        <v>88001.204402865173</v>
      </c>
    </row>
    <row r="1811" spans="1:5" x14ac:dyDescent="0.3">
      <c r="A1811">
        <f t="shared" si="116"/>
        <v>18.090000000000028</v>
      </c>
      <c r="B1811">
        <f t="shared" si="116"/>
        <v>48.089999999997112</v>
      </c>
      <c r="C1811">
        <f t="shared" si="114"/>
        <v>9.6596022513904768E-4</v>
      </c>
      <c r="D1811">
        <f t="shared" si="113"/>
        <v>9.6596022513904768E-4</v>
      </c>
      <c r="E1811" s="3">
        <f t="shared" si="115"/>
        <v>88061.289085599419</v>
      </c>
    </row>
    <row r="1812" spans="1:5" x14ac:dyDescent="0.3">
      <c r="A1812">
        <f t="shared" si="116"/>
        <v>18.10000000000003</v>
      </c>
      <c r="B1812">
        <f t="shared" si="116"/>
        <v>48.09999999999711</v>
      </c>
      <c r="C1812">
        <f t="shared" si="114"/>
        <v>9.6683271587492514E-4</v>
      </c>
      <c r="D1812">
        <f t="shared" si="113"/>
        <v>9.6683271587492514E-4</v>
      </c>
      <c r="E1812" s="3">
        <f t="shared" si="115"/>
        <v>88121.398278034831</v>
      </c>
    </row>
    <row r="1813" spans="1:5" x14ac:dyDescent="0.3">
      <c r="A1813">
        <f t="shared" si="116"/>
        <v>18.110000000000031</v>
      </c>
      <c r="B1813">
        <f t="shared" si="116"/>
        <v>48.109999999997108</v>
      </c>
      <c r="C1813">
        <f t="shared" si="114"/>
        <v>9.6770622709428016E-4</v>
      </c>
      <c r="D1813">
        <f t="shared" si="113"/>
        <v>9.6770622709428016E-4</v>
      </c>
      <c r="E1813" s="3">
        <f t="shared" si="115"/>
        <v>88181.531991138399</v>
      </c>
    </row>
    <row r="1814" spans="1:5" x14ac:dyDescent="0.3">
      <c r="A1814">
        <f t="shared" si="116"/>
        <v>18.120000000000033</v>
      </c>
      <c r="B1814">
        <f t="shared" si="116"/>
        <v>48.119999999997106</v>
      </c>
      <c r="C1814">
        <f t="shared" si="114"/>
        <v>9.6858075999069042E-4</v>
      </c>
      <c r="D1814">
        <f t="shared" si="113"/>
        <v>9.6858075999069042E-4</v>
      </c>
      <c r="E1814" s="3">
        <f t="shared" si="115"/>
        <v>88241.690235883972</v>
      </c>
    </row>
    <row r="1815" spans="1:5" x14ac:dyDescent="0.3">
      <c r="A1815">
        <f t="shared" si="116"/>
        <v>18.130000000000035</v>
      </c>
      <c r="B1815">
        <f t="shared" si="116"/>
        <v>48.129999999997104</v>
      </c>
      <c r="C1815">
        <f t="shared" si="114"/>
        <v>9.6945631575913135E-4</v>
      </c>
      <c r="D1815">
        <f t="shared" ref="D1815:D1878" si="117">IF(A1815&lt;=2, (0.9)^(2-A1815)*C1815, C1815)</f>
        <v>9.6945631575913135E-4</v>
      </c>
      <c r="E1815" s="3">
        <f t="shared" si="115"/>
        <v>88301.87302325225</v>
      </c>
    </row>
    <row r="1816" spans="1:5" x14ac:dyDescent="0.3">
      <c r="A1816">
        <f t="shared" si="116"/>
        <v>18.140000000000036</v>
      </c>
      <c r="B1816">
        <f t="shared" si="116"/>
        <v>48.139999999997102</v>
      </c>
      <c r="C1816">
        <f t="shared" si="114"/>
        <v>9.703328955959756E-4</v>
      </c>
      <c r="D1816">
        <f t="shared" si="117"/>
        <v>9.703328955959756E-4</v>
      </c>
      <c r="E1816" s="3">
        <f t="shared" si="115"/>
        <v>88362.080364230744</v>
      </c>
    </row>
    <row r="1817" spans="1:5" x14ac:dyDescent="0.3">
      <c r="A1817">
        <f t="shared" si="116"/>
        <v>18.150000000000038</v>
      </c>
      <c r="B1817">
        <f t="shared" si="116"/>
        <v>48.1499999999971</v>
      </c>
      <c r="C1817">
        <f t="shared" si="114"/>
        <v>9.712105006989952E-4</v>
      </c>
      <c r="D1817">
        <f t="shared" si="117"/>
        <v>9.712105006989952E-4</v>
      </c>
      <c r="E1817" s="3">
        <f t="shared" si="115"/>
        <v>88422.312269813832</v>
      </c>
    </row>
    <row r="1818" spans="1:5" x14ac:dyDescent="0.3">
      <c r="A1818">
        <f t="shared" si="116"/>
        <v>18.160000000000039</v>
      </c>
      <c r="B1818">
        <f t="shared" si="116"/>
        <v>48.159999999997098</v>
      </c>
      <c r="C1818">
        <f t="shared" si="114"/>
        <v>9.7208913226736349E-4</v>
      </c>
      <c r="D1818">
        <f t="shared" si="117"/>
        <v>9.7208913226736349E-4</v>
      </c>
      <c r="E1818" s="3">
        <f t="shared" si="115"/>
        <v>88482.568751002764</v>
      </c>
    </row>
    <row r="1819" spans="1:5" x14ac:dyDescent="0.3">
      <c r="A1819">
        <f t="shared" si="116"/>
        <v>18.170000000000041</v>
      </c>
      <c r="B1819">
        <f t="shared" si="116"/>
        <v>48.169999999997096</v>
      </c>
      <c r="C1819">
        <f t="shared" si="114"/>
        <v>9.7296879150165453E-4</v>
      </c>
      <c r="D1819">
        <f t="shared" si="117"/>
        <v>9.7296879150165453E-4</v>
      </c>
      <c r="E1819" s="3">
        <f t="shared" si="115"/>
        <v>88542.849818805684</v>
      </c>
    </row>
    <row r="1820" spans="1:5" x14ac:dyDescent="0.3">
      <c r="A1820">
        <f t="shared" si="116"/>
        <v>18.180000000000042</v>
      </c>
      <c r="B1820">
        <f t="shared" si="116"/>
        <v>48.179999999997094</v>
      </c>
      <c r="C1820">
        <f t="shared" si="114"/>
        <v>9.7384947960384865E-4</v>
      </c>
      <c r="D1820">
        <f t="shared" si="117"/>
        <v>9.7384947960384865E-4</v>
      </c>
      <c r="E1820" s="3">
        <f t="shared" si="115"/>
        <v>88603.155484237534</v>
      </c>
    </row>
    <row r="1821" spans="1:5" x14ac:dyDescent="0.3">
      <c r="A1821">
        <f t="shared" si="116"/>
        <v>18.190000000000044</v>
      </c>
      <c r="B1821">
        <f t="shared" si="116"/>
        <v>48.189999999997092</v>
      </c>
      <c r="C1821">
        <f t="shared" si="114"/>
        <v>9.7473119777733146E-4</v>
      </c>
      <c r="D1821">
        <f t="shared" si="117"/>
        <v>9.7473119777733146E-4</v>
      </c>
      <c r="E1821" s="3">
        <f t="shared" si="115"/>
        <v>88663.485758320225</v>
      </c>
    </row>
    <row r="1822" spans="1:5" x14ac:dyDescent="0.3">
      <c r="A1822">
        <f t="shared" si="116"/>
        <v>18.200000000000045</v>
      </c>
      <c r="B1822">
        <f t="shared" si="116"/>
        <v>48.19999999999709</v>
      </c>
      <c r="C1822">
        <f t="shared" si="114"/>
        <v>9.7561394722689584E-4</v>
      </c>
      <c r="D1822">
        <f t="shared" si="117"/>
        <v>9.7561394722689584E-4</v>
      </c>
      <c r="E1822" s="3">
        <f t="shared" si="115"/>
        <v>88723.840652082494</v>
      </c>
    </row>
    <row r="1823" spans="1:5" x14ac:dyDescent="0.3">
      <c r="A1823">
        <f t="shared" si="116"/>
        <v>18.210000000000047</v>
      </c>
      <c r="B1823">
        <f t="shared" si="116"/>
        <v>48.209999999997088</v>
      </c>
      <c r="C1823">
        <f t="shared" si="114"/>
        <v>9.7649772915874478E-4</v>
      </c>
      <c r="D1823">
        <f t="shared" si="117"/>
        <v>9.7649772915874478E-4</v>
      </c>
      <c r="E1823" s="3">
        <f t="shared" si="115"/>
        <v>88784.220176560018</v>
      </c>
    </row>
    <row r="1824" spans="1:5" x14ac:dyDescent="0.3">
      <c r="A1824">
        <f t="shared" si="116"/>
        <v>18.220000000000049</v>
      </c>
      <c r="B1824">
        <f t="shared" si="116"/>
        <v>48.219999999997086</v>
      </c>
      <c r="C1824">
        <f t="shared" si="114"/>
        <v>9.7738254478048955E-4</v>
      </c>
      <c r="D1824">
        <f t="shared" si="117"/>
        <v>9.7738254478048955E-4</v>
      </c>
      <c r="E1824" s="3">
        <f t="shared" si="115"/>
        <v>88844.62434279536</v>
      </c>
    </row>
    <row r="1825" spans="1:5" x14ac:dyDescent="0.3">
      <c r="A1825">
        <f t="shared" si="116"/>
        <v>18.23000000000005</v>
      </c>
      <c r="B1825">
        <f t="shared" si="116"/>
        <v>48.229999999997084</v>
      </c>
      <c r="C1825">
        <f t="shared" si="114"/>
        <v>9.7826839530115663E-4</v>
      </c>
      <c r="D1825">
        <f t="shared" si="117"/>
        <v>9.7826839530115663E-4</v>
      </c>
      <c r="E1825" s="3">
        <f t="shared" si="115"/>
        <v>88905.053161838005</v>
      </c>
    </row>
    <row r="1826" spans="1:5" x14ac:dyDescent="0.3">
      <c r="A1826">
        <f t="shared" si="116"/>
        <v>18.240000000000052</v>
      </c>
      <c r="B1826">
        <f t="shared" si="116"/>
        <v>48.239999999997082</v>
      </c>
      <c r="C1826">
        <f t="shared" si="114"/>
        <v>9.7915528193118499E-4</v>
      </c>
      <c r="D1826">
        <f t="shared" si="117"/>
        <v>9.7915528193118499E-4</v>
      </c>
      <c r="E1826" s="3">
        <f t="shared" si="115"/>
        <v>88965.506644744339</v>
      </c>
    </row>
    <row r="1827" spans="1:5" x14ac:dyDescent="0.3">
      <c r="A1827">
        <f t="shared" si="116"/>
        <v>18.250000000000053</v>
      </c>
      <c r="B1827">
        <f t="shared" si="116"/>
        <v>48.24999999999708</v>
      </c>
      <c r="C1827">
        <f t="shared" si="114"/>
        <v>9.8004320588243056E-4</v>
      </c>
      <c r="D1827">
        <f t="shared" si="117"/>
        <v>9.8004320588243056E-4</v>
      </c>
      <c r="E1827" s="3">
        <f t="shared" si="115"/>
        <v>89025.984802577703</v>
      </c>
    </row>
    <row r="1828" spans="1:5" x14ac:dyDescent="0.3">
      <c r="A1828">
        <f t="shared" si="116"/>
        <v>18.260000000000055</v>
      </c>
      <c r="B1828">
        <f t="shared" si="116"/>
        <v>48.259999999997078</v>
      </c>
      <c r="C1828">
        <f t="shared" si="114"/>
        <v>9.8093216836816631E-4</v>
      </c>
      <c r="D1828">
        <f t="shared" si="117"/>
        <v>9.8093216836816631E-4</v>
      </c>
      <c r="E1828" s="3">
        <f t="shared" si="115"/>
        <v>89086.487646408365</v>
      </c>
    </row>
    <row r="1829" spans="1:5" x14ac:dyDescent="0.3">
      <c r="A1829">
        <f t="shared" si="116"/>
        <v>18.270000000000056</v>
      </c>
      <c r="B1829">
        <f t="shared" si="116"/>
        <v>48.269999999997076</v>
      </c>
      <c r="C1829">
        <f t="shared" si="114"/>
        <v>9.8182217060308248E-4</v>
      </c>
      <c r="D1829">
        <f t="shared" si="117"/>
        <v>9.8182217060308248E-4</v>
      </c>
      <c r="E1829" s="3">
        <f t="shared" si="115"/>
        <v>89147.015187313533</v>
      </c>
    </row>
    <row r="1830" spans="1:5" x14ac:dyDescent="0.3">
      <c r="A1830">
        <f t="shared" si="116"/>
        <v>18.280000000000058</v>
      </c>
      <c r="B1830">
        <f t="shared" si="116"/>
        <v>48.279999999997074</v>
      </c>
      <c r="C1830">
        <f t="shared" si="114"/>
        <v>9.8271321380329264E-4</v>
      </c>
      <c r="D1830">
        <f t="shared" si="117"/>
        <v>9.8271321380329264E-4</v>
      </c>
      <c r="E1830" s="3">
        <f t="shared" si="115"/>
        <v>89207.567436377387</v>
      </c>
    </row>
    <row r="1831" spans="1:5" x14ac:dyDescent="0.3">
      <c r="A1831">
        <f t="shared" si="116"/>
        <v>18.29000000000006</v>
      </c>
      <c r="B1831">
        <f t="shared" si="116"/>
        <v>48.289999999997072</v>
      </c>
      <c r="C1831">
        <f t="shared" si="114"/>
        <v>9.8360529918633112E-4</v>
      </c>
      <c r="D1831">
        <f t="shared" si="117"/>
        <v>9.8360529918633112E-4</v>
      </c>
      <c r="E1831" s="3">
        <f t="shared" si="115"/>
        <v>89268.144404691047</v>
      </c>
    </row>
    <row r="1832" spans="1:5" x14ac:dyDescent="0.3">
      <c r="A1832">
        <f t="shared" si="116"/>
        <v>18.300000000000061</v>
      </c>
      <c r="B1832">
        <f t="shared" si="116"/>
        <v>48.29999999999707</v>
      </c>
      <c r="C1832">
        <f t="shared" si="114"/>
        <v>9.8449842797115731E-4</v>
      </c>
      <c r="D1832">
        <f t="shared" si="117"/>
        <v>9.8449842797115731E-4</v>
      </c>
      <c r="E1832" s="3">
        <f t="shared" si="115"/>
        <v>89328.746103352576</v>
      </c>
    </row>
    <row r="1833" spans="1:5" x14ac:dyDescent="0.3">
      <c r="A1833">
        <f t="shared" si="116"/>
        <v>18.310000000000063</v>
      </c>
      <c r="B1833">
        <f t="shared" si="116"/>
        <v>48.309999999997068</v>
      </c>
      <c r="C1833">
        <f t="shared" si="114"/>
        <v>9.8539260137815612E-4</v>
      </c>
      <c r="D1833">
        <f t="shared" si="117"/>
        <v>9.8539260137815612E-4</v>
      </c>
      <c r="E1833" s="3">
        <f t="shared" si="115"/>
        <v>89389.372543467063</v>
      </c>
    </row>
    <row r="1834" spans="1:5" x14ac:dyDescent="0.3">
      <c r="A1834">
        <f t="shared" si="116"/>
        <v>18.320000000000064</v>
      </c>
      <c r="B1834">
        <f t="shared" si="116"/>
        <v>48.319999999997066</v>
      </c>
      <c r="C1834">
        <f t="shared" si="114"/>
        <v>9.862878206291384E-4</v>
      </c>
      <c r="D1834">
        <f t="shared" si="117"/>
        <v>9.862878206291384E-4</v>
      </c>
      <c r="E1834" s="3">
        <f t="shared" si="115"/>
        <v>89450.023736146541</v>
      </c>
    </row>
    <row r="1835" spans="1:5" x14ac:dyDescent="0.3">
      <c r="A1835">
        <f t="shared" si="116"/>
        <v>18.330000000000066</v>
      </c>
      <c r="B1835">
        <f t="shared" si="116"/>
        <v>48.329999999997064</v>
      </c>
      <c r="C1835">
        <f t="shared" si="114"/>
        <v>9.8718408694734592E-4</v>
      </c>
      <c r="D1835">
        <f t="shared" si="117"/>
        <v>9.8718408694734592E-4</v>
      </c>
      <c r="E1835" s="3">
        <f t="shared" si="115"/>
        <v>89510.699692510025</v>
      </c>
    </row>
    <row r="1836" spans="1:5" x14ac:dyDescent="0.3">
      <c r="A1836">
        <f t="shared" si="116"/>
        <v>18.340000000000067</v>
      </c>
      <c r="B1836">
        <f t="shared" si="116"/>
        <v>48.339999999997062</v>
      </c>
      <c r="C1836">
        <f t="shared" si="114"/>
        <v>9.8808140155745051E-4</v>
      </c>
      <c r="D1836">
        <f t="shared" si="117"/>
        <v>9.8808140155745051E-4</v>
      </c>
      <c r="E1836" s="3">
        <f t="shared" si="115"/>
        <v>89571.400423683561</v>
      </c>
    </row>
    <row r="1837" spans="1:5" x14ac:dyDescent="0.3">
      <c r="A1837">
        <f t="shared" si="116"/>
        <v>18.350000000000069</v>
      </c>
      <c r="B1837">
        <f t="shared" si="116"/>
        <v>48.34999999999706</v>
      </c>
      <c r="C1837">
        <f t="shared" si="114"/>
        <v>9.8897976568555648E-4</v>
      </c>
      <c r="D1837">
        <f t="shared" si="117"/>
        <v>9.8897976568555648E-4</v>
      </c>
      <c r="E1837" s="3">
        <f t="shared" si="115"/>
        <v>89632.125940800179</v>
      </c>
    </row>
    <row r="1838" spans="1:5" x14ac:dyDescent="0.3">
      <c r="A1838">
        <f t="shared" si="116"/>
        <v>18.36000000000007</v>
      </c>
      <c r="B1838">
        <f t="shared" si="116"/>
        <v>48.359999999997058</v>
      </c>
      <c r="C1838">
        <f t="shared" si="114"/>
        <v>9.8987918055920229E-4</v>
      </c>
      <c r="D1838">
        <f t="shared" si="117"/>
        <v>9.8987918055920229E-4</v>
      </c>
      <c r="E1838" s="3">
        <f t="shared" si="115"/>
        <v>89692.876254999923</v>
      </c>
    </row>
    <row r="1839" spans="1:5" x14ac:dyDescent="0.3">
      <c r="A1839">
        <f t="shared" si="116"/>
        <v>18.370000000000072</v>
      </c>
      <c r="B1839">
        <f t="shared" si="116"/>
        <v>48.369999999997056</v>
      </c>
      <c r="C1839">
        <f t="shared" si="114"/>
        <v>9.9077964740736124E-4</v>
      </c>
      <c r="D1839">
        <f t="shared" si="117"/>
        <v>9.9077964740736124E-4</v>
      </c>
      <c r="E1839" s="3">
        <f t="shared" si="115"/>
        <v>89753.651377429851</v>
      </c>
    </row>
    <row r="1840" spans="1:5" x14ac:dyDescent="0.3">
      <c r="A1840">
        <f t="shared" si="116"/>
        <v>18.380000000000074</v>
      </c>
      <c r="B1840">
        <f t="shared" si="116"/>
        <v>48.379999999997054</v>
      </c>
      <c r="C1840">
        <f t="shared" si="114"/>
        <v>9.9168116746044515E-4</v>
      </c>
      <c r="D1840">
        <f t="shared" si="117"/>
        <v>9.9168116746044515E-4</v>
      </c>
      <c r="E1840" s="3">
        <f t="shared" si="115"/>
        <v>89814.451319244065</v>
      </c>
    </row>
    <row r="1841" spans="1:5" x14ac:dyDescent="0.3">
      <c r="A1841">
        <f t="shared" si="116"/>
        <v>18.390000000000075</v>
      </c>
      <c r="B1841">
        <f t="shared" si="116"/>
        <v>48.389999999997052</v>
      </c>
      <c r="C1841">
        <f t="shared" si="114"/>
        <v>9.925837419503048E-4</v>
      </c>
      <c r="D1841">
        <f t="shared" si="117"/>
        <v>9.925837419503048E-4</v>
      </c>
      <c r="E1841" s="3">
        <f t="shared" si="115"/>
        <v>89875.276091603679</v>
      </c>
    </row>
    <row r="1842" spans="1:5" x14ac:dyDescent="0.3">
      <c r="A1842">
        <f t="shared" si="116"/>
        <v>18.400000000000077</v>
      </c>
      <c r="B1842">
        <f t="shared" si="116"/>
        <v>48.39999999999705</v>
      </c>
      <c r="C1842">
        <f t="shared" si="114"/>
        <v>9.9348737211023123E-4</v>
      </c>
      <c r="D1842">
        <f t="shared" si="117"/>
        <v>9.9348737211023123E-4</v>
      </c>
      <c r="E1842" s="3">
        <f t="shared" si="115"/>
        <v>89936.125705676895</v>
      </c>
    </row>
    <row r="1843" spans="1:5" x14ac:dyDescent="0.3">
      <c r="A1843">
        <f t="shared" si="116"/>
        <v>18.410000000000078</v>
      </c>
      <c r="B1843">
        <f t="shared" si="116"/>
        <v>48.409999999997048</v>
      </c>
      <c r="C1843">
        <f t="shared" si="114"/>
        <v>9.943920591749594E-4</v>
      </c>
      <c r="D1843">
        <f t="shared" si="117"/>
        <v>9.943920591749594E-4</v>
      </c>
      <c r="E1843" s="3">
        <f t="shared" si="115"/>
        <v>89997.000172638902</v>
      </c>
    </row>
    <row r="1844" spans="1:5" x14ac:dyDescent="0.3">
      <c r="A1844">
        <f t="shared" si="116"/>
        <v>18.42000000000008</v>
      </c>
      <c r="B1844">
        <f t="shared" si="116"/>
        <v>48.419999999997046</v>
      </c>
      <c r="C1844">
        <f t="shared" si="114"/>
        <v>9.952978043806654E-4</v>
      </c>
      <c r="D1844">
        <f t="shared" si="117"/>
        <v>9.952978043806654E-4</v>
      </c>
      <c r="E1844" s="3">
        <f t="shared" si="115"/>
        <v>90057.899503672001</v>
      </c>
    </row>
    <row r="1845" spans="1:5" x14ac:dyDescent="0.3">
      <c r="A1845">
        <f t="shared" si="116"/>
        <v>18.430000000000081</v>
      </c>
      <c r="B1845">
        <f t="shared" si="116"/>
        <v>48.429999999997044</v>
      </c>
      <c r="C1845">
        <f t="shared" si="114"/>
        <v>9.9620460896497447E-4</v>
      </c>
      <c r="D1845">
        <f t="shared" si="117"/>
        <v>9.9620460896497447E-4</v>
      </c>
      <c r="E1845" s="3">
        <f t="shared" si="115"/>
        <v>90118.823709965509</v>
      </c>
    </row>
    <row r="1846" spans="1:5" x14ac:dyDescent="0.3">
      <c r="A1846">
        <f t="shared" si="116"/>
        <v>18.440000000000083</v>
      </c>
      <c r="B1846">
        <f t="shared" si="116"/>
        <v>48.439999999997042</v>
      </c>
      <c r="C1846">
        <f t="shared" si="114"/>
        <v>9.9711247416695774E-4</v>
      </c>
      <c r="D1846">
        <f t="shared" si="117"/>
        <v>9.9711247416695774E-4</v>
      </c>
      <c r="E1846" s="3">
        <f t="shared" si="115"/>
        <v>90179.772802715874</v>
      </c>
    </row>
    <row r="1847" spans="1:5" x14ac:dyDescent="0.3">
      <c r="A1847">
        <f t="shared" si="116"/>
        <v>18.450000000000085</v>
      </c>
      <c r="B1847">
        <f t="shared" si="116"/>
        <v>48.44999999999704</v>
      </c>
      <c r="C1847">
        <f t="shared" si="114"/>
        <v>9.9802140122713591E-4</v>
      </c>
      <c r="D1847">
        <f t="shared" si="117"/>
        <v>9.9802140122713591E-4</v>
      </c>
      <c r="E1847" s="3">
        <f t="shared" si="115"/>
        <v>90240.746793126571</v>
      </c>
    </row>
    <row r="1848" spans="1:5" x14ac:dyDescent="0.3">
      <c r="A1848">
        <f t="shared" si="116"/>
        <v>18.460000000000086</v>
      </c>
      <c r="B1848">
        <f t="shared" si="116"/>
        <v>48.459999999997038</v>
      </c>
      <c r="C1848">
        <f t="shared" si="114"/>
        <v>9.9893139138748145E-4</v>
      </c>
      <c r="D1848">
        <f t="shared" si="117"/>
        <v>9.9893139138748145E-4</v>
      </c>
      <c r="E1848" s="3">
        <f t="shared" si="115"/>
        <v>90301.745692408207</v>
      </c>
    </row>
    <row r="1849" spans="1:5" x14ac:dyDescent="0.3">
      <c r="A1849">
        <f t="shared" si="116"/>
        <v>18.470000000000088</v>
      </c>
      <c r="B1849">
        <f t="shared" si="116"/>
        <v>48.469999999997036</v>
      </c>
      <c r="C1849">
        <f t="shared" si="114"/>
        <v>9.9984244589141702E-4</v>
      </c>
      <c r="D1849">
        <f t="shared" si="117"/>
        <v>9.9984244589141702E-4</v>
      </c>
      <c r="E1849" s="3">
        <f t="shared" si="115"/>
        <v>90362.769511778475</v>
      </c>
    </row>
    <row r="1850" spans="1:5" x14ac:dyDescent="0.3">
      <c r="A1850">
        <f t="shared" si="116"/>
        <v>18.480000000000089</v>
      </c>
      <c r="B1850">
        <f t="shared" si="116"/>
        <v>48.479999999997034</v>
      </c>
      <c r="C1850">
        <f t="shared" si="114"/>
        <v>1.0007545659838221E-3</v>
      </c>
      <c r="D1850">
        <f t="shared" si="117"/>
        <v>1.0007545659838221E-3</v>
      </c>
      <c r="E1850" s="3">
        <f t="shared" si="115"/>
        <v>90423.81826246214</v>
      </c>
    </row>
    <row r="1851" spans="1:5" x14ac:dyDescent="0.3">
      <c r="A1851">
        <f t="shared" si="116"/>
        <v>18.490000000000091</v>
      </c>
      <c r="B1851">
        <f t="shared" si="116"/>
        <v>48.489999999997032</v>
      </c>
      <c r="C1851">
        <f t="shared" si="114"/>
        <v>1.0016677529110312E-3</v>
      </c>
      <c r="D1851">
        <f t="shared" si="117"/>
        <v>1.0016677529110312E-3</v>
      </c>
      <c r="E1851" s="3">
        <f t="shared" si="115"/>
        <v>90484.891955691142</v>
      </c>
    </row>
    <row r="1852" spans="1:5" x14ac:dyDescent="0.3">
      <c r="A1852">
        <f t="shared" si="116"/>
        <v>18.500000000000092</v>
      </c>
      <c r="B1852">
        <f t="shared" si="116"/>
        <v>48.49999999999703</v>
      </c>
      <c r="C1852">
        <f t="shared" si="114"/>
        <v>1.0025820079208366E-3</v>
      </c>
      <c r="D1852">
        <f t="shared" si="117"/>
        <v>1.0025820079208366E-3</v>
      </c>
      <c r="E1852" s="3">
        <f t="shared" si="115"/>
        <v>90545.990602704493</v>
      </c>
    </row>
    <row r="1853" spans="1:5" x14ac:dyDescent="0.3">
      <c r="A1853">
        <f t="shared" si="116"/>
        <v>18.510000000000094</v>
      </c>
      <c r="B1853">
        <f t="shared" si="116"/>
        <v>48.509999999997028</v>
      </c>
      <c r="C1853">
        <f t="shared" si="114"/>
        <v>1.0034973322624913E-3</v>
      </c>
      <c r="D1853">
        <f t="shared" si="117"/>
        <v>1.0034973322624913E-3</v>
      </c>
      <c r="E1853" s="3">
        <f t="shared" si="115"/>
        <v>90607.114214748333</v>
      </c>
    </row>
    <row r="1854" spans="1:5" x14ac:dyDescent="0.3">
      <c r="A1854">
        <f t="shared" si="116"/>
        <v>18.520000000000095</v>
      </c>
      <c r="B1854">
        <f t="shared" si="116"/>
        <v>48.519999999997026</v>
      </c>
      <c r="C1854">
        <f t="shared" si="114"/>
        <v>1.0044137271867063E-3</v>
      </c>
      <c r="D1854">
        <f t="shared" si="117"/>
        <v>1.0044137271867063E-3</v>
      </c>
      <c r="E1854" s="3">
        <f t="shared" si="115"/>
        <v>90668.262803075937</v>
      </c>
    </row>
    <row r="1855" spans="1:5" x14ac:dyDescent="0.3">
      <c r="A1855">
        <f t="shared" si="116"/>
        <v>18.530000000000097</v>
      </c>
      <c r="B1855">
        <f t="shared" si="116"/>
        <v>48.529999999997024</v>
      </c>
      <c r="C1855">
        <f t="shared" si="114"/>
        <v>1.0053311939456585E-3</v>
      </c>
      <c r="D1855">
        <f t="shared" si="117"/>
        <v>1.0053311939456585E-3</v>
      </c>
      <c r="E1855" s="3">
        <f t="shared" si="115"/>
        <v>90729.436378947765</v>
      </c>
    </row>
    <row r="1856" spans="1:5" x14ac:dyDescent="0.3">
      <c r="A1856">
        <f t="shared" si="116"/>
        <v>18.540000000000099</v>
      </c>
      <c r="B1856">
        <f t="shared" si="116"/>
        <v>48.539999999997022</v>
      </c>
      <c r="C1856">
        <f t="shared" si="114"/>
        <v>1.006249733792988E-3</v>
      </c>
      <c r="D1856">
        <f t="shared" si="117"/>
        <v>1.006249733792988E-3</v>
      </c>
      <c r="E1856" s="3">
        <f t="shared" si="115"/>
        <v>90790.634953631394</v>
      </c>
    </row>
    <row r="1857" spans="1:5" x14ac:dyDescent="0.3">
      <c r="A1857">
        <f t="shared" si="116"/>
        <v>18.5500000000001</v>
      </c>
      <c r="B1857">
        <f t="shared" si="116"/>
        <v>48.54999999999702</v>
      </c>
      <c r="C1857">
        <f t="shared" si="114"/>
        <v>1.007169347983802E-3</v>
      </c>
      <c r="D1857">
        <f t="shared" si="117"/>
        <v>1.007169347983802E-3</v>
      </c>
      <c r="E1857" s="3">
        <f t="shared" si="115"/>
        <v>90851.85853840159</v>
      </c>
    </row>
    <row r="1858" spans="1:5" x14ac:dyDescent="0.3">
      <c r="A1858">
        <f t="shared" si="116"/>
        <v>18.560000000000102</v>
      </c>
      <c r="B1858">
        <f t="shared" si="116"/>
        <v>48.559999999997018</v>
      </c>
      <c r="C1858">
        <f t="shared" si="114"/>
        <v>1.0080900377746752E-3</v>
      </c>
      <c r="D1858">
        <f t="shared" si="117"/>
        <v>1.0080900377746752E-3</v>
      </c>
      <c r="E1858" s="3">
        <f t="shared" si="115"/>
        <v>90913.107144540234</v>
      </c>
    </row>
    <row r="1859" spans="1:5" x14ac:dyDescent="0.3">
      <c r="A1859">
        <f t="shared" si="116"/>
        <v>18.570000000000103</v>
      </c>
      <c r="B1859">
        <f t="shared" si="116"/>
        <v>48.569999999997016</v>
      </c>
      <c r="C1859">
        <f t="shared" ref="C1859:C1922" si="118">$N$2 + $N$3*$N$4^(B1859)</f>
        <v>1.0090118044236512E-3</v>
      </c>
      <c r="D1859">
        <f t="shared" si="117"/>
        <v>1.0090118044236512E-3</v>
      </c>
      <c r="E1859" s="3">
        <f t="shared" ref="E1859:E1922" si="119">IF(ROUND(A1859, 2)=$N$10,$N$6,(E1860-$N$5*($N$7-$N$8-($N$6+$N$9)*D1859))/(1+$N$5*$N$11+$N$5*D1859))</f>
        <v>90974.380783336426</v>
      </c>
    </row>
    <row r="1860" spans="1:5" x14ac:dyDescent="0.3">
      <c r="A1860">
        <f t="shared" ref="A1860:B1923" si="120">A1859+$N$5</f>
        <v>18.580000000000105</v>
      </c>
      <c r="B1860">
        <f t="shared" si="120"/>
        <v>48.579999999997014</v>
      </c>
      <c r="C1860">
        <f t="shared" si="118"/>
        <v>1.0099346491902461E-3</v>
      </c>
      <c r="D1860">
        <f t="shared" si="117"/>
        <v>1.0099346491902461E-3</v>
      </c>
      <c r="E1860" s="3">
        <f t="shared" si="119"/>
        <v>91035.67946608644</v>
      </c>
    </row>
    <row r="1861" spans="1:5" x14ac:dyDescent="0.3">
      <c r="A1861">
        <f t="shared" si="120"/>
        <v>18.590000000000106</v>
      </c>
      <c r="B1861">
        <f t="shared" si="120"/>
        <v>48.589999999997012</v>
      </c>
      <c r="C1861">
        <f t="shared" si="118"/>
        <v>1.0108585733354493E-3</v>
      </c>
      <c r="D1861">
        <f t="shared" si="117"/>
        <v>1.0108585733354493E-3</v>
      </c>
      <c r="E1861" s="3">
        <f t="shared" si="119"/>
        <v>91097.003204093737</v>
      </c>
    </row>
    <row r="1862" spans="1:5" x14ac:dyDescent="0.3">
      <c r="A1862">
        <f t="shared" si="120"/>
        <v>18.600000000000108</v>
      </c>
      <c r="B1862">
        <f t="shared" si="120"/>
        <v>48.59999999999701</v>
      </c>
      <c r="C1862">
        <f t="shared" si="118"/>
        <v>1.0117835781217241E-3</v>
      </c>
      <c r="D1862">
        <f t="shared" si="117"/>
        <v>1.0117835781217241E-3</v>
      </c>
      <c r="E1862" s="3">
        <f t="shared" si="119"/>
        <v>91158.352008668968</v>
      </c>
    </row>
    <row r="1863" spans="1:5" x14ac:dyDescent="0.3">
      <c r="A1863">
        <f t="shared" si="120"/>
        <v>18.61000000000011</v>
      </c>
      <c r="B1863">
        <f t="shared" si="120"/>
        <v>48.609999999997008</v>
      </c>
      <c r="C1863">
        <f t="shared" si="118"/>
        <v>1.0127096648130125E-3</v>
      </c>
      <c r="D1863">
        <f t="shared" si="117"/>
        <v>1.0127096648130125E-3</v>
      </c>
      <c r="E1863" s="3">
        <f t="shared" si="119"/>
        <v>91219.725891130016</v>
      </c>
    </row>
    <row r="1864" spans="1:5" x14ac:dyDescent="0.3">
      <c r="A1864">
        <f t="shared" si="120"/>
        <v>18.620000000000111</v>
      </c>
      <c r="B1864">
        <f t="shared" si="120"/>
        <v>48.619999999997006</v>
      </c>
      <c r="C1864">
        <f t="shared" si="118"/>
        <v>1.0136368346747313E-3</v>
      </c>
      <c r="D1864">
        <f t="shared" si="117"/>
        <v>1.0136368346747313E-3</v>
      </c>
      <c r="E1864" s="3">
        <f t="shared" si="119"/>
        <v>91281.124862801982</v>
      </c>
    </row>
    <row r="1865" spans="1:5" x14ac:dyDescent="0.3">
      <c r="A1865">
        <f t="shared" si="120"/>
        <v>18.630000000000113</v>
      </c>
      <c r="B1865">
        <f t="shared" si="120"/>
        <v>48.629999999997004</v>
      </c>
      <c r="C1865">
        <f t="shared" si="118"/>
        <v>1.0145650889737802E-3</v>
      </c>
      <c r="D1865">
        <f t="shared" si="117"/>
        <v>1.0145650889737802E-3</v>
      </c>
      <c r="E1865" s="3">
        <f t="shared" si="119"/>
        <v>91342.548935017141</v>
      </c>
    </row>
    <row r="1866" spans="1:5" x14ac:dyDescent="0.3">
      <c r="A1866">
        <f t="shared" si="120"/>
        <v>18.640000000000114</v>
      </c>
      <c r="B1866">
        <f t="shared" si="120"/>
        <v>48.639999999997002</v>
      </c>
      <c r="C1866">
        <f t="shared" si="118"/>
        <v>1.01549442897854E-3</v>
      </c>
      <c r="D1866">
        <f t="shared" si="117"/>
        <v>1.01549442897854E-3</v>
      </c>
      <c r="E1866" s="3">
        <f t="shared" si="119"/>
        <v>91403.998119115029</v>
      </c>
    </row>
    <row r="1867" spans="1:5" x14ac:dyDescent="0.3">
      <c r="A1867">
        <f t="shared" si="120"/>
        <v>18.650000000000116</v>
      </c>
      <c r="B1867">
        <f t="shared" si="120"/>
        <v>48.649999999997</v>
      </c>
      <c r="C1867">
        <f t="shared" si="118"/>
        <v>1.0164248559588747E-3</v>
      </c>
      <c r="D1867">
        <f t="shared" si="117"/>
        <v>1.0164248559588747E-3</v>
      </c>
      <c r="E1867" s="3">
        <f t="shared" si="119"/>
        <v>91465.472426442444</v>
      </c>
    </row>
    <row r="1868" spans="1:5" x14ac:dyDescent="0.3">
      <c r="A1868">
        <f t="shared" si="120"/>
        <v>18.660000000000117</v>
      </c>
      <c r="B1868">
        <f t="shared" si="120"/>
        <v>48.659999999996998</v>
      </c>
      <c r="C1868">
        <f t="shared" si="118"/>
        <v>1.0173563711861346E-3</v>
      </c>
      <c r="D1868">
        <f t="shared" si="117"/>
        <v>1.0173563711861346E-3</v>
      </c>
      <c r="E1868" s="3">
        <f t="shared" si="119"/>
        <v>91526.971868353416</v>
      </c>
    </row>
    <row r="1869" spans="1:5" x14ac:dyDescent="0.3">
      <c r="A1869">
        <f t="shared" si="120"/>
        <v>18.670000000000119</v>
      </c>
      <c r="B1869">
        <f t="shared" si="120"/>
        <v>48.669999999996996</v>
      </c>
      <c r="C1869">
        <f t="shared" si="118"/>
        <v>1.0182889759331546E-3</v>
      </c>
      <c r="D1869">
        <f t="shared" si="117"/>
        <v>1.0182889759331546E-3</v>
      </c>
      <c r="E1869" s="3">
        <f t="shared" si="119"/>
        <v>91588.496456209221</v>
      </c>
    </row>
    <row r="1870" spans="1:5" x14ac:dyDescent="0.3">
      <c r="A1870">
        <f t="shared" si="120"/>
        <v>18.680000000000121</v>
      </c>
      <c r="B1870">
        <f t="shared" si="120"/>
        <v>48.679999999996994</v>
      </c>
      <c r="C1870">
        <f t="shared" si="118"/>
        <v>1.0192226714742605E-3</v>
      </c>
      <c r="D1870">
        <f t="shared" si="117"/>
        <v>1.0192226714742605E-3</v>
      </c>
      <c r="E1870" s="3">
        <f t="shared" si="119"/>
        <v>91650.046201378413</v>
      </c>
    </row>
    <row r="1871" spans="1:5" x14ac:dyDescent="0.3">
      <c r="A1871">
        <f t="shared" si="120"/>
        <v>18.690000000000122</v>
      </c>
      <c r="B1871">
        <f t="shared" si="120"/>
        <v>48.689999999996992</v>
      </c>
      <c r="C1871">
        <f t="shared" si="118"/>
        <v>1.0201574590852683E-3</v>
      </c>
      <c r="D1871">
        <f t="shared" si="117"/>
        <v>1.0201574590852683E-3</v>
      </c>
      <c r="E1871" s="3">
        <f t="shared" si="119"/>
        <v>91711.621115236791</v>
      </c>
    </row>
    <row r="1872" spans="1:5" x14ac:dyDescent="0.3">
      <c r="A1872">
        <f t="shared" si="120"/>
        <v>18.700000000000124</v>
      </c>
      <c r="B1872">
        <f t="shared" si="120"/>
        <v>48.69999999999699</v>
      </c>
      <c r="C1872">
        <f t="shared" si="118"/>
        <v>1.0210933400434856E-3</v>
      </c>
      <c r="D1872">
        <f t="shared" si="117"/>
        <v>1.0210933400434856E-3</v>
      </c>
      <c r="E1872" s="3">
        <f t="shared" si="119"/>
        <v>91773.221209167445</v>
      </c>
    </row>
    <row r="1873" spans="1:5" x14ac:dyDescent="0.3">
      <c r="A1873">
        <f t="shared" si="120"/>
        <v>18.710000000000125</v>
      </c>
      <c r="B1873">
        <f t="shared" si="120"/>
        <v>48.709999999996988</v>
      </c>
      <c r="C1873">
        <f t="shared" si="118"/>
        <v>1.0220303156277151E-3</v>
      </c>
      <c r="D1873">
        <f t="shared" si="117"/>
        <v>1.0220303156277151E-3</v>
      </c>
      <c r="E1873" s="3">
        <f t="shared" si="119"/>
        <v>91834.84649456077</v>
      </c>
    </row>
    <row r="1874" spans="1:5" x14ac:dyDescent="0.3">
      <c r="A1874">
        <f t="shared" si="120"/>
        <v>18.720000000000127</v>
      </c>
      <c r="B1874">
        <f t="shared" si="120"/>
        <v>48.719999999996986</v>
      </c>
      <c r="C1874">
        <f t="shared" si="118"/>
        <v>1.022968387118253E-3</v>
      </c>
      <c r="D1874">
        <f t="shared" si="117"/>
        <v>1.022968387118253E-3</v>
      </c>
      <c r="E1874" s="3">
        <f t="shared" si="119"/>
        <v>91896.496982814453</v>
      </c>
    </row>
    <row r="1875" spans="1:5" x14ac:dyDescent="0.3">
      <c r="A1875">
        <f t="shared" si="120"/>
        <v>18.730000000000128</v>
      </c>
      <c r="B1875">
        <f t="shared" si="120"/>
        <v>48.729999999996984</v>
      </c>
      <c r="C1875">
        <f t="shared" si="118"/>
        <v>1.0239075557968947E-3</v>
      </c>
      <c r="D1875">
        <f t="shared" si="117"/>
        <v>1.0239075557968947E-3</v>
      </c>
      <c r="E1875" s="3">
        <f t="shared" si="119"/>
        <v>91958.172685333455</v>
      </c>
    </row>
    <row r="1876" spans="1:5" x14ac:dyDescent="0.3">
      <c r="A1876">
        <f t="shared" si="120"/>
        <v>18.74000000000013</v>
      </c>
      <c r="B1876">
        <f t="shared" si="120"/>
        <v>48.739999999996982</v>
      </c>
      <c r="C1876">
        <f t="shared" si="118"/>
        <v>1.0248478229469347E-3</v>
      </c>
      <c r="D1876">
        <f t="shared" si="117"/>
        <v>1.0248478229469347E-3</v>
      </c>
      <c r="E1876" s="3">
        <f t="shared" si="119"/>
        <v>92019.873613530086</v>
      </c>
    </row>
    <row r="1877" spans="1:5" x14ac:dyDescent="0.3">
      <c r="A1877">
        <f t="shared" si="120"/>
        <v>18.750000000000131</v>
      </c>
      <c r="B1877">
        <f t="shared" si="120"/>
        <v>48.74999999999698</v>
      </c>
      <c r="C1877">
        <f t="shared" si="118"/>
        <v>1.0257891898531682E-3</v>
      </c>
      <c r="D1877">
        <f t="shared" si="117"/>
        <v>1.0257891898531682E-3</v>
      </c>
      <c r="E1877" s="3">
        <f t="shared" si="119"/>
        <v>92081.599778823947</v>
      </c>
    </row>
    <row r="1878" spans="1:5" x14ac:dyDescent="0.3">
      <c r="A1878">
        <f t="shared" si="120"/>
        <v>18.760000000000133</v>
      </c>
      <c r="B1878">
        <f t="shared" si="120"/>
        <v>48.759999999996978</v>
      </c>
      <c r="C1878">
        <f t="shared" si="118"/>
        <v>1.0267316578018936E-3</v>
      </c>
      <c r="D1878">
        <f t="shared" si="117"/>
        <v>1.0267316578018936E-3</v>
      </c>
      <c r="E1878" s="3">
        <f t="shared" si="119"/>
        <v>92143.351192642003</v>
      </c>
    </row>
    <row r="1879" spans="1:5" x14ac:dyDescent="0.3">
      <c r="A1879">
        <f t="shared" si="120"/>
        <v>18.770000000000135</v>
      </c>
      <c r="B1879">
        <f t="shared" si="120"/>
        <v>48.769999999996976</v>
      </c>
      <c r="C1879">
        <f t="shared" si="118"/>
        <v>1.0276752280809123E-3</v>
      </c>
      <c r="D1879">
        <f t="shared" ref="D1879:D1942" si="121">IF(A1879&lt;=2, (0.9)^(2-A1879)*C1879, C1879)</f>
        <v>1.0276752280809123E-3</v>
      </c>
      <c r="E1879" s="3">
        <f t="shared" si="119"/>
        <v>92205.127866418523</v>
      </c>
    </row>
    <row r="1880" spans="1:5" x14ac:dyDescent="0.3">
      <c r="A1880">
        <f t="shared" si="120"/>
        <v>18.780000000000136</v>
      </c>
      <c r="B1880">
        <f t="shared" si="120"/>
        <v>48.779999999996974</v>
      </c>
      <c r="C1880">
        <f t="shared" si="118"/>
        <v>1.0286199019795333E-3</v>
      </c>
      <c r="D1880">
        <f t="shared" si="121"/>
        <v>1.0286199019795333E-3</v>
      </c>
      <c r="E1880" s="3">
        <f t="shared" si="119"/>
        <v>92266.92981159511</v>
      </c>
    </row>
    <row r="1881" spans="1:5" x14ac:dyDescent="0.3">
      <c r="A1881">
        <f t="shared" si="120"/>
        <v>18.790000000000138</v>
      </c>
      <c r="B1881">
        <f t="shared" si="120"/>
        <v>48.789999999996972</v>
      </c>
      <c r="C1881">
        <f t="shared" si="118"/>
        <v>1.0295656807885734E-3</v>
      </c>
      <c r="D1881">
        <f t="shared" si="121"/>
        <v>1.0295656807885734E-3</v>
      </c>
      <c r="E1881" s="3">
        <f t="shared" si="119"/>
        <v>92328.757039620759</v>
      </c>
    </row>
    <row r="1882" spans="1:5" x14ac:dyDescent="0.3">
      <c r="A1882">
        <f t="shared" si="120"/>
        <v>18.800000000000139</v>
      </c>
      <c r="B1882">
        <f t="shared" si="120"/>
        <v>48.79999999999697</v>
      </c>
      <c r="C1882">
        <f t="shared" si="118"/>
        <v>1.0305125658003592E-3</v>
      </c>
      <c r="D1882">
        <f t="shared" si="121"/>
        <v>1.0305125658003592E-3</v>
      </c>
      <c r="E1882" s="3">
        <f t="shared" si="119"/>
        <v>92390.609561951802</v>
      </c>
    </row>
    <row r="1883" spans="1:5" x14ac:dyDescent="0.3">
      <c r="A1883">
        <f t="shared" si="120"/>
        <v>18.810000000000141</v>
      </c>
      <c r="B1883">
        <f t="shared" si="120"/>
        <v>48.809999999996968</v>
      </c>
      <c r="C1883">
        <f t="shared" si="118"/>
        <v>1.0314605583087288E-3</v>
      </c>
      <c r="D1883">
        <f t="shared" si="121"/>
        <v>1.0314605583087288E-3</v>
      </c>
      <c r="E1883" s="3">
        <f t="shared" si="119"/>
        <v>92452.487390051916</v>
      </c>
    </row>
    <row r="1884" spans="1:5" x14ac:dyDescent="0.3">
      <c r="A1884">
        <f t="shared" si="120"/>
        <v>18.820000000000142</v>
      </c>
      <c r="B1884">
        <f t="shared" si="120"/>
        <v>48.819999999996966</v>
      </c>
      <c r="C1884">
        <f t="shared" si="118"/>
        <v>1.0324096596090325E-3</v>
      </c>
      <c r="D1884">
        <f t="shared" si="121"/>
        <v>1.0324096596090325E-3</v>
      </c>
      <c r="E1884" s="3">
        <f t="shared" si="119"/>
        <v>92514.390535392216</v>
      </c>
    </row>
    <row r="1885" spans="1:5" x14ac:dyDescent="0.3">
      <c r="A1885">
        <f t="shared" si="120"/>
        <v>18.830000000000144</v>
      </c>
      <c r="B1885">
        <f t="shared" si="120"/>
        <v>48.829999999996964</v>
      </c>
      <c r="C1885">
        <f t="shared" si="118"/>
        <v>1.0333598709981373E-3</v>
      </c>
      <c r="D1885">
        <f t="shared" si="121"/>
        <v>1.0333598709981373E-3</v>
      </c>
      <c r="E1885" s="3">
        <f t="shared" si="119"/>
        <v>92576.319009451166</v>
      </c>
    </row>
    <row r="1886" spans="1:5" x14ac:dyDescent="0.3">
      <c r="A1886">
        <f t="shared" si="120"/>
        <v>18.840000000000146</v>
      </c>
      <c r="B1886">
        <f t="shared" si="120"/>
        <v>48.839999999996962</v>
      </c>
      <c r="C1886">
        <f t="shared" si="118"/>
        <v>1.0343111937744262E-3</v>
      </c>
      <c r="D1886">
        <f t="shared" si="121"/>
        <v>1.0343111937744262E-3</v>
      </c>
      <c r="E1886" s="3">
        <f t="shared" si="119"/>
        <v>92638.272823714637</v>
      </c>
    </row>
    <row r="1887" spans="1:5" x14ac:dyDescent="0.3">
      <c r="A1887">
        <f t="shared" si="120"/>
        <v>18.850000000000147</v>
      </c>
      <c r="B1887">
        <f t="shared" si="120"/>
        <v>48.84999999999696</v>
      </c>
      <c r="C1887">
        <f t="shared" si="118"/>
        <v>1.035263629237801E-3</v>
      </c>
      <c r="D1887">
        <f t="shared" si="121"/>
        <v>1.035263629237801E-3</v>
      </c>
      <c r="E1887" s="3">
        <f t="shared" si="119"/>
        <v>92700.251989675889</v>
      </c>
    </row>
    <row r="1888" spans="1:5" x14ac:dyDescent="0.3">
      <c r="A1888">
        <f t="shared" si="120"/>
        <v>18.860000000000149</v>
      </c>
      <c r="B1888">
        <f t="shared" si="120"/>
        <v>48.859999999996958</v>
      </c>
      <c r="C1888">
        <f t="shared" si="118"/>
        <v>1.0362171786896847E-3</v>
      </c>
      <c r="D1888">
        <f t="shared" si="121"/>
        <v>1.0362171786896847E-3</v>
      </c>
      <c r="E1888" s="3">
        <f t="shared" si="119"/>
        <v>92762.25651883558</v>
      </c>
    </row>
    <row r="1889" spans="1:5" x14ac:dyDescent="0.3">
      <c r="A1889">
        <f t="shared" si="120"/>
        <v>18.87000000000015</v>
      </c>
      <c r="B1889">
        <f t="shared" si="120"/>
        <v>48.869999999996956</v>
      </c>
      <c r="C1889">
        <f t="shared" si="118"/>
        <v>1.0371718434330202E-3</v>
      </c>
      <c r="D1889">
        <f t="shared" si="121"/>
        <v>1.0371718434330202E-3</v>
      </c>
      <c r="E1889" s="3">
        <f t="shared" si="119"/>
        <v>92824.286422701814</v>
      </c>
    </row>
    <row r="1890" spans="1:5" x14ac:dyDescent="0.3">
      <c r="A1890">
        <f t="shared" si="120"/>
        <v>18.880000000000152</v>
      </c>
      <c r="B1890">
        <f t="shared" si="120"/>
        <v>48.879999999996954</v>
      </c>
      <c r="C1890">
        <f t="shared" si="118"/>
        <v>1.0381276247722765E-3</v>
      </c>
      <c r="D1890">
        <f t="shared" si="121"/>
        <v>1.0381276247722765E-3</v>
      </c>
      <c r="E1890" s="3">
        <f t="shared" si="119"/>
        <v>92886.341712790105</v>
      </c>
    </row>
    <row r="1891" spans="1:5" x14ac:dyDescent="0.3">
      <c r="A1891">
        <f t="shared" si="120"/>
        <v>18.890000000000153</v>
      </c>
      <c r="B1891">
        <f t="shared" si="120"/>
        <v>48.889999999996952</v>
      </c>
      <c r="C1891">
        <f t="shared" si="118"/>
        <v>1.0390845240134474E-3</v>
      </c>
      <c r="D1891">
        <f t="shared" si="121"/>
        <v>1.0390845240134474E-3</v>
      </c>
      <c r="E1891" s="3">
        <f t="shared" si="119"/>
        <v>92948.4224006234</v>
      </c>
    </row>
    <row r="1892" spans="1:5" x14ac:dyDescent="0.3">
      <c r="A1892">
        <f t="shared" si="120"/>
        <v>18.900000000000155</v>
      </c>
      <c r="B1892">
        <f t="shared" si="120"/>
        <v>48.89999999999695</v>
      </c>
      <c r="C1892">
        <f t="shared" si="118"/>
        <v>1.0400425424640545E-3</v>
      </c>
      <c r="D1892">
        <f t="shared" si="121"/>
        <v>1.0400425424640545E-3</v>
      </c>
      <c r="E1892" s="3">
        <f t="shared" si="119"/>
        <v>93010.528497732113</v>
      </c>
    </row>
    <row r="1893" spans="1:5" x14ac:dyDescent="0.3">
      <c r="A1893">
        <f t="shared" si="120"/>
        <v>18.910000000000156</v>
      </c>
      <c r="B1893">
        <f t="shared" si="120"/>
        <v>48.909999999996948</v>
      </c>
      <c r="C1893">
        <f t="shared" si="118"/>
        <v>1.0410016814331497E-3</v>
      </c>
      <c r="D1893">
        <f t="shared" si="121"/>
        <v>1.0410016814331497E-3</v>
      </c>
      <c r="E1893" s="3">
        <f t="shared" si="119"/>
        <v>93072.660015654095</v>
      </c>
    </row>
    <row r="1894" spans="1:5" x14ac:dyDescent="0.3">
      <c r="A1894">
        <f t="shared" si="120"/>
        <v>18.920000000000158</v>
      </c>
      <c r="B1894">
        <f t="shared" si="120"/>
        <v>48.919999999996946</v>
      </c>
      <c r="C1894">
        <f t="shared" si="118"/>
        <v>1.0419619422313133E-3</v>
      </c>
      <c r="D1894">
        <f t="shared" si="121"/>
        <v>1.0419619422313133E-3</v>
      </c>
      <c r="E1894" s="3">
        <f t="shared" si="119"/>
        <v>93134.816965934646</v>
      </c>
    </row>
    <row r="1895" spans="1:5" x14ac:dyDescent="0.3">
      <c r="A1895">
        <f t="shared" si="120"/>
        <v>18.93000000000016</v>
      </c>
      <c r="B1895">
        <f t="shared" si="120"/>
        <v>48.929999999996944</v>
      </c>
      <c r="C1895">
        <f t="shared" si="118"/>
        <v>1.0429233261706606E-3</v>
      </c>
      <c r="D1895">
        <f t="shared" si="121"/>
        <v>1.0429233261706606E-3</v>
      </c>
      <c r="E1895" s="3">
        <f t="shared" si="119"/>
        <v>93196.999360126545</v>
      </c>
    </row>
    <row r="1896" spans="1:5" x14ac:dyDescent="0.3">
      <c r="A1896">
        <f t="shared" si="120"/>
        <v>18.940000000000161</v>
      </c>
      <c r="B1896">
        <f t="shared" si="120"/>
        <v>48.939999999996942</v>
      </c>
      <c r="C1896">
        <f t="shared" si="118"/>
        <v>1.0438858345648415E-3</v>
      </c>
      <c r="D1896">
        <f t="shared" si="121"/>
        <v>1.0438858345648415E-3</v>
      </c>
      <c r="E1896" s="3">
        <f t="shared" si="119"/>
        <v>93259.207209790038</v>
      </c>
    </row>
    <row r="1897" spans="1:5" x14ac:dyDescent="0.3">
      <c r="A1897">
        <f t="shared" si="120"/>
        <v>18.950000000000163</v>
      </c>
      <c r="B1897">
        <f t="shared" si="120"/>
        <v>48.94999999999694</v>
      </c>
      <c r="C1897">
        <f t="shared" si="118"/>
        <v>1.0448494687290419E-3</v>
      </c>
      <c r="D1897">
        <f t="shared" si="121"/>
        <v>1.0448494687290419E-3</v>
      </c>
      <c r="E1897" s="3">
        <f t="shared" si="119"/>
        <v>93321.440526492894</v>
      </c>
    </row>
    <row r="1898" spans="1:5" x14ac:dyDescent="0.3">
      <c r="A1898">
        <f t="shared" si="120"/>
        <v>18.960000000000164</v>
      </c>
      <c r="B1898">
        <f t="shared" si="120"/>
        <v>48.959999999996938</v>
      </c>
      <c r="C1898">
        <f t="shared" si="118"/>
        <v>1.0458142299799864E-3</v>
      </c>
      <c r="D1898">
        <f t="shared" si="121"/>
        <v>1.0458142299799864E-3</v>
      </c>
      <c r="E1898" s="3">
        <f t="shared" si="119"/>
        <v>93383.699321810302</v>
      </c>
    </row>
    <row r="1899" spans="1:5" x14ac:dyDescent="0.3">
      <c r="A1899">
        <f t="shared" si="120"/>
        <v>18.970000000000166</v>
      </c>
      <c r="B1899">
        <f t="shared" si="120"/>
        <v>48.969999999996936</v>
      </c>
      <c r="C1899">
        <f t="shared" si="118"/>
        <v>1.0467801196359383E-3</v>
      </c>
      <c r="D1899">
        <f t="shared" si="121"/>
        <v>1.0467801196359383E-3</v>
      </c>
      <c r="E1899" s="3">
        <f t="shared" si="119"/>
        <v>93445.983607325034</v>
      </c>
    </row>
    <row r="1900" spans="1:5" x14ac:dyDescent="0.3">
      <c r="A1900">
        <f t="shared" si="120"/>
        <v>18.980000000000167</v>
      </c>
      <c r="B1900">
        <f t="shared" si="120"/>
        <v>48.979999999996934</v>
      </c>
      <c r="C1900">
        <f t="shared" si="118"/>
        <v>1.0477471390167043E-3</v>
      </c>
      <c r="D1900">
        <f t="shared" si="121"/>
        <v>1.0477471390167043E-3</v>
      </c>
      <c r="E1900" s="3">
        <f t="shared" si="119"/>
        <v>93508.293394627311</v>
      </c>
    </row>
    <row r="1901" spans="1:5" x14ac:dyDescent="0.3">
      <c r="A1901">
        <f t="shared" si="120"/>
        <v>18.990000000000169</v>
      </c>
      <c r="B1901">
        <f t="shared" si="120"/>
        <v>48.989999999996932</v>
      </c>
      <c r="C1901">
        <f t="shared" si="118"/>
        <v>1.0487152894436342E-3</v>
      </c>
      <c r="D1901">
        <f t="shared" si="121"/>
        <v>1.0487152894436342E-3</v>
      </c>
      <c r="E1901" s="3">
        <f t="shared" si="119"/>
        <v>93570.628695314939</v>
      </c>
    </row>
    <row r="1902" spans="1:5" x14ac:dyDescent="0.3">
      <c r="A1902">
        <f t="shared" si="120"/>
        <v>19.000000000000171</v>
      </c>
      <c r="B1902">
        <f t="shared" si="120"/>
        <v>48.99999999999693</v>
      </c>
      <c r="C1902">
        <f t="shared" si="118"/>
        <v>1.0496845722396237E-3</v>
      </c>
      <c r="D1902">
        <f t="shared" si="121"/>
        <v>1.0496845722396237E-3</v>
      </c>
      <c r="E1902" s="3">
        <f t="shared" si="119"/>
        <v>93632.989520993171</v>
      </c>
    </row>
    <row r="1903" spans="1:5" x14ac:dyDescent="0.3">
      <c r="A1903">
        <f t="shared" si="120"/>
        <v>19.010000000000172</v>
      </c>
      <c r="B1903">
        <f t="shared" si="120"/>
        <v>49.009999999996928</v>
      </c>
      <c r="C1903">
        <f t="shared" si="118"/>
        <v>1.0506549887291158E-3</v>
      </c>
      <c r="D1903">
        <f t="shared" si="121"/>
        <v>1.0506549887291158E-3</v>
      </c>
      <c r="E1903" s="3">
        <f t="shared" si="119"/>
        <v>93695.375883274857</v>
      </c>
    </row>
    <row r="1904" spans="1:5" x14ac:dyDescent="0.3">
      <c r="A1904">
        <f t="shared" si="120"/>
        <v>19.020000000000174</v>
      </c>
      <c r="B1904">
        <f t="shared" si="120"/>
        <v>49.019999999996926</v>
      </c>
      <c r="C1904">
        <f t="shared" si="118"/>
        <v>1.0516265402381005E-3</v>
      </c>
      <c r="D1904">
        <f t="shared" si="121"/>
        <v>1.0516265402381005E-3</v>
      </c>
      <c r="E1904" s="3">
        <f t="shared" si="119"/>
        <v>93757.787793780342</v>
      </c>
    </row>
    <row r="1905" spans="1:5" x14ac:dyDescent="0.3">
      <c r="A1905">
        <f t="shared" si="120"/>
        <v>19.030000000000175</v>
      </c>
      <c r="B1905">
        <f t="shared" si="120"/>
        <v>49.029999999996924</v>
      </c>
      <c r="C1905">
        <f t="shared" si="118"/>
        <v>1.0525992280941217E-3</v>
      </c>
      <c r="D1905">
        <f t="shared" si="121"/>
        <v>1.0525992280941217E-3</v>
      </c>
      <c r="E1905" s="3">
        <f t="shared" si="119"/>
        <v>93820.225264137582</v>
      </c>
    </row>
    <row r="1906" spans="1:5" x14ac:dyDescent="0.3">
      <c r="A1906">
        <f t="shared" si="120"/>
        <v>19.040000000000177</v>
      </c>
      <c r="B1906">
        <f t="shared" si="120"/>
        <v>49.039999999996922</v>
      </c>
      <c r="C1906">
        <f t="shared" si="118"/>
        <v>1.0535730536262746E-3</v>
      </c>
      <c r="D1906">
        <f t="shared" si="121"/>
        <v>1.0535730536262746E-3</v>
      </c>
      <c r="E1906" s="3">
        <f t="shared" si="119"/>
        <v>93882.688305982068</v>
      </c>
    </row>
    <row r="1907" spans="1:5" x14ac:dyDescent="0.3">
      <c r="A1907">
        <f t="shared" si="120"/>
        <v>19.050000000000178</v>
      </c>
      <c r="B1907">
        <f t="shared" si="120"/>
        <v>49.049999999996921</v>
      </c>
      <c r="C1907">
        <f t="shared" si="118"/>
        <v>1.0545480181652089E-3</v>
      </c>
      <c r="D1907">
        <f t="shared" si="121"/>
        <v>1.0545480181652089E-3</v>
      </c>
      <c r="E1907" s="3">
        <f t="shared" si="119"/>
        <v>93945.176930956848</v>
      </c>
    </row>
    <row r="1908" spans="1:5" x14ac:dyDescent="0.3">
      <c r="A1908">
        <f t="shared" si="120"/>
        <v>19.06000000000018</v>
      </c>
      <c r="B1908">
        <f t="shared" si="120"/>
        <v>49.059999999996919</v>
      </c>
      <c r="C1908">
        <f t="shared" si="118"/>
        <v>1.0555241230431316E-3</v>
      </c>
      <c r="D1908">
        <f t="shared" si="121"/>
        <v>1.0555241230431316E-3</v>
      </c>
      <c r="E1908" s="3">
        <f t="shared" si="119"/>
        <v>94007.691150712562</v>
      </c>
    </row>
    <row r="1909" spans="1:5" x14ac:dyDescent="0.3">
      <c r="A1909">
        <f t="shared" si="120"/>
        <v>19.070000000000181</v>
      </c>
      <c r="B1909">
        <f t="shared" si="120"/>
        <v>49.069999999996917</v>
      </c>
      <c r="C1909">
        <f t="shared" si="118"/>
        <v>1.0565013695938059E-3</v>
      </c>
      <c r="D1909">
        <f t="shared" si="121"/>
        <v>1.0565013695938059E-3</v>
      </c>
      <c r="E1909" s="3">
        <f t="shared" si="119"/>
        <v>94070.230976907405</v>
      </c>
    </row>
    <row r="1910" spans="1:5" x14ac:dyDescent="0.3">
      <c r="A1910">
        <f t="shared" si="120"/>
        <v>19.080000000000183</v>
      </c>
      <c r="B1910">
        <f t="shared" si="120"/>
        <v>49.079999999996915</v>
      </c>
      <c r="C1910">
        <f t="shared" si="118"/>
        <v>1.0574797591525566E-3</v>
      </c>
      <c r="D1910">
        <f t="shared" si="121"/>
        <v>1.0574797591525566E-3</v>
      </c>
      <c r="E1910" s="3">
        <f t="shared" si="119"/>
        <v>94132.796421207226</v>
      </c>
    </row>
    <row r="1911" spans="1:5" x14ac:dyDescent="0.3">
      <c r="A1911">
        <f t="shared" si="120"/>
        <v>19.090000000000185</v>
      </c>
      <c r="B1911">
        <f t="shared" si="120"/>
        <v>49.089999999996913</v>
      </c>
      <c r="C1911">
        <f t="shared" si="118"/>
        <v>1.0584592930562701E-3</v>
      </c>
      <c r="D1911">
        <f t="shared" si="121"/>
        <v>1.0584592930562701E-3</v>
      </c>
      <c r="E1911" s="3">
        <f t="shared" si="119"/>
        <v>94195.387495285438</v>
      </c>
    </row>
    <row r="1912" spans="1:5" x14ac:dyDescent="0.3">
      <c r="A1912">
        <f t="shared" si="120"/>
        <v>19.100000000000186</v>
      </c>
      <c r="B1912">
        <f t="shared" si="120"/>
        <v>49.099999999996911</v>
      </c>
      <c r="C1912">
        <f t="shared" si="118"/>
        <v>1.0594399726433965E-3</v>
      </c>
      <c r="D1912">
        <f t="shared" si="121"/>
        <v>1.0594399726433965E-3</v>
      </c>
      <c r="E1912" s="3">
        <f t="shared" si="119"/>
        <v>94258.00421082307</v>
      </c>
    </row>
    <row r="1913" spans="1:5" x14ac:dyDescent="0.3">
      <c r="A1913">
        <f t="shared" si="120"/>
        <v>19.110000000000188</v>
      </c>
      <c r="B1913">
        <f t="shared" si="120"/>
        <v>49.109999999996909</v>
      </c>
      <c r="C1913">
        <f t="shared" si="118"/>
        <v>1.0604217992539508E-3</v>
      </c>
      <c r="D1913">
        <f t="shared" si="121"/>
        <v>1.0604217992539508E-3</v>
      </c>
      <c r="E1913" s="3">
        <f t="shared" si="119"/>
        <v>94320.646579508772</v>
      </c>
    </row>
    <row r="1914" spans="1:5" x14ac:dyDescent="0.3">
      <c r="A1914">
        <f t="shared" si="120"/>
        <v>19.120000000000189</v>
      </c>
      <c r="B1914">
        <f t="shared" si="120"/>
        <v>49.119999999996907</v>
      </c>
      <c r="C1914">
        <f t="shared" si="118"/>
        <v>1.0614047742295166E-3</v>
      </c>
      <c r="D1914">
        <f t="shared" si="121"/>
        <v>1.0614047742295166E-3</v>
      </c>
      <c r="E1914" s="3">
        <f t="shared" si="119"/>
        <v>94383.314613038849</v>
      </c>
    </row>
    <row r="1915" spans="1:5" x14ac:dyDescent="0.3">
      <c r="A1915">
        <f t="shared" si="120"/>
        <v>19.130000000000191</v>
      </c>
      <c r="B1915">
        <f t="shared" si="120"/>
        <v>49.129999999996905</v>
      </c>
      <c r="C1915">
        <f t="shared" si="118"/>
        <v>1.0623888989132442E-3</v>
      </c>
      <c r="D1915">
        <f t="shared" si="121"/>
        <v>1.0623888989132442E-3</v>
      </c>
      <c r="E1915" s="3">
        <f t="shared" si="119"/>
        <v>94446.008323117203</v>
      </c>
    </row>
    <row r="1916" spans="1:5" x14ac:dyDescent="0.3">
      <c r="A1916">
        <f t="shared" si="120"/>
        <v>19.140000000000192</v>
      </c>
      <c r="B1916">
        <f t="shared" si="120"/>
        <v>49.139999999996903</v>
      </c>
      <c r="C1916">
        <f t="shared" si="118"/>
        <v>1.063374174649857E-3</v>
      </c>
      <c r="D1916">
        <f t="shared" si="121"/>
        <v>1.063374174649857E-3</v>
      </c>
      <c r="E1916" s="3">
        <f t="shared" si="119"/>
        <v>94508.727721455434</v>
      </c>
    </row>
    <row r="1917" spans="1:5" x14ac:dyDescent="0.3">
      <c r="A1917">
        <f t="shared" si="120"/>
        <v>19.150000000000194</v>
      </c>
      <c r="B1917">
        <f t="shared" si="120"/>
        <v>49.149999999996901</v>
      </c>
      <c r="C1917">
        <f t="shared" si="118"/>
        <v>1.0643606027856511E-3</v>
      </c>
      <c r="D1917">
        <f t="shared" si="121"/>
        <v>1.0643606027856511E-3</v>
      </c>
      <c r="E1917" s="3">
        <f t="shared" si="119"/>
        <v>94571.472819772738</v>
      </c>
    </row>
    <row r="1918" spans="1:5" x14ac:dyDescent="0.3">
      <c r="A1918">
        <f t="shared" si="120"/>
        <v>19.160000000000196</v>
      </c>
      <c r="B1918">
        <f t="shared" si="120"/>
        <v>49.159999999996899</v>
      </c>
      <c r="C1918">
        <f t="shared" si="118"/>
        <v>1.0653481846684962E-3</v>
      </c>
      <c r="D1918">
        <f t="shared" si="121"/>
        <v>1.0653481846684962E-3</v>
      </c>
      <c r="E1918" s="3">
        <f t="shared" si="119"/>
        <v>94634.243629796023</v>
      </c>
    </row>
    <row r="1919" spans="1:5" x14ac:dyDescent="0.3">
      <c r="A1919">
        <f t="shared" si="120"/>
        <v>19.170000000000197</v>
      </c>
      <c r="B1919">
        <f t="shared" si="120"/>
        <v>49.169999999996897</v>
      </c>
      <c r="C1919">
        <f t="shared" si="118"/>
        <v>1.0663369216478401E-3</v>
      </c>
      <c r="D1919">
        <f t="shared" si="121"/>
        <v>1.0663369216478401E-3</v>
      </c>
      <c r="E1919" s="3">
        <f t="shared" si="119"/>
        <v>94697.040163259851</v>
      </c>
    </row>
    <row r="1920" spans="1:5" x14ac:dyDescent="0.3">
      <c r="A1920">
        <f t="shared" si="120"/>
        <v>19.180000000000199</v>
      </c>
      <c r="B1920">
        <f t="shared" si="120"/>
        <v>49.179999999996895</v>
      </c>
      <c r="C1920">
        <f t="shared" si="118"/>
        <v>1.0673268150747062E-3</v>
      </c>
      <c r="D1920">
        <f t="shared" si="121"/>
        <v>1.0673268150747062E-3</v>
      </c>
      <c r="E1920" s="3">
        <f t="shared" si="119"/>
        <v>94759.862431906469</v>
      </c>
    </row>
    <row r="1921" spans="1:5" x14ac:dyDescent="0.3">
      <c r="A1921">
        <f t="shared" si="120"/>
        <v>19.1900000000002</v>
      </c>
      <c r="B1921">
        <f t="shared" si="120"/>
        <v>49.189999999996893</v>
      </c>
      <c r="C1921">
        <f t="shared" si="118"/>
        <v>1.068317866301701E-3</v>
      </c>
      <c r="D1921">
        <f t="shared" si="121"/>
        <v>1.068317866301701E-3</v>
      </c>
      <c r="E1921" s="3">
        <f t="shared" si="119"/>
        <v>94822.710447485835</v>
      </c>
    </row>
    <row r="1922" spans="1:5" x14ac:dyDescent="0.3">
      <c r="A1922">
        <f t="shared" si="120"/>
        <v>19.200000000000202</v>
      </c>
      <c r="B1922">
        <f t="shared" si="120"/>
        <v>49.199999999996891</v>
      </c>
      <c r="C1922">
        <f t="shared" si="118"/>
        <v>1.0693100766830115E-3</v>
      </c>
      <c r="D1922">
        <f t="shared" si="121"/>
        <v>1.0693100766830115E-3</v>
      </c>
      <c r="E1922" s="3">
        <f t="shared" si="119"/>
        <v>94885.584221755547</v>
      </c>
    </row>
    <row r="1923" spans="1:5" x14ac:dyDescent="0.3">
      <c r="A1923">
        <f t="shared" si="120"/>
        <v>19.210000000000203</v>
      </c>
      <c r="B1923">
        <f t="shared" si="120"/>
        <v>49.209999999996889</v>
      </c>
      <c r="C1923">
        <f t="shared" ref="C1923:C1986" si="122">$N$2 + $N$3*$N$4^(B1923)</f>
        <v>1.0703034475744086E-3</v>
      </c>
      <c r="D1923">
        <f t="shared" si="121"/>
        <v>1.0703034475744086E-3</v>
      </c>
      <c r="E1923" s="3">
        <f t="shared" ref="E1923:E1986" si="123">IF(ROUND(A1923, 2)=$N$10,$N$6,(E1924-$N$5*($N$7-$N$8-($N$6+$N$9)*D1923))/(1+$N$5*$N$11+$N$5*D1923))</f>
        <v>94948.483766480975</v>
      </c>
    </row>
    <row r="1924" spans="1:5" x14ac:dyDescent="0.3">
      <c r="A1924">
        <f t="shared" ref="A1924:B1987" si="124">A1923+$N$5</f>
        <v>19.220000000000205</v>
      </c>
      <c r="B1924">
        <f t="shared" si="124"/>
        <v>49.219999999996887</v>
      </c>
      <c r="C1924">
        <f t="shared" si="122"/>
        <v>1.0712979803332507E-3</v>
      </c>
      <c r="D1924">
        <f t="shared" si="121"/>
        <v>1.0712979803332507E-3</v>
      </c>
      <c r="E1924" s="3">
        <f t="shared" si="123"/>
        <v>95011.40909343517</v>
      </c>
    </row>
    <row r="1925" spans="1:5" x14ac:dyDescent="0.3">
      <c r="A1925">
        <f t="shared" si="124"/>
        <v>19.230000000000206</v>
      </c>
      <c r="B1925">
        <f t="shared" si="124"/>
        <v>49.229999999996885</v>
      </c>
      <c r="C1925">
        <f t="shared" si="122"/>
        <v>1.0722936763184804E-3</v>
      </c>
      <c r="D1925">
        <f t="shared" si="121"/>
        <v>1.0722936763184804E-3</v>
      </c>
      <c r="E1925" s="3">
        <f t="shared" si="123"/>
        <v>95074.360214398897</v>
      </c>
    </row>
    <row r="1926" spans="1:5" x14ac:dyDescent="0.3">
      <c r="A1926">
        <f t="shared" si="124"/>
        <v>19.240000000000208</v>
      </c>
      <c r="B1926">
        <f t="shared" si="124"/>
        <v>49.239999999996883</v>
      </c>
      <c r="C1926">
        <f t="shared" si="122"/>
        <v>1.0732905368906324E-3</v>
      </c>
      <c r="D1926">
        <f t="shared" si="121"/>
        <v>1.0732905368906324E-3</v>
      </c>
      <c r="E1926" s="3">
        <f t="shared" si="123"/>
        <v>95137.337141160708</v>
      </c>
    </row>
    <row r="1927" spans="1:5" x14ac:dyDescent="0.3">
      <c r="A1927">
        <f t="shared" si="124"/>
        <v>19.25000000000021</v>
      </c>
      <c r="B1927">
        <f t="shared" si="124"/>
        <v>49.249999999996881</v>
      </c>
      <c r="C1927">
        <f t="shared" si="122"/>
        <v>1.0742885634118322E-3</v>
      </c>
      <c r="D1927">
        <f t="shared" si="121"/>
        <v>1.0742885634118322E-3</v>
      </c>
      <c r="E1927" s="3">
        <f t="shared" si="123"/>
        <v>95200.339885516863</v>
      </c>
    </row>
    <row r="1928" spans="1:5" x14ac:dyDescent="0.3">
      <c r="A1928">
        <f t="shared" si="124"/>
        <v>19.260000000000211</v>
      </c>
      <c r="B1928">
        <f t="shared" si="124"/>
        <v>49.259999999996879</v>
      </c>
      <c r="C1928">
        <f t="shared" si="122"/>
        <v>1.0752877572457985E-3</v>
      </c>
      <c r="D1928">
        <f t="shared" si="121"/>
        <v>1.0752877572457985E-3</v>
      </c>
      <c r="E1928" s="3">
        <f t="shared" si="123"/>
        <v>95263.368459271383</v>
      </c>
    </row>
    <row r="1929" spans="1:5" x14ac:dyDescent="0.3">
      <c r="A1929">
        <f t="shared" si="124"/>
        <v>19.270000000000213</v>
      </c>
      <c r="B1929">
        <f t="shared" si="124"/>
        <v>49.269999999996877</v>
      </c>
      <c r="C1929">
        <f t="shared" si="122"/>
        <v>1.076288119757845E-3</v>
      </c>
      <c r="D1929">
        <f t="shared" si="121"/>
        <v>1.076288119757845E-3</v>
      </c>
      <c r="E1929" s="3">
        <f t="shared" si="123"/>
        <v>95326.422874236014</v>
      </c>
    </row>
    <row r="1930" spans="1:5" x14ac:dyDescent="0.3">
      <c r="A1930">
        <f t="shared" si="124"/>
        <v>19.280000000000214</v>
      </c>
      <c r="B1930">
        <f t="shared" si="124"/>
        <v>49.279999999996875</v>
      </c>
      <c r="C1930">
        <f t="shared" si="122"/>
        <v>1.0772896523148811E-3</v>
      </c>
      <c r="D1930">
        <f t="shared" si="121"/>
        <v>1.0772896523148811E-3</v>
      </c>
      <c r="E1930" s="3">
        <f t="shared" si="123"/>
        <v>95389.503142230329</v>
      </c>
    </row>
    <row r="1931" spans="1:5" x14ac:dyDescent="0.3">
      <c r="A1931">
        <f t="shared" si="124"/>
        <v>19.290000000000216</v>
      </c>
      <c r="B1931">
        <f t="shared" si="124"/>
        <v>49.289999999996873</v>
      </c>
      <c r="C1931">
        <f t="shared" si="122"/>
        <v>1.0782923562854165E-3</v>
      </c>
      <c r="D1931">
        <f t="shared" si="121"/>
        <v>1.0782923562854165E-3</v>
      </c>
      <c r="E1931" s="3">
        <f t="shared" si="123"/>
        <v>95452.609275081646</v>
      </c>
    </row>
    <row r="1932" spans="1:5" x14ac:dyDescent="0.3">
      <c r="A1932">
        <f t="shared" si="124"/>
        <v>19.300000000000217</v>
      </c>
      <c r="B1932">
        <f t="shared" si="124"/>
        <v>49.299999999996871</v>
      </c>
      <c r="C1932">
        <f t="shared" si="122"/>
        <v>1.0792962330395609E-3</v>
      </c>
      <c r="D1932">
        <f t="shared" si="121"/>
        <v>1.0792962330395609E-3</v>
      </c>
      <c r="E1932" s="3">
        <f t="shared" si="123"/>
        <v>95515.741284625095</v>
      </c>
    </row>
    <row r="1933" spans="1:5" x14ac:dyDescent="0.3">
      <c r="A1933">
        <f t="shared" si="124"/>
        <v>19.310000000000219</v>
      </c>
      <c r="B1933">
        <f t="shared" si="124"/>
        <v>49.309999999996869</v>
      </c>
      <c r="C1933">
        <f t="shared" si="122"/>
        <v>1.0803012839490267E-3</v>
      </c>
      <c r="D1933">
        <f t="shared" si="121"/>
        <v>1.0803012839490267E-3</v>
      </c>
      <c r="E1933" s="3">
        <f t="shared" si="123"/>
        <v>95578.899182703535</v>
      </c>
    </row>
    <row r="1934" spans="1:5" x14ac:dyDescent="0.3">
      <c r="A1934">
        <f t="shared" si="124"/>
        <v>19.320000000000221</v>
      </c>
      <c r="B1934">
        <f t="shared" si="124"/>
        <v>49.319999999996867</v>
      </c>
      <c r="C1934">
        <f t="shared" si="122"/>
        <v>1.0813075103871317E-3</v>
      </c>
      <c r="D1934">
        <f t="shared" si="121"/>
        <v>1.0813075103871317E-3</v>
      </c>
      <c r="E1934" s="3">
        <f t="shared" si="123"/>
        <v>95642.08298116771</v>
      </c>
    </row>
    <row r="1935" spans="1:5" x14ac:dyDescent="0.3">
      <c r="A1935">
        <f t="shared" si="124"/>
        <v>19.330000000000222</v>
      </c>
      <c r="B1935">
        <f t="shared" si="124"/>
        <v>49.329999999996865</v>
      </c>
      <c r="C1935">
        <f t="shared" si="122"/>
        <v>1.0823149137287971E-3</v>
      </c>
      <c r="D1935">
        <f t="shared" si="121"/>
        <v>1.0823149137287971E-3</v>
      </c>
      <c r="E1935" s="3">
        <f t="shared" si="123"/>
        <v>95705.292691876151</v>
      </c>
    </row>
    <row r="1936" spans="1:5" x14ac:dyDescent="0.3">
      <c r="A1936">
        <f t="shared" si="124"/>
        <v>19.340000000000224</v>
      </c>
      <c r="B1936">
        <f t="shared" si="124"/>
        <v>49.339999999996863</v>
      </c>
      <c r="C1936">
        <f t="shared" si="122"/>
        <v>1.0833234953505546E-3</v>
      </c>
      <c r="D1936">
        <f t="shared" si="121"/>
        <v>1.0833234953505546E-3</v>
      </c>
      <c r="E1936" s="3">
        <f t="shared" si="123"/>
        <v>95768.528326695203</v>
      </c>
    </row>
    <row r="1937" spans="1:5" x14ac:dyDescent="0.3">
      <c r="A1937">
        <f t="shared" si="124"/>
        <v>19.350000000000225</v>
      </c>
      <c r="B1937">
        <f t="shared" si="124"/>
        <v>49.349999999996861</v>
      </c>
      <c r="C1937">
        <f t="shared" si="122"/>
        <v>1.0843332566305456E-3</v>
      </c>
      <c r="D1937">
        <f t="shared" si="121"/>
        <v>1.0843332566305456E-3</v>
      </c>
      <c r="E1937" s="3">
        <f t="shared" si="123"/>
        <v>95831.789897499053</v>
      </c>
    </row>
    <row r="1938" spans="1:5" x14ac:dyDescent="0.3">
      <c r="A1938">
        <f t="shared" si="124"/>
        <v>19.360000000000227</v>
      </c>
      <c r="B1938">
        <f t="shared" si="124"/>
        <v>49.359999999996859</v>
      </c>
      <c r="C1938">
        <f t="shared" si="122"/>
        <v>1.0853441989485228E-3</v>
      </c>
      <c r="D1938">
        <f t="shared" si="121"/>
        <v>1.0853441989485228E-3</v>
      </c>
      <c r="E1938" s="3">
        <f t="shared" si="123"/>
        <v>95895.077416169705</v>
      </c>
    </row>
    <row r="1939" spans="1:5" x14ac:dyDescent="0.3">
      <c r="A1939">
        <f t="shared" si="124"/>
        <v>19.370000000000228</v>
      </c>
      <c r="B1939">
        <f t="shared" si="124"/>
        <v>49.369999999996857</v>
      </c>
      <c r="C1939">
        <f t="shared" si="122"/>
        <v>1.0863563236858541E-3</v>
      </c>
      <c r="D1939">
        <f t="shared" si="121"/>
        <v>1.0863563236858541E-3</v>
      </c>
      <c r="E1939" s="3">
        <f t="shared" si="123"/>
        <v>95958.390894597047</v>
      </c>
    </row>
    <row r="1940" spans="1:5" x14ac:dyDescent="0.3">
      <c r="A1940">
        <f t="shared" si="124"/>
        <v>19.38000000000023</v>
      </c>
      <c r="B1940">
        <f t="shared" si="124"/>
        <v>49.379999999996855</v>
      </c>
      <c r="C1940">
        <f t="shared" si="122"/>
        <v>1.0873696322255206E-3</v>
      </c>
      <c r="D1940">
        <f t="shared" si="121"/>
        <v>1.0873696322255206E-3</v>
      </c>
      <c r="E1940" s="3">
        <f t="shared" si="123"/>
        <v>96021.73034467877</v>
      </c>
    </row>
    <row r="1941" spans="1:5" x14ac:dyDescent="0.3">
      <c r="A1941">
        <f t="shared" si="124"/>
        <v>19.390000000000231</v>
      </c>
      <c r="B1941">
        <f t="shared" si="124"/>
        <v>49.389999999996853</v>
      </c>
      <c r="C1941">
        <f t="shared" si="122"/>
        <v>1.0883841259521224E-3</v>
      </c>
      <c r="D1941">
        <f t="shared" si="121"/>
        <v>1.0883841259521224E-3</v>
      </c>
      <c r="E1941" s="3">
        <f t="shared" si="123"/>
        <v>96085.095778320523</v>
      </c>
    </row>
    <row r="1942" spans="1:5" x14ac:dyDescent="0.3">
      <c r="A1942">
        <f t="shared" si="124"/>
        <v>19.400000000000233</v>
      </c>
      <c r="B1942">
        <f t="shared" si="124"/>
        <v>49.399999999996851</v>
      </c>
      <c r="C1942">
        <f t="shared" si="122"/>
        <v>1.0893998062518797E-3</v>
      </c>
      <c r="D1942">
        <f t="shared" si="121"/>
        <v>1.0893998062518797E-3</v>
      </c>
      <c r="E1942" s="3">
        <f t="shared" si="123"/>
        <v>96148.487207435755</v>
      </c>
    </row>
    <row r="1943" spans="1:5" x14ac:dyDescent="0.3">
      <c r="A1943">
        <f t="shared" si="124"/>
        <v>19.410000000000235</v>
      </c>
      <c r="B1943">
        <f t="shared" si="124"/>
        <v>49.409999999996849</v>
      </c>
      <c r="C1943">
        <f t="shared" si="122"/>
        <v>1.0904166745126335E-3</v>
      </c>
      <c r="D1943">
        <f t="shared" ref="D1943:D2001" si="125">IF(A1943&lt;=2, (0.9)^(2-A1943)*C1943, C1943)</f>
        <v>1.0904166745126335E-3</v>
      </c>
      <c r="E1943" s="3">
        <f t="shared" si="123"/>
        <v>96211.904643945833</v>
      </c>
    </row>
    <row r="1944" spans="1:5" x14ac:dyDescent="0.3">
      <c r="A1944">
        <f t="shared" si="124"/>
        <v>19.420000000000236</v>
      </c>
      <c r="B1944">
        <f t="shared" si="124"/>
        <v>49.419999999996847</v>
      </c>
      <c r="C1944">
        <f t="shared" si="122"/>
        <v>1.0914347321238479E-3</v>
      </c>
      <c r="D1944">
        <f t="shared" si="125"/>
        <v>1.0914347321238479E-3</v>
      </c>
      <c r="E1944" s="3">
        <f t="shared" si="123"/>
        <v>96275.348099779992</v>
      </c>
    </row>
    <row r="1945" spans="1:5" x14ac:dyDescent="0.3">
      <c r="A1945">
        <f t="shared" si="124"/>
        <v>19.430000000000238</v>
      </c>
      <c r="B1945">
        <f t="shared" si="124"/>
        <v>49.429999999996845</v>
      </c>
      <c r="C1945">
        <f t="shared" si="122"/>
        <v>1.0924539804766113E-3</v>
      </c>
      <c r="D1945">
        <f t="shared" si="125"/>
        <v>1.0924539804766113E-3</v>
      </c>
      <c r="E1945" s="3">
        <f t="shared" si="123"/>
        <v>96338.817586875419</v>
      </c>
    </row>
    <row r="1946" spans="1:5" x14ac:dyDescent="0.3">
      <c r="A1946">
        <f t="shared" si="124"/>
        <v>19.440000000000239</v>
      </c>
      <c r="B1946">
        <f t="shared" si="124"/>
        <v>49.439999999996843</v>
      </c>
      <c r="C1946">
        <f t="shared" si="122"/>
        <v>1.0934744209636403E-3</v>
      </c>
      <c r="D1946">
        <f t="shared" si="125"/>
        <v>1.0934744209636403E-3</v>
      </c>
      <c r="E1946" s="3">
        <f t="shared" si="123"/>
        <v>96402.313117177153</v>
      </c>
    </row>
    <row r="1947" spans="1:5" x14ac:dyDescent="0.3">
      <c r="A1947">
        <f t="shared" si="124"/>
        <v>19.450000000000241</v>
      </c>
      <c r="B1947">
        <f t="shared" si="124"/>
        <v>49.449999999996841</v>
      </c>
      <c r="C1947">
        <f t="shared" si="122"/>
        <v>1.0944960549792806E-3</v>
      </c>
      <c r="D1947">
        <f t="shared" si="125"/>
        <v>1.0944960549792806E-3</v>
      </c>
      <c r="E1947" s="3">
        <f t="shared" si="123"/>
        <v>96465.834702638211</v>
      </c>
    </row>
    <row r="1948" spans="1:5" x14ac:dyDescent="0.3">
      <c r="A1948">
        <f t="shared" si="124"/>
        <v>19.460000000000242</v>
      </c>
      <c r="B1948">
        <f t="shared" si="124"/>
        <v>49.459999999996839</v>
      </c>
      <c r="C1948">
        <f t="shared" si="122"/>
        <v>1.0955188839195083E-3</v>
      </c>
      <c r="D1948">
        <f t="shared" si="125"/>
        <v>1.0955188839195083E-3</v>
      </c>
      <c r="E1948" s="3">
        <f t="shared" si="123"/>
        <v>96529.38235521951</v>
      </c>
    </row>
    <row r="1949" spans="1:5" x14ac:dyDescent="0.3">
      <c r="A1949">
        <f t="shared" si="124"/>
        <v>19.470000000000244</v>
      </c>
      <c r="B1949">
        <f t="shared" si="124"/>
        <v>49.469999999996837</v>
      </c>
      <c r="C1949">
        <f t="shared" si="122"/>
        <v>1.0965429091819325E-3</v>
      </c>
      <c r="D1949">
        <f t="shared" si="125"/>
        <v>1.0965429091819325E-3</v>
      </c>
      <c r="E1949" s="3">
        <f t="shared" si="123"/>
        <v>96592.956086889913</v>
      </c>
    </row>
    <row r="1950" spans="1:5" x14ac:dyDescent="0.3">
      <c r="A1950">
        <f t="shared" si="124"/>
        <v>19.480000000000246</v>
      </c>
      <c r="B1950">
        <f t="shared" si="124"/>
        <v>49.479999999996835</v>
      </c>
      <c r="C1950">
        <f t="shared" si="122"/>
        <v>1.0975681321657958E-3</v>
      </c>
      <c r="D1950">
        <f t="shared" si="125"/>
        <v>1.0975681321657958E-3</v>
      </c>
      <c r="E1950" s="3">
        <f t="shared" si="123"/>
        <v>96656.555909626215</v>
      </c>
    </row>
    <row r="1951" spans="1:5" x14ac:dyDescent="0.3">
      <c r="A1951">
        <f t="shared" si="124"/>
        <v>19.490000000000247</v>
      </c>
      <c r="B1951">
        <f t="shared" si="124"/>
        <v>49.489999999996833</v>
      </c>
      <c r="C1951">
        <f t="shared" si="122"/>
        <v>1.0985945542719788E-3</v>
      </c>
      <c r="D1951">
        <f t="shared" si="125"/>
        <v>1.0985945542719788E-3</v>
      </c>
      <c r="E1951" s="3">
        <f t="shared" si="123"/>
        <v>96720.181835413197</v>
      </c>
    </row>
    <row r="1952" spans="1:5" x14ac:dyDescent="0.3">
      <c r="A1952">
        <f t="shared" si="124"/>
        <v>19.500000000000249</v>
      </c>
      <c r="B1952">
        <f t="shared" si="124"/>
        <v>49.499999999996831</v>
      </c>
      <c r="C1952">
        <f t="shared" si="122"/>
        <v>1.0996221769030002E-3</v>
      </c>
      <c r="D1952">
        <f t="shared" si="125"/>
        <v>1.0996221769030002E-3</v>
      </c>
      <c r="E1952" s="3">
        <f t="shared" si="123"/>
        <v>96783.833876243618</v>
      </c>
    </row>
    <row r="1953" spans="1:5" x14ac:dyDescent="0.3">
      <c r="A1953">
        <f t="shared" si="124"/>
        <v>19.51000000000025</v>
      </c>
      <c r="B1953">
        <f t="shared" si="124"/>
        <v>49.509999999996829</v>
      </c>
      <c r="C1953">
        <f t="shared" si="122"/>
        <v>1.100651001463019E-3</v>
      </c>
      <c r="D1953">
        <f t="shared" si="125"/>
        <v>1.100651001463019E-3</v>
      </c>
      <c r="E1953" s="3">
        <f t="shared" si="123"/>
        <v>96847.512044118164</v>
      </c>
    </row>
    <row r="1954" spans="1:5" x14ac:dyDescent="0.3">
      <c r="A1954">
        <f t="shared" si="124"/>
        <v>19.520000000000252</v>
      </c>
      <c r="B1954">
        <f t="shared" si="124"/>
        <v>49.519999999996827</v>
      </c>
      <c r="C1954">
        <f t="shared" si="122"/>
        <v>1.1016810293578375E-3</v>
      </c>
      <c r="D1954">
        <f t="shared" si="125"/>
        <v>1.1016810293578375E-3</v>
      </c>
      <c r="E1954" s="3">
        <f t="shared" si="123"/>
        <v>96911.216351045572</v>
      </c>
    </row>
    <row r="1955" spans="1:5" x14ac:dyDescent="0.3">
      <c r="A1955">
        <f t="shared" si="124"/>
        <v>19.530000000000253</v>
      </c>
      <c r="B1955">
        <f t="shared" si="124"/>
        <v>49.529999999996825</v>
      </c>
      <c r="C1955">
        <f t="shared" si="122"/>
        <v>1.1027122619948998E-3</v>
      </c>
      <c r="D1955">
        <f t="shared" si="125"/>
        <v>1.1027122619948998E-3</v>
      </c>
      <c r="E1955" s="3">
        <f t="shared" si="123"/>
        <v>96974.946809042493</v>
      </c>
    </row>
    <row r="1956" spans="1:5" x14ac:dyDescent="0.3">
      <c r="A1956">
        <f t="shared" si="124"/>
        <v>19.540000000000255</v>
      </c>
      <c r="B1956">
        <f t="shared" si="124"/>
        <v>49.539999999996823</v>
      </c>
      <c r="C1956">
        <f t="shared" si="122"/>
        <v>1.1037447007832982E-3</v>
      </c>
      <c r="D1956">
        <f t="shared" si="125"/>
        <v>1.1037447007832982E-3</v>
      </c>
      <c r="E1956" s="3">
        <f t="shared" si="123"/>
        <v>97038.703430133624</v>
      </c>
    </row>
    <row r="1957" spans="1:5" x14ac:dyDescent="0.3">
      <c r="A1957">
        <f t="shared" si="124"/>
        <v>19.550000000000257</v>
      </c>
      <c r="B1957">
        <f t="shared" si="124"/>
        <v>49.549999999996821</v>
      </c>
      <c r="C1957">
        <f t="shared" si="122"/>
        <v>1.1047783471337727E-3</v>
      </c>
      <c r="D1957">
        <f t="shared" si="125"/>
        <v>1.1047783471337727E-3</v>
      </c>
      <c r="E1957" s="3">
        <f t="shared" si="123"/>
        <v>97102.486226351713</v>
      </c>
    </row>
    <row r="1958" spans="1:5" x14ac:dyDescent="0.3">
      <c r="A1958">
        <f t="shared" si="124"/>
        <v>19.560000000000258</v>
      </c>
      <c r="B1958">
        <f t="shared" si="124"/>
        <v>49.559999999996819</v>
      </c>
      <c r="C1958">
        <f t="shared" si="122"/>
        <v>1.1058132024587136E-3</v>
      </c>
      <c r="D1958">
        <f t="shared" si="125"/>
        <v>1.1058132024587136E-3</v>
      </c>
      <c r="E1958" s="3">
        <f t="shared" si="123"/>
        <v>97166.29520973748</v>
      </c>
    </row>
    <row r="1959" spans="1:5" x14ac:dyDescent="0.3">
      <c r="A1959">
        <f t="shared" si="124"/>
        <v>19.57000000000026</v>
      </c>
      <c r="B1959">
        <f t="shared" si="124"/>
        <v>49.569999999996817</v>
      </c>
      <c r="C1959">
        <f t="shared" si="122"/>
        <v>1.1068492681721633E-3</v>
      </c>
      <c r="D1959">
        <f t="shared" si="125"/>
        <v>1.1068492681721633E-3</v>
      </c>
      <c r="E1959" s="3">
        <f t="shared" si="123"/>
        <v>97230.130392339663</v>
      </c>
    </row>
    <row r="1960" spans="1:5" x14ac:dyDescent="0.3">
      <c r="A1960">
        <f t="shared" si="124"/>
        <v>19.580000000000261</v>
      </c>
      <c r="B1960">
        <f t="shared" si="124"/>
        <v>49.579999999996815</v>
      </c>
      <c r="C1960">
        <f t="shared" si="122"/>
        <v>1.1078865456898162E-3</v>
      </c>
      <c r="D1960">
        <f t="shared" si="125"/>
        <v>1.1078865456898162E-3</v>
      </c>
      <c r="E1960" s="3">
        <f t="shared" si="123"/>
        <v>97293.99178621512</v>
      </c>
    </row>
    <row r="1961" spans="1:5" x14ac:dyDescent="0.3">
      <c r="A1961">
        <f t="shared" si="124"/>
        <v>19.590000000000263</v>
      </c>
      <c r="B1961">
        <f t="shared" si="124"/>
        <v>49.589999999996813</v>
      </c>
      <c r="C1961">
        <f t="shared" si="122"/>
        <v>1.1089250364290245E-3</v>
      </c>
      <c r="D1961">
        <f t="shared" si="125"/>
        <v>1.1089250364290245E-3</v>
      </c>
      <c r="E1961" s="3">
        <f t="shared" si="123"/>
        <v>97357.879403428669</v>
      </c>
    </row>
    <row r="1962" spans="1:5" x14ac:dyDescent="0.3">
      <c r="A1962">
        <f t="shared" si="124"/>
        <v>19.600000000000264</v>
      </c>
      <c r="B1962">
        <f t="shared" si="124"/>
        <v>49.599999999996811</v>
      </c>
      <c r="C1962">
        <f t="shared" si="122"/>
        <v>1.1099647418087975E-3</v>
      </c>
      <c r="D1962">
        <f t="shared" si="125"/>
        <v>1.1099647418087975E-3</v>
      </c>
      <c r="E1962" s="3">
        <f t="shared" si="123"/>
        <v>97421.793256053235</v>
      </c>
    </row>
    <row r="1963" spans="1:5" x14ac:dyDescent="0.3">
      <c r="A1963">
        <f t="shared" si="124"/>
        <v>19.610000000000266</v>
      </c>
      <c r="B1963">
        <f t="shared" si="124"/>
        <v>49.609999999996809</v>
      </c>
      <c r="C1963">
        <f t="shared" si="122"/>
        <v>1.1110056632498047E-3</v>
      </c>
      <c r="D1963">
        <f t="shared" si="125"/>
        <v>1.1110056632498047E-3</v>
      </c>
      <c r="E1963" s="3">
        <f t="shared" si="123"/>
        <v>97485.733356169818</v>
      </c>
    </row>
    <row r="1964" spans="1:5" x14ac:dyDescent="0.3">
      <c r="A1964">
        <f t="shared" si="124"/>
        <v>19.620000000000267</v>
      </c>
      <c r="B1964">
        <f t="shared" si="124"/>
        <v>49.619999999996807</v>
      </c>
      <c r="C1964">
        <f t="shared" si="122"/>
        <v>1.1120478021743776E-3</v>
      </c>
      <c r="D1964">
        <f t="shared" si="125"/>
        <v>1.1120478021743776E-3</v>
      </c>
      <c r="E1964" s="3">
        <f t="shared" si="123"/>
        <v>97549.699715867479</v>
      </c>
    </row>
    <row r="1965" spans="1:5" x14ac:dyDescent="0.3">
      <c r="A1965">
        <f t="shared" si="124"/>
        <v>19.630000000000269</v>
      </c>
      <c r="B1965">
        <f t="shared" si="124"/>
        <v>49.629999999996805</v>
      </c>
      <c r="C1965">
        <f t="shared" si="122"/>
        <v>1.1130911600065083E-3</v>
      </c>
      <c r="D1965">
        <f t="shared" si="125"/>
        <v>1.1130911600065083E-3</v>
      </c>
      <c r="E1965" s="3">
        <f t="shared" si="123"/>
        <v>97613.69234724337</v>
      </c>
    </row>
    <row r="1966" spans="1:5" x14ac:dyDescent="0.3">
      <c r="A1966">
        <f t="shared" si="124"/>
        <v>19.640000000000271</v>
      </c>
      <c r="B1966">
        <f t="shared" si="124"/>
        <v>49.639999999996803</v>
      </c>
      <c r="C1966">
        <f t="shared" si="122"/>
        <v>1.1141357381718583E-3</v>
      </c>
      <c r="D1966">
        <f t="shared" si="125"/>
        <v>1.1141357381718583E-3</v>
      </c>
      <c r="E1966" s="3">
        <f t="shared" si="123"/>
        <v>97677.711262402721</v>
      </c>
    </row>
    <row r="1967" spans="1:5" x14ac:dyDescent="0.3">
      <c r="A1967">
        <f t="shared" si="124"/>
        <v>19.650000000000272</v>
      </c>
      <c r="B1967">
        <f t="shared" si="124"/>
        <v>49.649999999996801</v>
      </c>
      <c r="C1967">
        <f t="shared" si="122"/>
        <v>1.1151815380977545E-3</v>
      </c>
      <c r="D1967">
        <f t="shared" si="125"/>
        <v>1.1151815380977545E-3</v>
      </c>
      <c r="E1967" s="3">
        <f t="shared" si="123"/>
        <v>97741.75647345891</v>
      </c>
    </row>
    <row r="1968" spans="1:5" x14ac:dyDescent="0.3">
      <c r="A1968">
        <f t="shared" si="124"/>
        <v>19.660000000000274</v>
      </c>
      <c r="B1968">
        <f t="shared" si="124"/>
        <v>49.659999999996799</v>
      </c>
      <c r="C1968">
        <f t="shared" si="122"/>
        <v>1.1162285612131937E-3</v>
      </c>
      <c r="D1968">
        <f t="shared" si="125"/>
        <v>1.1162285612131937E-3</v>
      </c>
      <c r="E1968" s="3">
        <f t="shared" si="123"/>
        <v>97805.827992533392</v>
      </c>
    </row>
    <row r="1969" spans="1:5" x14ac:dyDescent="0.3">
      <c r="A1969">
        <f t="shared" si="124"/>
        <v>19.670000000000275</v>
      </c>
      <c r="B1969">
        <f t="shared" si="124"/>
        <v>49.669999999996797</v>
      </c>
      <c r="C1969">
        <f t="shared" si="122"/>
        <v>1.1172768089488449E-3</v>
      </c>
      <c r="D1969">
        <f t="shared" si="125"/>
        <v>1.1172768089488449E-3</v>
      </c>
      <c r="E1969" s="3">
        <f t="shared" si="123"/>
        <v>97869.925831755769</v>
      </c>
    </row>
    <row r="1970" spans="1:5" x14ac:dyDescent="0.3">
      <c r="A1970">
        <f t="shared" si="124"/>
        <v>19.680000000000277</v>
      </c>
      <c r="B1970">
        <f t="shared" si="124"/>
        <v>49.679999999996795</v>
      </c>
      <c r="C1970">
        <f t="shared" si="122"/>
        <v>1.1183262827370482E-3</v>
      </c>
      <c r="D1970">
        <f t="shared" si="125"/>
        <v>1.1183262827370482E-3</v>
      </c>
      <c r="E1970" s="3">
        <f t="shared" si="123"/>
        <v>97934.050003263779</v>
      </c>
    </row>
    <row r="1971" spans="1:5" x14ac:dyDescent="0.3">
      <c r="A1971">
        <f t="shared" si="124"/>
        <v>19.690000000000278</v>
      </c>
      <c r="B1971">
        <f t="shared" si="124"/>
        <v>49.689999999996793</v>
      </c>
      <c r="C1971">
        <f t="shared" si="122"/>
        <v>1.1193769840118209E-3</v>
      </c>
      <c r="D1971">
        <f t="shared" si="125"/>
        <v>1.1193769840118209E-3</v>
      </c>
      <c r="E1971" s="3">
        <f t="shared" si="123"/>
        <v>97998.200519203267</v>
      </c>
    </row>
    <row r="1972" spans="1:5" x14ac:dyDescent="0.3">
      <c r="A1972">
        <f t="shared" si="124"/>
        <v>19.70000000000028</v>
      </c>
      <c r="B1972">
        <f t="shared" si="124"/>
        <v>49.699999999996791</v>
      </c>
      <c r="C1972">
        <f t="shared" si="122"/>
        <v>1.1204289142088572E-3</v>
      </c>
      <c r="D1972">
        <f t="shared" si="125"/>
        <v>1.1204289142088572E-3</v>
      </c>
      <c r="E1972" s="3">
        <f t="shared" si="123"/>
        <v>98062.377391728282</v>
      </c>
    </row>
    <row r="1973" spans="1:5" x14ac:dyDescent="0.3">
      <c r="A1973">
        <f t="shared" si="124"/>
        <v>19.710000000000282</v>
      </c>
      <c r="B1973">
        <f t="shared" si="124"/>
        <v>49.709999999996789</v>
      </c>
      <c r="C1973">
        <f t="shared" si="122"/>
        <v>1.1214820747655304E-3</v>
      </c>
      <c r="D1973">
        <f t="shared" si="125"/>
        <v>1.1214820747655304E-3</v>
      </c>
      <c r="E1973" s="3">
        <f t="shared" si="123"/>
        <v>98126.580633001009</v>
      </c>
    </row>
    <row r="1974" spans="1:5" x14ac:dyDescent="0.3">
      <c r="A1974">
        <f t="shared" si="124"/>
        <v>19.720000000000283</v>
      </c>
      <c r="B1974">
        <f t="shared" si="124"/>
        <v>49.719999999996787</v>
      </c>
      <c r="C1974">
        <f t="shared" si="122"/>
        <v>1.1225364671208955E-3</v>
      </c>
      <c r="D1974">
        <f t="shared" si="125"/>
        <v>1.1225364671208955E-3</v>
      </c>
      <c r="E1974" s="3">
        <f t="shared" si="123"/>
        <v>98190.810255191813</v>
      </c>
    </row>
    <row r="1975" spans="1:5" x14ac:dyDescent="0.3">
      <c r="A1975">
        <f t="shared" si="124"/>
        <v>19.730000000000285</v>
      </c>
      <c r="B1975">
        <f t="shared" si="124"/>
        <v>49.729999999996785</v>
      </c>
      <c r="C1975">
        <f t="shared" si="122"/>
        <v>1.1235920927156889E-3</v>
      </c>
      <c r="D1975">
        <f t="shared" si="125"/>
        <v>1.1235920927156889E-3</v>
      </c>
      <c r="E1975" s="3">
        <f t="shared" si="123"/>
        <v>98255.066270479234</v>
      </c>
    </row>
    <row r="1976" spans="1:5" x14ac:dyDescent="0.3">
      <c r="A1976">
        <f t="shared" si="124"/>
        <v>19.740000000000286</v>
      </c>
      <c r="B1976">
        <f t="shared" si="124"/>
        <v>49.739999999996783</v>
      </c>
      <c r="C1976">
        <f t="shared" si="122"/>
        <v>1.1246489529923339E-3</v>
      </c>
      <c r="D1976">
        <f t="shared" si="125"/>
        <v>1.1246489529923339E-3</v>
      </c>
      <c r="E1976" s="3">
        <f t="shared" si="123"/>
        <v>98319.348691050021</v>
      </c>
    </row>
    <row r="1977" spans="1:5" x14ac:dyDescent="0.3">
      <c r="A1977">
        <f t="shared" si="124"/>
        <v>19.750000000000288</v>
      </c>
      <c r="B1977">
        <f t="shared" si="124"/>
        <v>49.749999999996781</v>
      </c>
      <c r="C1977">
        <f t="shared" si="122"/>
        <v>1.1257070493949403E-3</v>
      </c>
      <c r="D1977">
        <f t="shared" si="125"/>
        <v>1.1257070493949403E-3</v>
      </c>
      <c r="E1977" s="3">
        <f t="shared" si="123"/>
        <v>98383.657529099088</v>
      </c>
    </row>
    <row r="1978" spans="1:5" x14ac:dyDescent="0.3">
      <c r="A1978">
        <f t="shared" si="124"/>
        <v>19.760000000000289</v>
      </c>
      <c r="B1978">
        <f t="shared" si="124"/>
        <v>49.759999999996779</v>
      </c>
      <c r="C1978">
        <f t="shared" si="122"/>
        <v>1.1267663833693068E-3</v>
      </c>
      <c r="D1978">
        <f t="shared" si="125"/>
        <v>1.1267663833693068E-3</v>
      </c>
      <c r="E1978" s="3">
        <f t="shared" si="123"/>
        <v>98447.992796829596</v>
      </c>
    </row>
    <row r="1979" spans="1:5" x14ac:dyDescent="0.3">
      <c r="A1979">
        <f t="shared" si="124"/>
        <v>19.770000000000291</v>
      </c>
      <c r="B1979">
        <f t="shared" si="124"/>
        <v>49.769999999996777</v>
      </c>
      <c r="C1979">
        <f t="shared" si="122"/>
        <v>1.1278269563629246E-3</v>
      </c>
      <c r="D1979">
        <f t="shared" si="125"/>
        <v>1.1278269563629246E-3</v>
      </c>
      <c r="E1979" s="3">
        <f t="shared" si="123"/>
        <v>98512.354506452888</v>
      </c>
    </row>
    <row r="1980" spans="1:5" x14ac:dyDescent="0.3">
      <c r="A1980">
        <f t="shared" si="124"/>
        <v>19.780000000000292</v>
      </c>
      <c r="B1980">
        <f t="shared" si="124"/>
        <v>49.779999999996775</v>
      </c>
      <c r="C1980">
        <f t="shared" si="122"/>
        <v>1.1288887698249746E-3</v>
      </c>
      <c r="D1980">
        <f t="shared" si="125"/>
        <v>1.1288887698249746E-3</v>
      </c>
      <c r="E1980" s="3">
        <f t="shared" si="123"/>
        <v>98576.742670188571</v>
      </c>
    </row>
    <row r="1981" spans="1:5" x14ac:dyDescent="0.3">
      <c r="A1981">
        <f t="shared" si="124"/>
        <v>19.790000000000294</v>
      </c>
      <c r="B1981">
        <f t="shared" si="124"/>
        <v>49.789999999996773</v>
      </c>
      <c r="C1981">
        <f t="shared" si="122"/>
        <v>1.1299518252063357E-3</v>
      </c>
      <c r="D1981">
        <f t="shared" si="125"/>
        <v>1.1299518252063357E-3</v>
      </c>
      <c r="E1981" s="3">
        <f t="shared" si="123"/>
        <v>98641.157300264473</v>
      </c>
    </row>
    <row r="1982" spans="1:5" x14ac:dyDescent="0.3">
      <c r="A1982">
        <f t="shared" si="124"/>
        <v>19.800000000000296</v>
      </c>
      <c r="B1982">
        <f t="shared" si="124"/>
        <v>49.799999999996771</v>
      </c>
      <c r="C1982">
        <f t="shared" si="122"/>
        <v>1.1310161239595827E-3</v>
      </c>
      <c r="D1982">
        <f t="shared" si="125"/>
        <v>1.1310161239595827E-3</v>
      </c>
      <c r="E1982" s="3">
        <f t="shared" si="123"/>
        <v>98705.598408916674</v>
      </c>
    </row>
    <row r="1983" spans="1:5" x14ac:dyDescent="0.3">
      <c r="A1983">
        <f t="shared" si="124"/>
        <v>19.810000000000297</v>
      </c>
      <c r="B1983">
        <f t="shared" si="124"/>
        <v>49.809999999996769</v>
      </c>
      <c r="C1983">
        <f t="shared" si="122"/>
        <v>1.1320816675389894E-3</v>
      </c>
      <c r="D1983">
        <f t="shared" si="125"/>
        <v>1.1320816675389894E-3</v>
      </c>
      <c r="E1983" s="3">
        <f t="shared" si="123"/>
        <v>98770.066008389535</v>
      </c>
    </row>
    <row r="1984" spans="1:5" x14ac:dyDescent="0.3">
      <c r="A1984">
        <f t="shared" si="124"/>
        <v>19.820000000000299</v>
      </c>
      <c r="B1984">
        <f t="shared" si="124"/>
        <v>49.819999999996767</v>
      </c>
      <c r="C1984">
        <f t="shared" si="122"/>
        <v>1.1331484574005316E-3</v>
      </c>
      <c r="D1984">
        <f t="shared" si="125"/>
        <v>1.1331484574005316E-3</v>
      </c>
      <c r="E1984" s="3">
        <f t="shared" si="123"/>
        <v>98834.56011093565</v>
      </c>
    </row>
    <row r="1985" spans="1:5" x14ac:dyDescent="0.3">
      <c r="A1985">
        <f t="shared" si="124"/>
        <v>19.8300000000003</v>
      </c>
      <c r="B1985">
        <f t="shared" si="124"/>
        <v>49.829999999996765</v>
      </c>
      <c r="C1985">
        <f t="shared" si="122"/>
        <v>1.1342164950018854E-3</v>
      </c>
      <c r="D1985">
        <f t="shared" si="125"/>
        <v>1.1342164950018854E-3</v>
      </c>
      <c r="E1985" s="3">
        <f t="shared" si="123"/>
        <v>98899.080728815898</v>
      </c>
    </row>
    <row r="1986" spans="1:5" x14ac:dyDescent="0.3">
      <c r="A1986">
        <f t="shared" si="124"/>
        <v>19.840000000000302</v>
      </c>
      <c r="B1986">
        <f t="shared" si="124"/>
        <v>49.839999999996763</v>
      </c>
      <c r="C1986">
        <f t="shared" si="122"/>
        <v>1.135285781802434E-3</v>
      </c>
      <c r="D1986">
        <f t="shared" si="125"/>
        <v>1.135285781802434E-3</v>
      </c>
      <c r="E1986" s="3">
        <f t="shared" si="123"/>
        <v>98963.627874299433</v>
      </c>
    </row>
    <row r="1987" spans="1:5" x14ac:dyDescent="0.3">
      <c r="A1987">
        <f t="shared" si="124"/>
        <v>19.850000000000303</v>
      </c>
      <c r="B1987">
        <f t="shared" si="124"/>
        <v>49.849999999996761</v>
      </c>
      <c r="C1987">
        <f t="shared" ref="C1987:C2002" si="126">$N$2 + $N$3*$N$4^(B1987)</f>
        <v>1.1363563192632673E-3</v>
      </c>
      <c r="D1987">
        <f t="shared" si="125"/>
        <v>1.1363563192632673E-3</v>
      </c>
      <c r="E1987" s="3">
        <f t="shared" ref="E1987:E2002" si="127">IF(ROUND(A1987, 2)=$N$10,$N$6,(E1988-$N$5*($N$7-$N$8-($N$6+$N$9)*D1987))/(1+$N$5*$N$11+$N$5*D1987))</f>
        <v>99028.201559663765</v>
      </c>
    </row>
    <row r="1988" spans="1:5" x14ac:dyDescent="0.3">
      <c r="A1988">
        <f t="shared" ref="A1988:B2002" si="128">A1987+$N$5</f>
        <v>19.860000000000305</v>
      </c>
      <c r="B1988">
        <f t="shared" si="128"/>
        <v>49.859999999996759</v>
      </c>
      <c r="C1988">
        <f t="shared" si="126"/>
        <v>1.1374281088471837E-3</v>
      </c>
      <c r="D1988">
        <f t="shared" si="125"/>
        <v>1.1374281088471837E-3</v>
      </c>
      <c r="E1988" s="3">
        <f t="shared" si="127"/>
        <v>99092.801797194639</v>
      </c>
    </row>
    <row r="1989" spans="1:5" x14ac:dyDescent="0.3">
      <c r="A1989">
        <f t="shared" si="128"/>
        <v>19.870000000000307</v>
      </c>
      <c r="B1989">
        <f t="shared" si="128"/>
        <v>49.869999999996757</v>
      </c>
      <c r="C1989">
        <f t="shared" si="126"/>
        <v>1.1385011520186935E-3</v>
      </c>
      <c r="D1989">
        <f t="shared" si="125"/>
        <v>1.1385011520186935E-3</v>
      </c>
      <c r="E1989" s="3">
        <f t="shared" si="127"/>
        <v>99157.428599186154</v>
      </c>
    </row>
    <row r="1990" spans="1:5" x14ac:dyDescent="0.3">
      <c r="A1990">
        <f t="shared" si="128"/>
        <v>19.880000000000308</v>
      </c>
      <c r="B1990">
        <f t="shared" si="128"/>
        <v>49.879999999996755</v>
      </c>
      <c r="C1990">
        <f t="shared" si="126"/>
        <v>1.1395754502440175E-3</v>
      </c>
      <c r="D1990">
        <f t="shared" si="125"/>
        <v>1.1395754502440175E-3</v>
      </c>
      <c r="E1990" s="3">
        <f t="shared" si="127"/>
        <v>99222.081977940717</v>
      </c>
    </row>
    <row r="1991" spans="1:5" x14ac:dyDescent="0.3">
      <c r="A1991">
        <f t="shared" si="128"/>
        <v>19.89000000000031</v>
      </c>
      <c r="B1991">
        <f t="shared" si="128"/>
        <v>49.889999999996753</v>
      </c>
      <c r="C1991">
        <f t="shared" si="126"/>
        <v>1.1406510049910936E-3</v>
      </c>
      <c r="D1991">
        <f t="shared" si="125"/>
        <v>1.1406510049910936E-3</v>
      </c>
      <c r="E1991" s="3">
        <f t="shared" si="127"/>
        <v>99286.761945769089</v>
      </c>
    </row>
    <row r="1992" spans="1:5" x14ac:dyDescent="0.3">
      <c r="A1992">
        <f t="shared" si="128"/>
        <v>19.900000000000311</v>
      </c>
      <c r="B1992">
        <f t="shared" si="128"/>
        <v>49.899999999996751</v>
      </c>
      <c r="C1992">
        <f t="shared" si="126"/>
        <v>1.1417278177295763E-3</v>
      </c>
      <c r="D1992">
        <f t="shared" si="125"/>
        <v>1.1417278177295763E-3</v>
      </c>
      <c r="E1992" s="3">
        <f t="shared" si="127"/>
        <v>99351.468514990353</v>
      </c>
    </row>
    <row r="1993" spans="1:5" x14ac:dyDescent="0.3">
      <c r="A1993">
        <f t="shared" si="128"/>
        <v>19.910000000000313</v>
      </c>
      <c r="B1993">
        <f t="shared" si="128"/>
        <v>49.909999999996749</v>
      </c>
      <c r="C1993">
        <f t="shared" si="126"/>
        <v>1.1428058899308382E-3</v>
      </c>
      <c r="D1993">
        <f t="shared" si="125"/>
        <v>1.1428058899308382E-3</v>
      </c>
      <c r="E1993" s="3">
        <f t="shared" si="127"/>
        <v>99416.201697931974</v>
      </c>
    </row>
    <row r="1994" spans="1:5" x14ac:dyDescent="0.3">
      <c r="A1994">
        <f t="shared" si="128"/>
        <v>19.920000000000314</v>
      </c>
      <c r="B1994">
        <f t="shared" si="128"/>
        <v>49.919999999996747</v>
      </c>
      <c r="C1994">
        <f t="shared" si="126"/>
        <v>1.1438852230679748E-3</v>
      </c>
      <c r="D1994">
        <f t="shared" si="125"/>
        <v>1.1438852230679748E-3</v>
      </c>
      <c r="E1994" s="3">
        <f t="shared" si="127"/>
        <v>99480.961506929743</v>
      </c>
    </row>
    <row r="1995" spans="1:5" x14ac:dyDescent="0.3">
      <c r="A1995">
        <f t="shared" si="128"/>
        <v>19.930000000000316</v>
      </c>
      <c r="B1995">
        <f t="shared" si="128"/>
        <v>49.929999999996745</v>
      </c>
      <c r="C1995">
        <f t="shared" si="126"/>
        <v>1.1449658186158012E-3</v>
      </c>
      <c r="D1995">
        <f t="shared" si="125"/>
        <v>1.1449658186158012E-3</v>
      </c>
      <c r="E1995" s="3">
        <f t="shared" si="127"/>
        <v>99545.747954327904</v>
      </c>
    </row>
    <row r="1996" spans="1:5" x14ac:dyDescent="0.3">
      <c r="A1996">
        <f t="shared" si="128"/>
        <v>19.940000000000317</v>
      </c>
      <c r="B1996">
        <f t="shared" si="128"/>
        <v>49.939999999996743</v>
      </c>
      <c r="C1996">
        <f t="shared" si="126"/>
        <v>1.1460476780508605E-3</v>
      </c>
      <c r="D1996">
        <f t="shared" si="125"/>
        <v>1.1460476780508605E-3</v>
      </c>
      <c r="E1996" s="3">
        <f t="shared" si="127"/>
        <v>99610.561052478981</v>
      </c>
    </row>
    <row r="1997" spans="1:5" x14ac:dyDescent="0.3">
      <c r="A1997">
        <f t="shared" si="128"/>
        <v>19.950000000000319</v>
      </c>
      <c r="B1997">
        <f t="shared" si="128"/>
        <v>49.949999999996741</v>
      </c>
      <c r="C1997">
        <f t="shared" si="126"/>
        <v>1.1471308028514215E-3</v>
      </c>
      <c r="D1997">
        <f t="shared" si="125"/>
        <v>1.1471308028514215E-3</v>
      </c>
      <c r="E1997" s="3">
        <f t="shared" si="127"/>
        <v>99675.400813743952</v>
      </c>
    </row>
    <row r="1998" spans="1:5" x14ac:dyDescent="0.3">
      <c r="A1998">
        <f t="shared" si="128"/>
        <v>19.960000000000321</v>
      </c>
      <c r="B1998">
        <f t="shared" si="128"/>
        <v>49.959999999996739</v>
      </c>
      <c r="C1998">
        <f t="shared" si="126"/>
        <v>1.1482151944974825E-3</v>
      </c>
      <c r="D1998">
        <f t="shared" si="125"/>
        <v>1.1482151944974825E-3</v>
      </c>
      <c r="E1998" s="3">
        <f t="shared" si="127"/>
        <v>99740.267250492194</v>
      </c>
    </row>
    <row r="1999" spans="1:5" x14ac:dyDescent="0.3">
      <c r="A1999">
        <f t="shared" si="128"/>
        <v>19.970000000000322</v>
      </c>
      <c r="B1999">
        <f t="shared" si="128"/>
        <v>49.969999999996737</v>
      </c>
      <c r="C1999">
        <f t="shared" si="126"/>
        <v>1.1493008544707732E-3</v>
      </c>
      <c r="D1999">
        <f t="shared" si="125"/>
        <v>1.1493008544707732E-3</v>
      </c>
      <c r="E1999" s="3">
        <f t="shared" si="127"/>
        <v>99805.160375101492</v>
      </c>
    </row>
    <row r="2000" spans="1:5" x14ac:dyDescent="0.3">
      <c r="A2000">
        <f t="shared" si="128"/>
        <v>19.980000000000324</v>
      </c>
      <c r="B2000">
        <f t="shared" si="128"/>
        <v>49.979999999996735</v>
      </c>
      <c r="C2000">
        <f t="shared" si="126"/>
        <v>1.1503877842547543E-3</v>
      </c>
      <c r="D2000">
        <f t="shared" si="125"/>
        <v>1.1503877842547543E-3</v>
      </c>
      <c r="E2000" s="3">
        <f t="shared" si="127"/>
        <v>99870.080199958058</v>
      </c>
    </row>
    <row r="2001" spans="1:5" x14ac:dyDescent="0.3">
      <c r="A2001">
        <f t="shared" si="128"/>
        <v>19.990000000000325</v>
      </c>
      <c r="B2001">
        <f t="shared" si="128"/>
        <v>49.989999999996733</v>
      </c>
      <c r="C2001">
        <f t="shared" si="126"/>
        <v>1.1514759853346235E-3</v>
      </c>
      <c r="D2001">
        <f t="shared" si="125"/>
        <v>1.1514759853346235E-3</v>
      </c>
      <c r="E2001" s="3">
        <f t="shared" si="127"/>
        <v>99935.02673745653</v>
      </c>
    </row>
    <row r="2002" spans="1:5" x14ac:dyDescent="0.3">
      <c r="A2002" s="2">
        <f t="shared" si="128"/>
        <v>20.000000000000327</v>
      </c>
      <c r="B2002">
        <f t="shared" si="128"/>
        <v>49.999999999996732</v>
      </c>
      <c r="C2002">
        <f t="shared" si="126"/>
        <v>1.1525654591973155E-3</v>
      </c>
      <c r="D2002">
        <f>IF(A2002&lt;=2, (0.9)^(2-A2002)*C2002, C2002)</f>
        <v>1.1525654591973155E-3</v>
      </c>
      <c r="E2002" s="3">
        <f t="shared" si="127"/>
        <v>100000</v>
      </c>
    </row>
  </sheetData>
  <mergeCells count="1">
    <mergeCell ref="G1:J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EE11-CB6C-4320-B9A0-4E0C83CCDBA2}">
  <dimension ref="A1:T59"/>
  <sheetViews>
    <sheetView workbookViewId="0">
      <selection activeCell="E21" sqref="E21"/>
    </sheetView>
  </sheetViews>
  <sheetFormatPr baseColWidth="10" defaultColWidth="8.88671875" defaultRowHeight="14.4" x14ac:dyDescent="0.3"/>
  <cols>
    <col min="4" max="4" width="8.88671875" style="8"/>
    <col min="5" max="5" width="12.21875" bestFit="1" customWidth="1"/>
    <col min="6" max="6" width="21.77734375" style="9" customWidth="1"/>
    <col min="7" max="7" width="8.88671875" style="8"/>
    <col min="8" max="8" width="13.44140625" style="9" bestFit="1" customWidth="1"/>
    <col min="9" max="9" width="8.88671875" style="8"/>
    <col min="10" max="10" width="17.33203125" style="9" bestFit="1" customWidth="1"/>
    <col min="11" max="11" width="17.33203125" style="8" customWidth="1"/>
    <col min="12" max="12" width="17.33203125" style="9" customWidth="1"/>
    <col min="13" max="13" width="20.109375" bestFit="1" customWidth="1"/>
    <col min="14" max="14" width="31.77734375" bestFit="1" customWidth="1"/>
    <col min="15" max="15" width="12.33203125" bestFit="1" customWidth="1"/>
  </cols>
  <sheetData>
    <row r="1" spans="1:20" ht="15" thickBot="1" x14ac:dyDescent="0.35">
      <c r="A1" t="s">
        <v>23</v>
      </c>
      <c r="B1" t="s">
        <v>1</v>
      </c>
      <c r="C1" s="4" t="s">
        <v>25</v>
      </c>
      <c r="D1" s="5" t="s">
        <v>26</v>
      </c>
      <c r="E1" s="6" t="s">
        <v>27</v>
      </c>
      <c r="F1" s="7" t="s">
        <v>28</v>
      </c>
      <c r="G1" s="5" t="s">
        <v>29</v>
      </c>
      <c r="H1" s="7" t="s">
        <v>30</v>
      </c>
      <c r="I1" s="5" t="s">
        <v>31</v>
      </c>
      <c r="J1" s="7" t="s">
        <v>32</v>
      </c>
      <c r="K1" s="5" t="s">
        <v>33</v>
      </c>
      <c r="L1" s="7" t="s">
        <v>34</v>
      </c>
      <c r="S1" s="31" t="s">
        <v>50</v>
      </c>
      <c r="T1" s="31"/>
    </row>
    <row r="2" spans="1:20" x14ac:dyDescent="0.3">
      <c r="A2" s="1">
        <v>0</v>
      </c>
      <c r="B2" s="1">
        <v>50</v>
      </c>
      <c r="C2" s="1">
        <v>88389</v>
      </c>
      <c r="D2" s="8">
        <f>$T$4^A2</f>
        <v>1</v>
      </c>
      <c r="E2">
        <f>C2/$C$2</f>
        <v>1</v>
      </c>
      <c r="F2" s="9">
        <f>D2*E2</f>
        <v>1</v>
      </c>
      <c r="S2" s="5" t="s">
        <v>24</v>
      </c>
      <c r="T2" s="15">
        <v>0.06</v>
      </c>
    </row>
    <row r="3" spans="1:20" x14ac:dyDescent="0.3">
      <c r="A3">
        <f>A2+1</f>
        <v>1</v>
      </c>
      <c r="B3">
        <f>50+A3</f>
        <v>51</v>
      </c>
      <c r="C3" s="1">
        <v>87630</v>
      </c>
      <c r="D3" s="8">
        <f>$T$4^A3</f>
        <v>0.94339622641509424</v>
      </c>
      <c r="E3">
        <f t="shared" ref="E3:E59" si="0">C3/$C$2</f>
        <v>0.99141295862607337</v>
      </c>
      <c r="F3" s="9">
        <f t="shared" ref="F3:F59" si="1">D3*E3</f>
        <v>0.93529524398686159</v>
      </c>
      <c r="S3" s="8" t="s">
        <v>51</v>
      </c>
      <c r="T3" s="16">
        <f>1+T2</f>
        <v>1.06</v>
      </c>
    </row>
    <row r="4" spans="1:20" x14ac:dyDescent="0.3">
      <c r="A4">
        <f t="shared" ref="A4:A51" si="2">A3+1</f>
        <v>2</v>
      </c>
      <c r="B4">
        <f t="shared" ref="B4:B59" si="3">50+A4</f>
        <v>52</v>
      </c>
      <c r="C4" s="1">
        <v>86797</v>
      </c>
      <c r="D4" s="8">
        <f t="shared" ref="D4:D59" si="4">$T$4^A4</f>
        <v>0.88999644001423972</v>
      </c>
      <c r="E4">
        <f t="shared" si="0"/>
        <v>0.98198870900225144</v>
      </c>
      <c r="F4" s="9">
        <f t="shared" si="1"/>
        <v>0.87396645514618299</v>
      </c>
      <c r="S4" s="8" t="s">
        <v>52</v>
      </c>
      <c r="T4" s="16">
        <f>T3^(-1)</f>
        <v>0.94339622641509424</v>
      </c>
    </row>
    <row r="5" spans="1:20" ht="15" thickBot="1" x14ac:dyDescent="0.35">
      <c r="A5">
        <f t="shared" si="2"/>
        <v>3</v>
      </c>
      <c r="B5">
        <f t="shared" si="3"/>
        <v>53</v>
      </c>
      <c r="C5" s="1">
        <v>85887</v>
      </c>
      <c r="D5" s="8">
        <f t="shared" si="4"/>
        <v>0.83961928303230149</v>
      </c>
      <c r="E5">
        <f t="shared" si="0"/>
        <v>0.97169331025353833</v>
      </c>
      <c r="F5" s="9">
        <f t="shared" si="1"/>
        <v>0.8158524404823595</v>
      </c>
      <c r="S5" s="13" t="s">
        <v>53</v>
      </c>
      <c r="T5" s="17">
        <v>1000</v>
      </c>
    </row>
    <row r="6" spans="1:20" x14ac:dyDescent="0.3">
      <c r="A6">
        <f t="shared" si="2"/>
        <v>4</v>
      </c>
      <c r="B6">
        <f t="shared" si="3"/>
        <v>54</v>
      </c>
      <c r="C6" s="1">
        <v>84900</v>
      </c>
      <c r="D6" s="8">
        <f t="shared" si="4"/>
        <v>0.79209366323802022</v>
      </c>
      <c r="E6">
        <f t="shared" si="0"/>
        <v>0.96052676237993417</v>
      </c>
      <c r="F6" s="9">
        <f t="shared" si="1"/>
        <v>0.76082716185167742</v>
      </c>
    </row>
    <row r="7" spans="1:20" x14ac:dyDescent="0.3">
      <c r="A7">
        <f t="shared" si="2"/>
        <v>5</v>
      </c>
      <c r="B7">
        <f t="shared" si="3"/>
        <v>55</v>
      </c>
      <c r="C7" s="1">
        <v>83838</v>
      </c>
      <c r="D7" s="8">
        <f t="shared" si="4"/>
        <v>0.74725817286605678</v>
      </c>
      <c r="E7">
        <f t="shared" si="0"/>
        <v>0.94851169263143609</v>
      </c>
      <c r="F7" s="9">
        <f t="shared" si="1"/>
        <v>0.70878311437785779</v>
      </c>
    </row>
    <row r="8" spans="1:20" x14ac:dyDescent="0.3">
      <c r="A8">
        <f t="shared" si="2"/>
        <v>6</v>
      </c>
      <c r="B8">
        <f t="shared" si="3"/>
        <v>56</v>
      </c>
      <c r="C8" s="1">
        <v>82692</v>
      </c>
      <c r="D8" s="8">
        <f t="shared" si="4"/>
        <v>0.70496054043967604</v>
      </c>
      <c r="E8">
        <f t="shared" si="0"/>
        <v>0.93554627838305671</v>
      </c>
      <c r="F8" s="9">
        <f t="shared" si="1"/>
        <v>0.65952321001524727</v>
      </c>
    </row>
    <row r="9" spans="1:20" x14ac:dyDescent="0.3">
      <c r="A9">
        <f t="shared" si="2"/>
        <v>7</v>
      </c>
      <c r="B9">
        <f t="shared" si="3"/>
        <v>57</v>
      </c>
      <c r="C9" s="1">
        <v>81462</v>
      </c>
      <c r="D9" s="8">
        <f t="shared" si="4"/>
        <v>0.66505711362233577</v>
      </c>
      <c r="E9">
        <f t="shared" si="0"/>
        <v>0.92163051963479614</v>
      </c>
      <c r="F9" s="9">
        <f t="shared" si="1"/>
        <v>0.61293693321457099</v>
      </c>
    </row>
    <row r="10" spans="1:20" ht="15" thickBot="1" x14ac:dyDescent="0.35">
      <c r="A10">
        <f t="shared" si="2"/>
        <v>8</v>
      </c>
      <c r="B10">
        <f t="shared" si="3"/>
        <v>58</v>
      </c>
      <c r="C10" s="1">
        <v>80157</v>
      </c>
      <c r="D10" s="8">
        <f t="shared" si="4"/>
        <v>0.62741237134182615</v>
      </c>
      <c r="E10">
        <f t="shared" si="0"/>
        <v>0.90686623901164176</v>
      </c>
      <c r="F10" s="9">
        <f t="shared" si="1"/>
        <v>0.56897909750813747</v>
      </c>
      <c r="M10" s="10" t="s">
        <v>35</v>
      </c>
      <c r="N10" s="10" t="s">
        <v>36</v>
      </c>
      <c r="O10" s="10" t="s">
        <v>37</v>
      </c>
    </row>
    <row r="11" spans="1:20" x14ac:dyDescent="0.3">
      <c r="A11">
        <f t="shared" si="2"/>
        <v>9</v>
      </c>
      <c r="B11">
        <f t="shared" si="3"/>
        <v>59</v>
      </c>
      <c r="C11" s="1">
        <v>78790</v>
      </c>
      <c r="D11" s="8">
        <f t="shared" si="4"/>
        <v>0.59189846353002462</v>
      </c>
      <c r="E11">
        <f t="shared" si="0"/>
        <v>0.89140051363857498</v>
      </c>
      <c r="F11" s="9">
        <f t="shared" si="1"/>
        <v>0.52761859441254733</v>
      </c>
      <c r="M11" s="6" t="s">
        <v>3</v>
      </c>
      <c r="N11" s="6" t="s">
        <v>38</v>
      </c>
      <c r="O11" s="18">
        <f>SUM(F17:F59)</f>
        <v>3.187032681844657</v>
      </c>
    </row>
    <row r="12" spans="1:20" x14ac:dyDescent="0.3">
      <c r="A12">
        <f t="shared" si="2"/>
        <v>10</v>
      </c>
      <c r="B12">
        <f t="shared" si="3"/>
        <v>60</v>
      </c>
      <c r="C12" s="1">
        <v>77374</v>
      </c>
      <c r="D12" s="8">
        <f t="shared" si="4"/>
        <v>0.55839477691511752</v>
      </c>
      <c r="E12">
        <f t="shared" si="0"/>
        <v>0.87538042064057742</v>
      </c>
      <c r="F12" s="9">
        <f t="shared" si="1"/>
        <v>0.48880785469945698</v>
      </c>
      <c r="I12" s="8">
        <f>C12/$C$12</f>
        <v>1</v>
      </c>
      <c r="J12" s="9">
        <f>D12*$T$3^($A$12)*I12</f>
        <v>0.99999999999999933</v>
      </c>
      <c r="M12" t="s">
        <v>4</v>
      </c>
      <c r="N12" t="s">
        <v>39</v>
      </c>
      <c r="O12" s="19">
        <f>SUM(H17:H59) *T3^15</f>
        <v>9.733519281173546</v>
      </c>
    </row>
    <row r="13" spans="1:20" x14ac:dyDescent="0.3">
      <c r="A13">
        <f t="shared" si="2"/>
        <v>11</v>
      </c>
      <c r="B13">
        <f t="shared" si="3"/>
        <v>61</v>
      </c>
      <c r="C13" s="1">
        <v>75908</v>
      </c>
      <c r="D13" s="8">
        <f t="shared" si="4"/>
        <v>0.52678752539162021</v>
      </c>
      <c r="E13">
        <f t="shared" si="0"/>
        <v>0.85879464639265068</v>
      </c>
      <c r="F13" s="9">
        <f t="shared" si="1"/>
        <v>0.45240230659275599</v>
      </c>
      <c r="I13" s="8">
        <f t="shared" ref="I13:I59" si="5">C13/$C$12</f>
        <v>0.98105306692170502</v>
      </c>
      <c r="J13" s="9">
        <f t="shared" ref="J13:J59" si="6">D13*$T$3^($A$12)*I13</f>
        <v>0.92552176124689078</v>
      </c>
      <c r="M13" t="s">
        <v>40</v>
      </c>
      <c r="N13" t="s">
        <v>41</v>
      </c>
      <c r="O13" s="19">
        <f>SUM(F2:F16)</f>
        <v>9.5652446147384769</v>
      </c>
    </row>
    <row r="14" spans="1:20" x14ac:dyDescent="0.3">
      <c r="A14">
        <f t="shared" si="2"/>
        <v>12</v>
      </c>
      <c r="B14">
        <f t="shared" si="3"/>
        <v>62</v>
      </c>
      <c r="C14" s="1">
        <v>74385</v>
      </c>
      <c r="D14" s="8">
        <f t="shared" si="4"/>
        <v>0.49696936357700011</v>
      </c>
      <c r="E14">
        <f t="shared" si="0"/>
        <v>0.84156399551980454</v>
      </c>
      <c r="F14" s="9">
        <f t="shared" si="1"/>
        <v>0.41823152326279461</v>
      </c>
      <c r="I14" s="8">
        <f t="shared" si="5"/>
        <v>0.96136945227078863</v>
      </c>
      <c r="J14" s="9">
        <f t="shared" si="6"/>
        <v>0.85561539005944076</v>
      </c>
      <c r="M14" t="s">
        <v>42</v>
      </c>
      <c r="N14" t="s">
        <v>43</v>
      </c>
      <c r="O14" s="19">
        <f>SUM(F2:F59)</f>
        <v>12.752277296583133</v>
      </c>
    </row>
    <row r="15" spans="1:20" x14ac:dyDescent="0.3">
      <c r="A15">
        <f t="shared" si="2"/>
        <v>13</v>
      </c>
      <c r="B15">
        <f t="shared" si="3"/>
        <v>63</v>
      </c>
      <c r="C15" s="1">
        <v>72795</v>
      </c>
      <c r="D15" s="8">
        <f t="shared" si="4"/>
        <v>0.46883902224245294</v>
      </c>
      <c r="E15">
        <f t="shared" si="0"/>
        <v>0.82357533177205311</v>
      </c>
      <c r="F15" s="9">
        <f t="shared" si="1"/>
        <v>0.38612425329101319</v>
      </c>
      <c r="I15" s="8">
        <f t="shared" si="5"/>
        <v>0.94081991366608941</v>
      </c>
      <c r="J15" s="9">
        <f t="shared" si="6"/>
        <v>0.78993054137483332</v>
      </c>
      <c r="M15" t="s">
        <v>44</v>
      </c>
      <c r="N15" t="s">
        <v>45</v>
      </c>
      <c r="O15" s="19">
        <f>SUM(J17:J59)</f>
        <v>6.5200111888631547</v>
      </c>
    </row>
    <row r="16" spans="1:20" x14ac:dyDescent="0.3">
      <c r="A16">
        <f t="shared" si="2"/>
        <v>14</v>
      </c>
      <c r="B16">
        <f t="shared" si="3"/>
        <v>64</v>
      </c>
      <c r="C16" s="1">
        <v>71122</v>
      </c>
      <c r="D16" s="8">
        <f t="shared" si="4"/>
        <v>0.44230096437967248</v>
      </c>
      <c r="E16">
        <f t="shared" si="0"/>
        <v>0.804647637149419</v>
      </c>
      <c r="F16" s="9">
        <f t="shared" si="1"/>
        <v>0.35589642589701281</v>
      </c>
      <c r="I16" s="8">
        <f t="shared" si="5"/>
        <v>0.91919766329774855</v>
      </c>
      <c r="J16" s="9">
        <f t="shared" si="6"/>
        <v>0.72809064436134141</v>
      </c>
      <c r="M16" t="s">
        <v>46</v>
      </c>
      <c r="N16" t="s">
        <v>47</v>
      </c>
      <c r="O16" s="19">
        <f>SUM(J12:J16)</f>
        <v>4.2991583370425062</v>
      </c>
    </row>
    <row r="17" spans="1:15" ht="15" thickBot="1" x14ac:dyDescent="0.35">
      <c r="A17">
        <f t="shared" si="2"/>
        <v>15</v>
      </c>
      <c r="B17">
        <f t="shared" si="3"/>
        <v>65</v>
      </c>
      <c r="C17" s="1">
        <v>69359</v>
      </c>
      <c r="D17" s="8">
        <f>$T$4^A17</f>
        <v>0.41726506073553998</v>
      </c>
      <c r="E17">
        <f t="shared" si="0"/>
        <v>0.78470171627691232</v>
      </c>
      <c r="F17" s="9">
        <f t="shared" si="1"/>
        <v>0.32742860930156831</v>
      </c>
      <c r="G17" s="8">
        <f>C17/$C$17</f>
        <v>1</v>
      </c>
      <c r="H17" s="9">
        <f>G17*D17</f>
        <v>0.41726506073553998</v>
      </c>
      <c r="I17" s="8">
        <f t="shared" si="5"/>
        <v>0.8964122314989531</v>
      </c>
      <c r="J17" s="9">
        <f t="shared" si="6"/>
        <v>0.66985136624469177</v>
      </c>
      <c r="M17" s="11" t="s">
        <v>48</v>
      </c>
      <c r="N17" s="11" t="s">
        <v>49</v>
      </c>
      <c r="O17" s="20">
        <f>SUM(L32:L59)</f>
        <v>6.140882278216889</v>
      </c>
    </row>
    <row r="18" spans="1:15" x14ac:dyDescent="0.3">
      <c r="A18">
        <f t="shared" si="2"/>
        <v>16</v>
      </c>
      <c r="B18">
        <f t="shared" si="3"/>
        <v>66</v>
      </c>
      <c r="C18" s="1">
        <v>67499</v>
      </c>
      <c r="D18" s="8">
        <f t="shared" si="4"/>
        <v>0.39364628371277355</v>
      </c>
      <c r="E18">
        <f t="shared" si="0"/>
        <v>0.76365837377954271</v>
      </c>
      <c r="F18" s="9">
        <f t="shared" si="1"/>
        <v>0.30061128086445715</v>
      </c>
      <c r="G18" s="8">
        <f t="shared" ref="G18:G59" si="7">C18/$C$17</f>
        <v>0.97318300436857508</v>
      </c>
      <c r="H18" s="9">
        <f t="shared" ref="H18:H59" si="8">G18*D18</f>
        <v>0.38308987304212144</v>
      </c>
      <c r="I18" s="8">
        <f t="shared" si="5"/>
        <v>0.87237314860288984</v>
      </c>
      <c r="J18" s="9">
        <f t="shared" si="6"/>
        <v>0.61498864630415451</v>
      </c>
    </row>
    <row r="19" spans="1:15" x14ac:dyDescent="0.3">
      <c r="A19">
        <f t="shared" si="2"/>
        <v>17</v>
      </c>
      <c r="B19">
        <f t="shared" si="3"/>
        <v>67</v>
      </c>
      <c r="C19" s="1">
        <v>65547</v>
      </c>
      <c r="D19" s="8">
        <f t="shared" si="4"/>
        <v>0.37136441859695613</v>
      </c>
      <c r="E19">
        <f t="shared" si="0"/>
        <v>0.74157417778230328</v>
      </c>
      <c r="F19" s="9">
        <f t="shared" si="1"/>
        <v>0.27539426337864081</v>
      </c>
      <c r="G19" s="8">
        <f t="shared" si="7"/>
        <v>0.9450395766951657</v>
      </c>
      <c r="H19" s="9">
        <f t="shared" si="8"/>
        <v>0.35095407295051373</v>
      </c>
      <c r="I19" s="8">
        <f t="shared" si="5"/>
        <v>0.84714503580013956</v>
      </c>
      <c r="J19" s="9">
        <f t="shared" si="6"/>
        <v>0.5633998323287307</v>
      </c>
    </row>
    <row r="20" spans="1:15" x14ac:dyDescent="0.3">
      <c r="A20">
        <f t="shared" si="2"/>
        <v>18</v>
      </c>
      <c r="B20">
        <f t="shared" si="3"/>
        <v>68</v>
      </c>
      <c r="C20" s="1">
        <v>63520</v>
      </c>
      <c r="D20" s="8">
        <f t="shared" si="4"/>
        <v>0.35034379112920383</v>
      </c>
      <c r="E20">
        <f t="shared" si="0"/>
        <v>0.71864145991016981</v>
      </c>
      <c r="F20" s="9">
        <f t="shared" si="1"/>
        <v>0.25177157352755464</v>
      </c>
      <c r="G20" s="8">
        <f t="shared" si="7"/>
        <v>0.91581481855274727</v>
      </c>
      <c r="H20" s="9">
        <f t="shared" si="8"/>
        <v>0.32085003550407337</v>
      </c>
      <c r="I20" s="8">
        <f t="shared" si="5"/>
        <v>0.82094760513867704</v>
      </c>
      <c r="J20" s="9">
        <f t="shared" si="6"/>
        <v>0.51507268368745018</v>
      </c>
    </row>
    <row r="21" spans="1:15" x14ac:dyDescent="0.3">
      <c r="A21">
        <f t="shared" si="2"/>
        <v>19</v>
      </c>
      <c r="B21">
        <f t="shared" si="3"/>
        <v>69</v>
      </c>
      <c r="C21" s="1">
        <v>61436</v>
      </c>
      <c r="D21" s="8">
        <f t="shared" si="4"/>
        <v>0.33051301049924886</v>
      </c>
      <c r="E21">
        <f t="shared" si="0"/>
        <v>0.69506386541311704</v>
      </c>
      <c r="F21" s="9">
        <f t="shared" si="1"/>
        <v>0.22972765064693404</v>
      </c>
      <c r="G21" s="8">
        <f t="shared" si="7"/>
        <v>0.88576824925388198</v>
      </c>
      <c r="H21" s="9">
        <f t="shared" si="8"/>
        <v>0.29275793066554956</v>
      </c>
      <c r="I21" s="8">
        <f t="shared" si="5"/>
        <v>0.79401349290459322</v>
      </c>
      <c r="J21" s="9">
        <f t="shared" si="6"/>
        <v>0.46997536647233651</v>
      </c>
    </row>
    <row r="22" spans="1:15" x14ac:dyDescent="0.3">
      <c r="A22">
        <f t="shared" si="2"/>
        <v>20</v>
      </c>
      <c r="B22">
        <f t="shared" si="3"/>
        <v>70</v>
      </c>
      <c r="C22" s="1">
        <v>59311</v>
      </c>
      <c r="D22" s="8">
        <f t="shared" si="4"/>
        <v>0.31180472688608379</v>
      </c>
      <c r="E22">
        <f t="shared" si="0"/>
        <v>0.67102241229112225</v>
      </c>
      <c r="F22" s="9">
        <f t="shared" si="1"/>
        <v>0.2092279599988745</v>
      </c>
      <c r="G22" s="8">
        <f t="shared" si="7"/>
        <v>0.85513055263195836</v>
      </c>
      <c r="H22" s="9">
        <f t="shared" si="8"/>
        <v>0.2666337484153537</v>
      </c>
      <c r="I22" s="8">
        <f t="shared" si="5"/>
        <v>0.76654948690774682</v>
      </c>
      <c r="J22" s="9">
        <f t="shared" si="6"/>
        <v>0.42803722973624875</v>
      </c>
    </row>
    <row r="23" spans="1:15" x14ac:dyDescent="0.3">
      <c r="A23">
        <f t="shared" si="2"/>
        <v>21</v>
      </c>
      <c r="B23">
        <f t="shared" si="3"/>
        <v>71</v>
      </c>
      <c r="C23" s="1">
        <v>57163</v>
      </c>
      <c r="D23" s="8">
        <f t="shared" si="4"/>
        <v>0.29415540272272056</v>
      </c>
      <c r="E23">
        <f t="shared" si="0"/>
        <v>0.64672074579415995</v>
      </c>
      <c r="F23" s="9">
        <f t="shared" si="1"/>
        <v>0.19023640142821932</v>
      </c>
      <c r="G23" s="8">
        <f t="shared" si="7"/>
        <v>0.8241612479995386</v>
      </c>
      <c r="H23" s="9">
        <f t="shared" si="8"/>
        <v>0.24243148381376425</v>
      </c>
      <c r="I23" s="8">
        <f t="shared" si="5"/>
        <v>0.73878822343422856</v>
      </c>
      <c r="J23" s="9">
        <f t="shared" si="6"/>
        <v>0.38918442001138842</v>
      </c>
    </row>
    <row r="24" spans="1:15" x14ac:dyDescent="0.3">
      <c r="A24">
        <f t="shared" si="2"/>
        <v>22</v>
      </c>
      <c r="B24">
        <f t="shared" si="3"/>
        <v>72</v>
      </c>
      <c r="C24" s="1">
        <v>54988</v>
      </c>
      <c r="D24" s="8">
        <f t="shared" si="4"/>
        <v>0.27750509690822689</v>
      </c>
      <c r="E24">
        <f t="shared" si="0"/>
        <v>0.62211361142223576</v>
      </c>
      <c r="F24" s="9">
        <f t="shared" si="1"/>
        <v>0.17263969802565454</v>
      </c>
      <c r="G24" s="8">
        <f t="shared" si="7"/>
        <v>0.79280266439827562</v>
      </c>
      <c r="H24" s="9">
        <f t="shared" si="8"/>
        <v>0.22000678021294395</v>
      </c>
      <c r="I24" s="8">
        <f t="shared" si="5"/>
        <v>0.7106780055315739</v>
      </c>
      <c r="J24" s="9">
        <f t="shared" si="6"/>
        <v>0.35318519611719779</v>
      </c>
    </row>
    <row r="25" spans="1:15" x14ac:dyDescent="0.3">
      <c r="A25">
        <f t="shared" si="2"/>
        <v>23</v>
      </c>
      <c r="B25">
        <f t="shared" si="3"/>
        <v>73</v>
      </c>
      <c r="C25" s="1">
        <v>52759</v>
      </c>
      <c r="D25" s="8">
        <f t="shared" si="4"/>
        <v>0.26179726123417624</v>
      </c>
      <c r="E25">
        <f t="shared" si="0"/>
        <v>0.59689554130038802</v>
      </c>
      <c r="F25" s="9">
        <f t="shared" si="1"/>
        <v>0.15626561795533273</v>
      </c>
      <c r="G25" s="8">
        <f t="shared" si="7"/>
        <v>0.76066552285932609</v>
      </c>
      <c r="H25" s="9">
        <f t="shared" si="8"/>
        <v>0.19914015059983425</v>
      </c>
      <c r="I25" s="8">
        <f t="shared" si="5"/>
        <v>0.68186987877064642</v>
      </c>
      <c r="J25" s="9">
        <f t="shared" si="6"/>
        <v>0.31968720725940947</v>
      </c>
    </row>
    <row r="26" spans="1:15" x14ac:dyDescent="0.3">
      <c r="A26">
        <f t="shared" si="2"/>
        <v>24</v>
      </c>
      <c r="B26">
        <f t="shared" si="3"/>
        <v>74</v>
      </c>
      <c r="C26" s="1">
        <v>50463</v>
      </c>
      <c r="D26" s="8">
        <f t="shared" si="4"/>
        <v>0.24697854833412852</v>
      </c>
      <c r="E26">
        <f t="shared" si="0"/>
        <v>0.57091945830363511</v>
      </c>
      <c r="F26" s="9">
        <f t="shared" si="1"/>
        <v>0.14100485902753881</v>
      </c>
      <c r="G26" s="8">
        <f t="shared" si="7"/>
        <v>0.72756239276806178</v>
      </c>
      <c r="H26" s="9">
        <f t="shared" si="8"/>
        <v>0.17969230358836094</v>
      </c>
      <c r="I26" s="8">
        <f t="shared" si="5"/>
        <v>0.65219582805593612</v>
      </c>
      <c r="J26" s="9">
        <f t="shared" si="6"/>
        <v>0.28846684371353937</v>
      </c>
    </row>
    <row r="27" spans="1:15" x14ac:dyDescent="0.3">
      <c r="A27">
        <f t="shared" si="2"/>
        <v>25</v>
      </c>
      <c r="B27">
        <f t="shared" si="3"/>
        <v>75</v>
      </c>
      <c r="C27" s="1">
        <v>48077</v>
      </c>
      <c r="D27" s="8">
        <f t="shared" si="4"/>
        <v>0.23299863050389483</v>
      </c>
      <c r="E27">
        <f t="shared" si="0"/>
        <v>0.54392514905700939</v>
      </c>
      <c r="F27" s="9">
        <f t="shared" si="1"/>
        <v>0.12673381482691004</v>
      </c>
      <c r="G27" s="8">
        <f t="shared" si="7"/>
        <v>0.69316166611398666</v>
      </c>
      <c r="H27" s="9">
        <f t="shared" si="8"/>
        <v>0.16150571892235691</v>
      </c>
      <c r="I27" s="8">
        <f t="shared" si="5"/>
        <v>0.62135859591077103</v>
      </c>
      <c r="J27" s="9">
        <f t="shared" si="6"/>
        <v>0.25927123226125759</v>
      </c>
    </row>
    <row r="28" spans="1:15" x14ac:dyDescent="0.3">
      <c r="A28">
        <f t="shared" si="2"/>
        <v>26</v>
      </c>
      <c r="B28">
        <f t="shared" si="3"/>
        <v>76</v>
      </c>
      <c r="C28" s="1">
        <v>45591</v>
      </c>
      <c r="D28" s="8">
        <f t="shared" si="4"/>
        <v>0.21981002877725925</v>
      </c>
      <c r="E28">
        <f t="shared" si="0"/>
        <v>0.51579947731052511</v>
      </c>
      <c r="F28" s="9">
        <f t="shared" si="1"/>
        <v>0.1133778979509218</v>
      </c>
      <c r="G28" s="8">
        <f t="shared" si="7"/>
        <v>0.65731916550123271</v>
      </c>
      <c r="H28" s="9">
        <f t="shared" si="8"/>
        <v>0.14448534468467</v>
      </c>
      <c r="I28" s="8">
        <f t="shared" si="5"/>
        <v>0.58922893995398973</v>
      </c>
      <c r="J28" s="9">
        <f t="shared" si="6"/>
        <v>0.23194778246890491</v>
      </c>
    </row>
    <row r="29" spans="1:15" x14ac:dyDescent="0.3">
      <c r="A29">
        <f t="shared" si="2"/>
        <v>27</v>
      </c>
      <c r="B29">
        <f t="shared" si="3"/>
        <v>77</v>
      </c>
      <c r="C29" s="1">
        <v>43032</v>
      </c>
      <c r="D29" s="8">
        <f t="shared" si="4"/>
        <v>0.20736795167665964</v>
      </c>
      <c r="E29">
        <f t="shared" si="0"/>
        <v>0.48684791093914404</v>
      </c>
      <c r="F29" s="9">
        <f t="shared" si="1"/>
        <v>0.10095665406951111</v>
      </c>
      <c r="G29" s="8">
        <f t="shared" si="7"/>
        <v>0.62042416989864324</v>
      </c>
      <c r="H29" s="9">
        <f t="shared" si="8"/>
        <v>0.12865608928257352</v>
      </c>
      <c r="I29" s="8">
        <f t="shared" si="5"/>
        <v>0.55615581461472852</v>
      </c>
      <c r="J29" s="9">
        <f t="shared" si="6"/>
        <v>0.20653648074371506</v>
      </c>
    </row>
    <row r="30" spans="1:15" x14ac:dyDescent="0.3">
      <c r="A30">
        <f t="shared" si="2"/>
        <v>28</v>
      </c>
      <c r="B30">
        <f t="shared" si="3"/>
        <v>78</v>
      </c>
      <c r="C30" s="1">
        <v>40404</v>
      </c>
      <c r="D30" s="8">
        <f t="shared" si="4"/>
        <v>0.19563014309118829</v>
      </c>
      <c r="E30">
        <f t="shared" si="0"/>
        <v>0.45711570444286054</v>
      </c>
      <c r="F30" s="9">
        <f t="shared" si="1"/>
        <v>8.9425610669386146E-2</v>
      </c>
      <c r="G30" s="8">
        <f t="shared" si="7"/>
        <v>0.58253435026456557</v>
      </c>
      <c r="H30" s="9">
        <f t="shared" si="8"/>
        <v>0.11396127829778936</v>
      </c>
      <c r="I30" s="8">
        <f t="shared" si="5"/>
        <v>0.52219091684545194</v>
      </c>
      <c r="J30" s="9">
        <f t="shared" si="6"/>
        <v>0.1829463455008703</v>
      </c>
    </row>
    <row r="31" spans="1:15" x14ac:dyDescent="0.3">
      <c r="A31">
        <f t="shared" si="2"/>
        <v>29</v>
      </c>
      <c r="B31">
        <f t="shared" si="3"/>
        <v>79</v>
      </c>
      <c r="C31" s="1">
        <v>37720</v>
      </c>
      <c r="D31" s="8">
        <f t="shared" si="4"/>
        <v>0.18455673876527198</v>
      </c>
      <c r="E31">
        <f t="shared" si="0"/>
        <v>0.42674993494665625</v>
      </c>
      <c r="F31" s="9">
        <f t="shared" si="1"/>
        <v>7.8759576262046854E-2</v>
      </c>
      <c r="G31" s="8">
        <f t="shared" si="7"/>
        <v>0.5438371372136277</v>
      </c>
      <c r="H31" s="9">
        <f t="shared" si="8"/>
        <v>0.10036880846358887</v>
      </c>
      <c r="I31" s="8">
        <f t="shared" si="5"/>
        <v>0.48750226174167033</v>
      </c>
      <c r="J31" s="9">
        <f t="shared" si="6"/>
        <v>0.16112584015343218</v>
      </c>
    </row>
    <row r="32" spans="1:15" x14ac:dyDescent="0.3">
      <c r="A32">
        <f t="shared" si="2"/>
        <v>30</v>
      </c>
      <c r="B32">
        <f t="shared" si="3"/>
        <v>80</v>
      </c>
      <c r="C32" s="1">
        <v>35008</v>
      </c>
      <c r="D32" s="8">
        <f t="shared" si="4"/>
        <v>0.1741101309106339</v>
      </c>
      <c r="E32">
        <f t="shared" si="0"/>
        <v>0.39606738395049157</v>
      </c>
      <c r="F32" s="9">
        <f t="shared" si="1"/>
        <v>6.8959344069052395E-2</v>
      </c>
      <c r="G32" s="8">
        <f t="shared" si="7"/>
        <v>0.50473622745425972</v>
      </c>
      <c r="H32" s="9">
        <f t="shared" si="8"/>
        <v>8.7879690637400656E-2</v>
      </c>
      <c r="I32" s="8">
        <f t="shared" si="5"/>
        <v>0.45245172797063615</v>
      </c>
      <c r="J32" s="9">
        <f t="shared" si="6"/>
        <v>0.1410765874690208</v>
      </c>
      <c r="K32" s="8">
        <f>C32/$C$32</f>
        <v>1</v>
      </c>
      <c r="L32" s="9">
        <f>D32*$T$3^($A$32)*K32</f>
        <v>0.99999999999999789</v>
      </c>
    </row>
    <row r="33" spans="1:12" x14ac:dyDescent="0.3">
      <c r="A33">
        <f t="shared" si="2"/>
        <v>31</v>
      </c>
      <c r="B33">
        <f t="shared" si="3"/>
        <v>81</v>
      </c>
      <c r="C33" s="1">
        <v>32288</v>
      </c>
      <c r="D33" s="8">
        <f t="shared" si="4"/>
        <v>0.16425484048173006</v>
      </c>
      <c r="E33">
        <f t="shared" si="0"/>
        <v>0.3652943239543382</v>
      </c>
      <c r="F33" s="9">
        <f t="shared" si="1"/>
        <v>6.0001360910001245E-2</v>
      </c>
      <c r="G33" s="8">
        <f t="shared" si="7"/>
        <v>0.46551997577819748</v>
      </c>
      <c r="H33" s="9">
        <f t="shared" si="8"/>
        <v>7.6463909362506674E-2</v>
      </c>
      <c r="I33" s="8">
        <f t="shared" si="5"/>
        <v>0.41729780029467262</v>
      </c>
      <c r="J33" s="9">
        <f t="shared" si="6"/>
        <v>0.12275040250098472</v>
      </c>
      <c r="K33" s="8">
        <f t="shared" ref="K33:K59" si="9">C33/$C$32</f>
        <v>0.92230347349177333</v>
      </c>
      <c r="L33" s="9">
        <f t="shared" ref="L33:L59" si="10">D33*$T$3^($A$32)*K33</f>
        <v>0.87009761650167095</v>
      </c>
    </row>
    <row r="34" spans="1:12" x14ac:dyDescent="0.3">
      <c r="A34">
        <f t="shared" si="2"/>
        <v>32</v>
      </c>
      <c r="B34">
        <f t="shared" si="3"/>
        <v>82</v>
      </c>
      <c r="C34" s="1">
        <v>29592</v>
      </c>
      <c r="D34" s="8">
        <f t="shared" si="4"/>
        <v>0.15495739668087741</v>
      </c>
      <c r="E34">
        <f t="shared" si="0"/>
        <v>0.3347927909581509</v>
      </c>
      <c r="F34" s="9">
        <f t="shared" si="1"/>
        <v>5.1878619314400257E-2</v>
      </c>
      <c r="G34" s="8">
        <f t="shared" si="7"/>
        <v>0.42664974985221815</v>
      </c>
      <c r="H34" s="9">
        <f t="shared" si="8"/>
        <v>6.6112534531647282E-2</v>
      </c>
      <c r="I34" s="8">
        <f t="shared" si="5"/>
        <v>0.38245405433349705</v>
      </c>
      <c r="J34" s="9">
        <f t="shared" si="6"/>
        <v>0.10613294941076129</v>
      </c>
      <c r="K34" s="8">
        <f t="shared" si="9"/>
        <v>0.84529250457038396</v>
      </c>
      <c r="L34" s="9">
        <f t="shared" si="10"/>
        <v>0.75230731983836063</v>
      </c>
    </row>
    <row r="35" spans="1:12" x14ac:dyDescent="0.3">
      <c r="A35">
        <f t="shared" si="2"/>
        <v>33</v>
      </c>
      <c r="B35">
        <f t="shared" si="3"/>
        <v>83</v>
      </c>
      <c r="C35" s="1">
        <v>26915</v>
      </c>
      <c r="D35" s="8">
        <f t="shared" si="4"/>
        <v>0.14618622328384659</v>
      </c>
      <c r="E35">
        <f t="shared" si="0"/>
        <v>0.30450621683693674</v>
      </c>
      <c r="F35" s="9">
        <f t="shared" si="1"/>
        <v>4.4514613805843838E-2</v>
      </c>
      <c r="G35" s="8">
        <f t="shared" si="7"/>
        <v>0.38805346097838783</v>
      </c>
      <c r="H35" s="9">
        <f t="shared" si="8"/>
        <v>5.6728069892656052E-2</v>
      </c>
      <c r="I35" s="8">
        <f t="shared" si="5"/>
        <v>0.34785586889652853</v>
      </c>
      <c r="J35" s="9">
        <f t="shared" si="6"/>
        <v>9.1067713781345788E-2</v>
      </c>
      <c r="K35" s="8">
        <f t="shared" si="9"/>
        <v>0.76882426873857401</v>
      </c>
      <c r="L35" s="9">
        <f t="shared" si="10"/>
        <v>0.64551968129611359</v>
      </c>
    </row>
    <row r="36" spans="1:12" x14ac:dyDescent="0.3">
      <c r="A36">
        <f t="shared" si="2"/>
        <v>34</v>
      </c>
      <c r="B36">
        <f t="shared" si="3"/>
        <v>84</v>
      </c>
      <c r="C36" s="1">
        <v>24280</v>
      </c>
      <c r="D36" s="8">
        <f t="shared" si="4"/>
        <v>0.13791153139985526</v>
      </c>
      <c r="E36">
        <f t="shared" si="0"/>
        <v>0.27469481496566317</v>
      </c>
      <c r="F36" s="9">
        <f t="shared" si="1"/>
        <v>3.7883582599514486E-2</v>
      </c>
      <c r="G36" s="8">
        <f t="shared" si="7"/>
        <v>0.35006271716720255</v>
      </c>
      <c r="H36" s="9">
        <f t="shared" si="8"/>
        <v>4.8277685410523311E-2</v>
      </c>
      <c r="I36" s="8">
        <f t="shared" si="5"/>
        <v>0.31380050146043892</v>
      </c>
      <c r="J36" s="9">
        <f t="shared" si="6"/>
        <v>7.7501992317220728E-2</v>
      </c>
      <c r="K36" s="8">
        <f t="shared" si="9"/>
        <v>0.69355575868372943</v>
      </c>
      <c r="L36" s="9">
        <f t="shared" si="10"/>
        <v>0.54936112155561845</v>
      </c>
    </row>
    <row r="37" spans="1:12" x14ac:dyDescent="0.3">
      <c r="A37">
        <f t="shared" si="2"/>
        <v>35</v>
      </c>
      <c r="B37">
        <f t="shared" si="3"/>
        <v>85</v>
      </c>
      <c r="C37" s="1">
        <v>21709</v>
      </c>
      <c r="D37" s="8">
        <f t="shared" si="4"/>
        <v>0.13010521830175023</v>
      </c>
      <c r="E37">
        <f t="shared" si="0"/>
        <v>0.24560748509429906</v>
      </c>
      <c r="F37" s="9">
        <f t="shared" si="1"/>
        <v>3.1954815464737642E-2</v>
      </c>
      <c r="G37" s="8">
        <f t="shared" si="7"/>
        <v>0.31299470868957163</v>
      </c>
      <c r="H37" s="9">
        <f t="shared" si="8"/>
        <v>4.0722244901349437E-2</v>
      </c>
      <c r="I37" s="8">
        <f t="shared" si="5"/>
        <v>0.28057228526378369</v>
      </c>
      <c r="J37" s="9">
        <f t="shared" si="6"/>
        <v>6.537295822380966E-2</v>
      </c>
      <c r="K37" s="8">
        <f t="shared" si="9"/>
        <v>0.62011540219378425</v>
      </c>
      <c r="L37" s="9">
        <f t="shared" si="10"/>
        <v>0.46338630240942613</v>
      </c>
    </row>
    <row r="38" spans="1:12" x14ac:dyDescent="0.3">
      <c r="A38">
        <f t="shared" si="2"/>
        <v>36</v>
      </c>
      <c r="B38">
        <f t="shared" si="3"/>
        <v>86</v>
      </c>
      <c r="C38" s="1">
        <v>19227</v>
      </c>
      <c r="D38" s="8">
        <f t="shared" si="4"/>
        <v>0.12274077198278321</v>
      </c>
      <c r="E38">
        <f t="shared" si="0"/>
        <v>0.21752706784780912</v>
      </c>
      <c r="F38" s="9">
        <f t="shared" si="1"/>
        <v>2.6699440234791354E-2</v>
      </c>
      <c r="G38" s="8">
        <f t="shared" si="7"/>
        <v>0.27720987903516486</v>
      </c>
      <c r="H38" s="9">
        <f t="shared" si="8"/>
        <v>3.4024954554030089E-2</v>
      </c>
      <c r="I38" s="8">
        <f t="shared" si="5"/>
        <v>0.24849432625946699</v>
      </c>
      <c r="J38" s="9">
        <f t="shared" si="6"/>
        <v>5.4621545006079041E-2</v>
      </c>
      <c r="K38" s="8">
        <f t="shared" si="9"/>
        <v>0.54921732175502747</v>
      </c>
      <c r="L38" s="9">
        <f t="shared" si="10"/>
        <v>0.38717653996325474</v>
      </c>
    </row>
    <row r="39" spans="1:12" x14ac:dyDescent="0.3">
      <c r="A39">
        <f t="shared" si="2"/>
        <v>37</v>
      </c>
      <c r="B39">
        <f t="shared" si="3"/>
        <v>87</v>
      </c>
      <c r="C39" s="1">
        <v>16856</v>
      </c>
      <c r="D39" s="8">
        <f t="shared" si="4"/>
        <v>0.11579318111583323</v>
      </c>
      <c r="E39">
        <f t="shared" si="0"/>
        <v>0.1907024629761622</v>
      </c>
      <c r="F39" s="9">
        <f t="shared" si="1"/>
        <v>2.2082044834634228E-2</v>
      </c>
      <c r="G39" s="8">
        <f t="shared" si="7"/>
        <v>0.24302541847489151</v>
      </c>
      <c r="H39" s="9">
        <f t="shared" si="8"/>
        <v>2.8140686297214276E-2</v>
      </c>
      <c r="I39" s="8">
        <f t="shared" si="5"/>
        <v>0.2178509576860444</v>
      </c>
      <c r="J39" s="9">
        <f t="shared" si="6"/>
        <v>4.5175306866153647E-2</v>
      </c>
      <c r="K39" s="8">
        <f t="shared" si="9"/>
        <v>0.48148994515539306</v>
      </c>
      <c r="L39" s="9">
        <f t="shared" si="10"/>
        <v>0.3202183131632218</v>
      </c>
    </row>
    <row r="40" spans="1:12" x14ac:dyDescent="0.3">
      <c r="A40">
        <f t="shared" si="2"/>
        <v>38</v>
      </c>
      <c r="B40">
        <f t="shared" si="3"/>
        <v>88</v>
      </c>
      <c r="C40" s="1">
        <v>14616</v>
      </c>
      <c r="D40" s="8">
        <f t="shared" si="4"/>
        <v>0.1092388501092766</v>
      </c>
      <c r="E40">
        <f t="shared" si="0"/>
        <v>0.16535994297933002</v>
      </c>
      <c r="F40" s="9">
        <f t="shared" si="1"/>
        <v>1.8063730025197556E-2</v>
      </c>
      <c r="G40" s="8">
        <f t="shared" si="7"/>
        <v>0.21072968180048732</v>
      </c>
      <c r="H40" s="9">
        <f t="shared" si="8"/>
        <v>2.3019868123778986E-2</v>
      </c>
      <c r="I40" s="8">
        <f t="shared" si="5"/>
        <v>0.18890066430583918</v>
      </c>
      <c r="J40" s="9">
        <f t="shared" si="6"/>
        <v>3.6954663988171814E-2</v>
      </c>
      <c r="K40" s="8">
        <f t="shared" si="9"/>
        <v>0.41750457038391225</v>
      </c>
      <c r="L40" s="9">
        <f t="shared" si="10"/>
        <v>0.2619475325506202</v>
      </c>
    </row>
    <row r="41" spans="1:12" x14ac:dyDescent="0.3">
      <c r="A41">
        <f t="shared" si="2"/>
        <v>39</v>
      </c>
      <c r="B41">
        <f t="shared" si="3"/>
        <v>89</v>
      </c>
      <c r="C41" s="1">
        <v>12526</v>
      </c>
      <c r="D41" s="8">
        <f t="shared" si="4"/>
        <v>0.10305551897101564</v>
      </c>
      <c r="E41">
        <f t="shared" si="0"/>
        <v>0.14171446673228569</v>
      </c>
      <c r="F41" s="9">
        <f t="shared" si="1"/>
        <v>1.4604457914796433E-2</v>
      </c>
      <c r="G41" s="8">
        <f t="shared" si="7"/>
        <v>0.18059660606410127</v>
      </c>
      <c r="H41" s="9">
        <f t="shared" si="8"/>
        <v>1.8611476962340029E-2</v>
      </c>
      <c r="I41" s="8">
        <f t="shared" si="5"/>
        <v>0.16188900664305839</v>
      </c>
      <c r="J41" s="9">
        <f t="shared" si="6"/>
        <v>2.9877707107992282E-2</v>
      </c>
      <c r="K41" s="8">
        <f t="shared" si="9"/>
        <v>0.35780393053016452</v>
      </c>
      <c r="L41" s="9">
        <f t="shared" si="10"/>
        <v>0.21178359672580757</v>
      </c>
    </row>
    <row r="42" spans="1:12" x14ac:dyDescent="0.3">
      <c r="A42">
        <f t="shared" si="2"/>
        <v>40</v>
      </c>
      <c r="B42">
        <f t="shared" si="3"/>
        <v>90</v>
      </c>
      <c r="C42" s="1">
        <v>10603</v>
      </c>
      <c r="D42" s="8">
        <f t="shared" si="4"/>
        <v>9.7222187708505312E-2</v>
      </c>
      <c r="E42">
        <f t="shared" si="0"/>
        <v>0.1199583658600052</v>
      </c>
      <c r="F42" s="9">
        <f t="shared" si="1"/>
        <v>1.1662614762846982E-2</v>
      </c>
      <c r="G42" s="8">
        <f t="shared" si="7"/>
        <v>0.15287129283870876</v>
      </c>
      <c r="H42" s="9">
        <f t="shared" si="8"/>
        <v>1.4862481527606827E-2</v>
      </c>
      <c r="I42" s="8">
        <f t="shared" si="5"/>
        <v>0.13703569674567684</v>
      </c>
      <c r="J42" s="9">
        <f t="shared" si="6"/>
        <v>2.3859303099819703E-2</v>
      </c>
      <c r="K42" s="8">
        <f t="shared" si="9"/>
        <v>0.30287362888482633</v>
      </c>
      <c r="L42" s="9">
        <f t="shared" si="10"/>
        <v>0.16912305243461431</v>
      </c>
    </row>
    <row r="43" spans="1:12" x14ac:dyDescent="0.3">
      <c r="A43">
        <f t="shared" si="2"/>
        <v>41</v>
      </c>
      <c r="B43">
        <f t="shared" si="3"/>
        <v>91</v>
      </c>
      <c r="C43" s="1">
        <v>8856</v>
      </c>
      <c r="D43" s="8">
        <f t="shared" si="4"/>
        <v>9.1719045008023872E-2</v>
      </c>
      <c r="E43">
        <f t="shared" si="0"/>
        <v>0.10019346298747582</v>
      </c>
      <c r="F43" s="9">
        <f t="shared" si="1"/>
        <v>9.1896487412580687E-3</v>
      </c>
      <c r="G43" s="8">
        <f t="shared" si="7"/>
        <v>0.12768350178059085</v>
      </c>
      <c r="H43" s="9">
        <f t="shared" si="8"/>
        <v>1.1711008846596108E-2</v>
      </c>
      <c r="I43" s="8">
        <f t="shared" si="5"/>
        <v>0.11445705275673999</v>
      </c>
      <c r="J43" s="9">
        <f t="shared" si="6"/>
        <v>1.8800124942567276E-2</v>
      </c>
      <c r="K43" s="8">
        <f t="shared" si="9"/>
        <v>0.25297074954296161</v>
      </c>
      <c r="L43" s="9">
        <f t="shared" si="10"/>
        <v>0.13326183514819981</v>
      </c>
    </row>
    <row r="44" spans="1:12" x14ac:dyDescent="0.3">
      <c r="A44">
        <f t="shared" si="2"/>
        <v>42</v>
      </c>
      <c r="B44">
        <f t="shared" si="3"/>
        <v>92</v>
      </c>
      <c r="C44" s="1">
        <v>7293</v>
      </c>
      <c r="D44" s="8">
        <f t="shared" si="4"/>
        <v>8.6527400950965908E-2</v>
      </c>
      <c r="E44">
        <f t="shared" si="0"/>
        <v>8.2510267114686217E-2</v>
      </c>
      <c r="F44" s="9">
        <f t="shared" si="1"/>
        <v>7.1393989652037511E-3</v>
      </c>
      <c r="G44" s="8">
        <f t="shared" si="7"/>
        <v>0.10514857480644185</v>
      </c>
      <c r="H44" s="9">
        <f t="shared" si="8"/>
        <v>9.0982328916996268E-3</v>
      </c>
      <c r="I44" s="8">
        <f t="shared" si="5"/>
        <v>9.4256468581177144E-2</v>
      </c>
      <c r="J44" s="9">
        <f t="shared" si="6"/>
        <v>1.4605736991672114E-2</v>
      </c>
      <c r="K44" s="8">
        <f t="shared" si="9"/>
        <v>0.20832381170018283</v>
      </c>
      <c r="L44" s="9">
        <f t="shared" si="10"/>
        <v>0.10353055211857445</v>
      </c>
    </row>
    <row r="45" spans="1:12" x14ac:dyDescent="0.3">
      <c r="A45">
        <f t="shared" si="2"/>
        <v>43</v>
      </c>
      <c r="B45">
        <f t="shared" si="3"/>
        <v>93</v>
      </c>
      <c r="C45" s="1">
        <v>5917</v>
      </c>
      <c r="D45" s="8">
        <f t="shared" si="4"/>
        <v>8.162962353864707E-2</v>
      </c>
      <c r="E45">
        <f t="shared" si="0"/>
        <v>6.694271911663216E-2</v>
      </c>
      <c r="F45" s="9">
        <f t="shared" si="1"/>
        <v>5.4645089601440761E-3</v>
      </c>
      <c r="G45" s="8">
        <f t="shared" si="7"/>
        <v>8.5309765135022128E-2</v>
      </c>
      <c r="H45" s="9">
        <f t="shared" si="8"/>
        <v>6.9638040121422556E-3</v>
      </c>
      <c r="I45" s="8">
        <f t="shared" si="5"/>
        <v>7.6472716933336779E-2</v>
      </c>
      <c r="J45" s="9">
        <f t="shared" si="6"/>
        <v>1.1179257672739158E-2</v>
      </c>
      <c r="K45" s="8">
        <f t="shared" si="9"/>
        <v>0.16901851005484461</v>
      </c>
      <c r="L45" s="9">
        <f t="shared" si="10"/>
        <v>7.9242472994989377E-2</v>
      </c>
    </row>
    <row r="46" spans="1:12" x14ac:dyDescent="0.3">
      <c r="A46">
        <f t="shared" si="2"/>
        <v>44</v>
      </c>
      <c r="B46">
        <f t="shared" si="3"/>
        <v>94</v>
      </c>
      <c r="C46" s="1">
        <v>4726</v>
      </c>
      <c r="D46" s="8">
        <f t="shared" si="4"/>
        <v>7.7009078810044401E-2</v>
      </c>
      <c r="E46">
        <f t="shared" si="0"/>
        <v>5.3468191743316476E-2</v>
      </c>
      <c r="F46" s="9">
        <f t="shared" si="1"/>
        <v>4.117536191791624E-3</v>
      </c>
      <c r="G46" s="8">
        <f t="shared" si="7"/>
        <v>6.8138237287158121E-2</v>
      </c>
      <c r="H46" s="9">
        <f t="shared" si="8"/>
        <v>5.2472628852242654E-3</v>
      </c>
      <c r="I46" s="8">
        <f t="shared" si="5"/>
        <v>6.1079949336986586E-2</v>
      </c>
      <c r="J46" s="9">
        <f t="shared" si="6"/>
        <v>8.4236293508893889E-3</v>
      </c>
      <c r="K46" s="8">
        <f t="shared" si="9"/>
        <v>0.13499771480804387</v>
      </c>
      <c r="L46" s="9">
        <f t="shared" si="10"/>
        <v>5.9709619448649671E-2</v>
      </c>
    </row>
    <row r="47" spans="1:12" x14ac:dyDescent="0.3">
      <c r="A47">
        <f t="shared" si="2"/>
        <v>45</v>
      </c>
      <c r="B47">
        <f t="shared" si="3"/>
        <v>95</v>
      </c>
      <c r="C47" s="1">
        <v>3712</v>
      </c>
      <c r="D47" s="8">
        <f t="shared" si="4"/>
        <v>7.2650074349098481E-2</v>
      </c>
      <c r="E47">
        <f t="shared" si="0"/>
        <v>4.199617599475048E-2</v>
      </c>
      <c r="F47" s="9">
        <f t="shared" si="1"/>
        <v>3.0510253083964474E-3</v>
      </c>
      <c r="G47" s="8">
        <f t="shared" si="7"/>
        <v>5.3518649346155509E-2</v>
      </c>
      <c r="H47" s="9">
        <f t="shared" si="8"/>
        <v>3.8881338540615283E-3</v>
      </c>
      <c r="I47" s="8">
        <f t="shared" si="5"/>
        <v>4.7974771887197253E-2</v>
      </c>
      <c r="J47" s="9">
        <f t="shared" si="6"/>
        <v>6.2417681693604649E-3</v>
      </c>
      <c r="K47" s="8">
        <f t="shared" si="9"/>
        <v>0.10603290676416818</v>
      </c>
      <c r="L47" s="9">
        <f t="shared" si="10"/>
        <v>4.4243827280916394E-2</v>
      </c>
    </row>
    <row r="48" spans="1:12" x14ac:dyDescent="0.3">
      <c r="A48">
        <f t="shared" si="2"/>
        <v>46</v>
      </c>
      <c r="B48">
        <f t="shared" si="3"/>
        <v>96</v>
      </c>
      <c r="C48" s="1">
        <v>2865</v>
      </c>
      <c r="D48" s="8">
        <f t="shared" si="4"/>
        <v>6.8537805989715539E-2</v>
      </c>
      <c r="E48">
        <f t="shared" si="0"/>
        <v>3.2413535620948307E-2</v>
      </c>
      <c r="F48" s="9">
        <f t="shared" si="1"/>
        <v>2.2215526158292889E-3</v>
      </c>
      <c r="G48" s="8">
        <f t="shared" si="7"/>
        <v>4.1306823916146429E-2</v>
      </c>
      <c r="H48" s="9">
        <f t="shared" si="8"/>
        <v>2.8310790836161858E-3</v>
      </c>
      <c r="I48" s="8">
        <f t="shared" si="5"/>
        <v>3.7027942202807147E-2</v>
      </c>
      <c r="J48" s="9">
        <f t="shared" si="6"/>
        <v>4.544838210906425E-3</v>
      </c>
      <c r="K48" s="8">
        <f t="shared" si="9"/>
        <v>8.1838436928702005E-2</v>
      </c>
      <c r="L48" s="9">
        <f t="shared" si="10"/>
        <v>3.2215396561845688E-2</v>
      </c>
    </row>
    <row r="49" spans="1:12" x14ac:dyDescent="0.3">
      <c r="A49">
        <f t="shared" si="2"/>
        <v>47</v>
      </c>
      <c r="B49">
        <f t="shared" si="3"/>
        <v>97</v>
      </c>
      <c r="C49" s="1">
        <v>2171</v>
      </c>
      <c r="D49" s="8">
        <f t="shared" si="4"/>
        <v>6.4658307537467472E-2</v>
      </c>
      <c r="E49">
        <f t="shared" si="0"/>
        <v>2.4561879871929766E-2</v>
      </c>
      <c r="F49" s="9">
        <f t="shared" si="1"/>
        <v>1.588129582457567E-3</v>
      </c>
      <c r="G49" s="8">
        <f t="shared" si="7"/>
        <v>3.1300912642915846E-2</v>
      </c>
      <c r="H49" s="9">
        <f t="shared" si="8"/>
        <v>2.0238640358690566E-3</v>
      </c>
      <c r="I49" s="8">
        <f t="shared" si="5"/>
        <v>2.8058520950189986E-2</v>
      </c>
      <c r="J49" s="9">
        <f t="shared" si="6"/>
        <v>3.248985398227747E-3</v>
      </c>
      <c r="K49" s="8">
        <f t="shared" si="9"/>
        <v>6.2014396709323585E-2</v>
      </c>
      <c r="L49" s="9">
        <f t="shared" si="10"/>
        <v>2.3029940378598891E-2</v>
      </c>
    </row>
    <row r="50" spans="1:12" x14ac:dyDescent="0.3">
      <c r="A50">
        <f t="shared" si="2"/>
        <v>48</v>
      </c>
      <c r="B50">
        <f t="shared" si="3"/>
        <v>98</v>
      </c>
      <c r="C50" s="1">
        <v>1614</v>
      </c>
      <c r="D50" s="8">
        <f t="shared" si="4"/>
        <v>6.0998403337233463E-2</v>
      </c>
      <c r="E50">
        <f t="shared" si="0"/>
        <v>1.8260190747717477E-2</v>
      </c>
      <c r="F50" s="9">
        <f t="shared" si="1"/>
        <v>1.1138424802440894E-3</v>
      </c>
      <c r="G50" s="8">
        <f t="shared" si="7"/>
        <v>2.3270231693075159E-2</v>
      </c>
      <c r="H50" s="9">
        <f t="shared" si="8"/>
        <v>1.4194469785650716E-3</v>
      </c>
      <c r="I50" s="8">
        <f t="shared" si="5"/>
        <v>2.0859720319487168E-2</v>
      </c>
      <c r="J50" s="9">
        <f t="shared" si="6"/>
        <v>2.2786918613018885E-3</v>
      </c>
      <c r="K50" s="8">
        <f t="shared" si="9"/>
        <v>4.6103747714808047E-2</v>
      </c>
      <c r="L50" s="9">
        <f t="shared" si="10"/>
        <v>1.6152161759670186E-2</v>
      </c>
    </row>
    <row r="51" spans="1:12" x14ac:dyDescent="0.3">
      <c r="A51">
        <f t="shared" si="2"/>
        <v>49</v>
      </c>
      <c r="B51">
        <f t="shared" si="3"/>
        <v>99</v>
      </c>
      <c r="C51" s="1">
        <v>1176</v>
      </c>
      <c r="D51" s="8">
        <f t="shared" si="4"/>
        <v>5.7545663525691938E-2</v>
      </c>
      <c r="E51">
        <f t="shared" si="0"/>
        <v>1.3304822998336897E-2</v>
      </c>
      <c r="F51" s="9">
        <f t="shared" si="1"/>
        <v>7.656348675311828E-4</v>
      </c>
      <c r="G51" s="8">
        <f t="shared" si="7"/>
        <v>1.6955261754062197E-2</v>
      </c>
      <c r="H51" s="9">
        <f t="shared" si="8"/>
        <v>9.7570178788929649E-4</v>
      </c>
      <c r="I51" s="8">
        <f t="shared" si="5"/>
        <v>1.5198904024607749E-2</v>
      </c>
      <c r="J51" s="9">
        <f t="shared" si="6"/>
        <v>1.5663309420466088E-3</v>
      </c>
      <c r="K51" s="8">
        <f t="shared" si="9"/>
        <v>3.3592321755027424E-2</v>
      </c>
      <c r="L51" s="9">
        <f t="shared" si="10"/>
        <v>1.1102699392913501E-2</v>
      </c>
    </row>
    <row r="52" spans="1:12" x14ac:dyDescent="0.3">
      <c r="A52">
        <f>A51+1</f>
        <v>50</v>
      </c>
      <c r="B52">
        <f t="shared" si="3"/>
        <v>100</v>
      </c>
      <c r="C52" s="1">
        <v>839</v>
      </c>
      <c r="D52" s="8">
        <f t="shared" si="4"/>
        <v>5.42883618166905E-2</v>
      </c>
      <c r="E52">
        <f t="shared" si="0"/>
        <v>9.4921313738134828E-3</v>
      </c>
      <c r="F52" s="9">
        <f t="shared" si="1"/>
        <v>5.1531226243314583E-4</v>
      </c>
      <c r="G52" s="8">
        <f t="shared" si="7"/>
        <v>1.2096483513314783E-2</v>
      </c>
      <c r="H52" s="9">
        <f t="shared" si="8"/>
        <v>6.5669827368046441E-4</v>
      </c>
      <c r="I52" s="8">
        <f t="shared" si="5"/>
        <v>1.08434357794608E-2</v>
      </c>
      <c r="J52" s="9">
        <f t="shared" si="6"/>
        <v>1.0542225487558598E-3</v>
      </c>
      <c r="K52" s="8">
        <f t="shared" si="9"/>
        <v>2.3965950639853746E-2</v>
      </c>
      <c r="L52" s="9">
        <f t="shared" si="10"/>
        <v>7.4726966938249463E-3</v>
      </c>
    </row>
    <row r="53" spans="1:12" x14ac:dyDescent="0.3">
      <c r="A53">
        <f t="shared" ref="A53:A59" si="11">A52+1</f>
        <v>51</v>
      </c>
      <c r="B53">
        <f t="shared" si="3"/>
        <v>101</v>
      </c>
      <c r="C53" s="1">
        <v>0</v>
      </c>
      <c r="D53" s="8">
        <f t="shared" si="4"/>
        <v>5.1215435676123106E-2</v>
      </c>
      <c r="E53">
        <f t="shared" si="0"/>
        <v>0</v>
      </c>
      <c r="F53" s="9">
        <f t="shared" si="1"/>
        <v>0</v>
      </c>
      <c r="G53" s="8">
        <f t="shared" si="7"/>
        <v>0</v>
      </c>
      <c r="H53" s="9">
        <f t="shared" si="8"/>
        <v>0</v>
      </c>
      <c r="I53" s="8">
        <f t="shared" si="5"/>
        <v>0</v>
      </c>
      <c r="J53" s="9">
        <f t="shared" si="6"/>
        <v>0</v>
      </c>
      <c r="K53" s="8">
        <f t="shared" si="9"/>
        <v>0</v>
      </c>
      <c r="L53" s="9">
        <f t="shared" si="10"/>
        <v>0</v>
      </c>
    </row>
    <row r="54" spans="1:12" x14ac:dyDescent="0.3">
      <c r="A54">
        <f t="shared" si="11"/>
        <v>52</v>
      </c>
      <c r="B54">
        <f t="shared" si="3"/>
        <v>102</v>
      </c>
      <c r="C54" s="1">
        <v>0</v>
      </c>
      <c r="D54" s="8">
        <f t="shared" si="4"/>
        <v>4.8316448751059525E-2</v>
      </c>
      <c r="E54">
        <f t="shared" si="0"/>
        <v>0</v>
      </c>
      <c r="F54" s="9">
        <f t="shared" si="1"/>
        <v>0</v>
      </c>
      <c r="G54" s="8">
        <f t="shared" si="7"/>
        <v>0</v>
      </c>
      <c r="H54" s="9">
        <f t="shared" si="8"/>
        <v>0</v>
      </c>
      <c r="I54" s="8">
        <f t="shared" si="5"/>
        <v>0</v>
      </c>
      <c r="J54" s="9">
        <f t="shared" si="6"/>
        <v>0</v>
      </c>
      <c r="K54" s="8">
        <f t="shared" si="9"/>
        <v>0</v>
      </c>
      <c r="L54" s="9">
        <f t="shared" si="10"/>
        <v>0</v>
      </c>
    </row>
    <row r="55" spans="1:12" x14ac:dyDescent="0.3">
      <c r="A55">
        <f t="shared" si="11"/>
        <v>53</v>
      </c>
      <c r="B55">
        <f t="shared" si="3"/>
        <v>103</v>
      </c>
      <c r="C55" s="1">
        <v>0</v>
      </c>
      <c r="D55" s="8">
        <f t="shared" si="4"/>
        <v>4.5581555425527859E-2</v>
      </c>
      <c r="E55">
        <f t="shared" si="0"/>
        <v>0</v>
      </c>
      <c r="F55" s="9">
        <f t="shared" si="1"/>
        <v>0</v>
      </c>
      <c r="G55" s="8">
        <f t="shared" si="7"/>
        <v>0</v>
      </c>
      <c r="H55" s="9">
        <f t="shared" si="8"/>
        <v>0</v>
      </c>
      <c r="I55" s="8">
        <f t="shared" si="5"/>
        <v>0</v>
      </c>
      <c r="J55" s="9">
        <f t="shared" si="6"/>
        <v>0</v>
      </c>
      <c r="K55" s="8">
        <f t="shared" si="9"/>
        <v>0</v>
      </c>
      <c r="L55" s="9">
        <f t="shared" si="10"/>
        <v>0</v>
      </c>
    </row>
    <row r="56" spans="1:12" x14ac:dyDescent="0.3">
      <c r="A56">
        <f t="shared" si="11"/>
        <v>54</v>
      </c>
      <c r="B56">
        <f t="shared" si="3"/>
        <v>104</v>
      </c>
      <c r="C56" s="1">
        <v>0</v>
      </c>
      <c r="D56" s="8">
        <f t="shared" si="4"/>
        <v>4.300146738257344E-2</v>
      </c>
      <c r="E56">
        <f t="shared" si="0"/>
        <v>0</v>
      </c>
      <c r="F56" s="9">
        <f t="shared" si="1"/>
        <v>0</v>
      </c>
      <c r="G56" s="8">
        <f t="shared" si="7"/>
        <v>0</v>
      </c>
      <c r="H56" s="9">
        <f t="shared" si="8"/>
        <v>0</v>
      </c>
      <c r="I56" s="8">
        <f t="shared" si="5"/>
        <v>0</v>
      </c>
      <c r="J56" s="9">
        <f t="shared" si="6"/>
        <v>0</v>
      </c>
      <c r="K56" s="8">
        <f t="shared" si="9"/>
        <v>0</v>
      </c>
      <c r="L56" s="9">
        <f t="shared" si="10"/>
        <v>0</v>
      </c>
    </row>
    <row r="57" spans="1:12" x14ac:dyDescent="0.3">
      <c r="A57">
        <f t="shared" si="11"/>
        <v>55</v>
      </c>
      <c r="B57">
        <f t="shared" si="3"/>
        <v>105</v>
      </c>
      <c r="C57" s="1">
        <v>0</v>
      </c>
      <c r="D57" s="8">
        <f t="shared" si="4"/>
        <v>4.0567422059031535E-2</v>
      </c>
      <c r="E57">
        <f t="shared" si="0"/>
        <v>0</v>
      </c>
      <c r="F57" s="9">
        <f t="shared" si="1"/>
        <v>0</v>
      </c>
      <c r="G57" s="8">
        <f t="shared" si="7"/>
        <v>0</v>
      </c>
      <c r="H57" s="9">
        <f t="shared" si="8"/>
        <v>0</v>
      </c>
      <c r="I57" s="8">
        <f t="shared" si="5"/>
        <v>0</v>
      </c>
      <c r="J57" s="9">
        <f t="shared" si="6"/>
        <v>0</v>
      </c>
      <c r="K57" s="8">
        <f t="shared" si="9"/>
        <v>0</v>
      </c>
      <c r="L57" s="9">
        <f t="shared" si="10"/>
        <v>0</v>
      </c>
    </row>
    <row r="58" spans="1:12" x14ac:dyDescent="0.3">
      <c r="A58">
        <f t="shared" si="11"/>
        <v>56</v>
      </c>
      <c r="B58">
        <f t="shared" si="3"/>
        <v>106</v>
      </c>
      <c r="C58" s="1">
        <v>0</v>
      </c>
      <c r="D58" s="8">
        <f t="shared" si="4"/>
        <v>3.8271152885878811E-2</v>
      </c>
      <c r="E58">
        <f t="shared" si="0"/>
        <v>0</v>
      </c>
      <c r="F58" s="9">
        <f t="shared" si="1"/>
        <v>0</v>
      </c>
      <c r="G58" s="8">
        <f t="shared" si="7"/>
        <v>0</v>
      </c>
      <c r="H58" s="9">
        <f t="shared" si="8"/>
        <v>0</v>
      </c>
      <c r="I58" s="8">
        <f t="shared" si="5"/>
        <v>0</v>
      </c>
      <c r="J58" s="9">
        <f t="shared" si="6"/>
        <v>0</v>
      </c>
      <c r="K58" s="8">
        <f t="shared" si="9"/>
        <v>0</v>
      </c>
      <c r="L58" s="9">
        <f t="shared" si="10"/>
        <v>0</v>
      </c>
    </row>
    <row r="59" spans="1:12" x14ac:dyDescent="0.3">
      <c r="A59">
        <f t="shared" si="11"/>
        <v>57</v>
      </c>
      <c r="B59">
        <f t="shared" si="3"/>
        <v>107</v>
      </c>
      <c r="C59" s="1">
        <v>0</v>
      </c>
      <c r="D59" s="8">
        <f t="shared" si="4"/>
        <v>3.6104861213093212E-2</v>
      </c>
      <c r="E59">
        <f t="shared" si="0"/>
        <v>0</v>
      </c>
      <c r="F59" s="9">
        <f t="shared" si="1"/>
        <v>0</v>
      </c>
      <c r="G59" s="8">
        <f t="shared" si="7"/>
        <v>0</v>
      </c>
      <c r="H59" s="9">
        <f t="shared" si="8"/>
        <v>0</v>
      </c>
      <c r="I59" s="8">
        <f t="shared" si="5"/>
        <v>0</v>
      </c>
      <c r="J59" s="9">
        <f t="shared" si="6"/>
        <v>0</v>
      </c>
      <c r="K59" s="8">
        <f t="shared" si="9"/>
        <v>0</v>
      </c>
      <c r="L59" s="9">
        <f t="shared" si="10"/>
        <v>0</v>
      </c>
    </row>
  </sheetData>
  <mergeCells count="1">
    <mergeCell ref="S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9B50-BF9A-473D-815D-8BB33CC2C960}">
  <dimension ref="A1:P522"/>
  <sheetViews>
    <sheetView workbookViewId="0">
      <selection activeCell="N22" sqref="N22"/>
    </sheetView>
  </sheetViews>
  <sheetFormatPr baseColWidth="10" defaultColWidth="8.88671875" defaultRowHeight="14.4" x14ac:dyDescent="0.3"/>
  <cols>
    <col min="6" max="6" width="17.33203125" customWidth="1"/>
    <col min="7" max="7" width="23.44140625" customWidth="1"/>
    <col min="12" max="12" width="12" bestFit="1" customWidth="1"/>
    <col min="14" max="16" width="10.109375" bestFit="1" customWidth="1"/>
  </cols>
  <sheetData>
    <row r="1" spans="1:16" ht="15" thickBot="1" x14ac:dyDescent="0.35">
      <c r="A1" s="5" t="s">
        <v>6</v>
      </c>
      <c r="B1" s="6" t="s">
        <v>1</v>
      </c>
      <c r="C1" s="6" t="s">
        <v>54</v>
      </c>
      <c r="D1" s="6" t="s">
        <v>55</v>
      </c>
      <c r="E1" s="6" t="s">
        <v>56</v>
      </c>
      <c r="F1" s="12" t="s">
        <v>57</v>
      </c>
      <c r="G1" t="s">
        <v>58</v>
      </c>
      <c r="H1" t="s">
        <v>59</v>
      </c>
      <c r="I1" t="s">
        <v>60</v>
      </c>
      <c r="J1" t="s">
        <v>61</v>
      </c>
      <c r="K1" s="21" t="s">
        <v>62</v>
      </c>
      <c r="L1" s="15">
        <f>4 * 10^(-4)</f>
        <v>4.0000000000000002E-4</v>
      </c>
    </row>
    <row r="2" spans="1:16" x14ac:dyDescent="0.3">
      <c r="A2" s="8">
        <f>B2-60</f>
        <v>0</v>
      </c>
      <c r="B2">
        <v>60</v>
      </c>
      <c r="C2">
        <f>$L$1 +$L$3 * EXP($L$5*B2)</f>
        <v>1.4203880586968153E-2</v>
      </c>
      <c r="D2">
        <f>0.1 *C2</f>
        <v>1.4203880586968155E-3</v>
      </c>
      <c r="E2">
        <f>$L$2 + $L$4 * EXP($L$6 *B2)</f>
        <v>1.4954241379694493E-2</v>
      </c>
      <c r="F2" s="9">
        <f>E2</f>
        <v>1.4954241379694493E-2</v>
      </c>
      <c r="G2">
        <f>IF(A2=0,1,0)</f>
        <v>1</v>
      </c>
      <c r="H2">
        <f>IF(A2=0,0,1)</f>
        <v>0</v>
      </c>
      <c r="I2">
        <f>IF(A2=0,0,1)</f>
        <v>0</v>
      </c>
      <c r="J2">
        <f>1-G2-H2-I2</f>
        <v>0</v>
      </c>
      <c r="K2" s="22" t="s">
        <v>63</v>
      </c>
      <c r="L2" s="26">
        <f>5 * 10^(-4)</f>
        <v>5.0000000000000001E-4</v>
      </c>
      <c r="N2" s="32" t="s">
        <v>64</v>
      </c>
      <c r="O2" s="33"/>
      <c r="P2" s="34"/>
    </row>
    <row r="3" spans="1:16" x14ac:dyDescent="0.3">
      <c r="A3" s="8">
        <f>B3-60</f>
        <v>1.9230769230766498E-2</v>
      </c>
      <c r="B3">
        <f>B2+$L$7</f>
        <v>60.019230769230766</v>
      </c>
      <c r="C3">
        <f t="shared" ref="C3:C66" si="0">$L$1 +$L$3 * EXP($L$5*B3)</f>
        <v>1.4240603870657297E-2</v>
      </c>
      <c r="D3">
        <f t="shared" ref="D3:D66" si="1">0.1 *C3</f>
        <v>1.4240603870657297E-3</v>
      </c>
      <c r="E3">
        <f t="shared" ref="E3:E66" si="2">$L$2 + $L$4 * EXP($L$6 *B3)</f>
        <v>1.4978583338347116E-2</v>
      </c>
      <c r="F3" s="9">
        <f t="shared" ref="F3:F66" si="3">E3</f>
        <v>1.4978583338347116E-2</v>
      </c>
      <c r="G3">
        <f>$L$7*(G2*(-C2-E2)+H2*D2)+G2</f>
        <v>0.99943926688525653</v>
      </c>
      <c r="H3">
        <f>$L$7*(G2*C2+H2*(-D2-F2))+H2</f>
        <v>2.7315154974938757E-4</v>
      </c>
      <c r="I3">
        <f>$L$7*(G2*E2+H2*F2)+I2</f>
        <v>2.8758156499412486E-4</v>
      </c>
      <c r="J3">
        <f>1-G3-H3</f>
        <v>2.8758156499408485E-4</v>
      </c>
      <c r="K3" s="22" t="s">
        <v>65</v>
      </c>
      <c r="L3" s="26">
        <f>3.4674*10^(-6)</f>
        <v>3.4674E-6</v>
      </c>
      <c r="N3" s="23" t="s">
        <v>66</v>
      </c>
      <c r="O3" s="10" t="s">
        <v>67</v>
      </c>
      <c r="P3" s="24" t="s">
        <v>68</v>
      </c>
    </row>
    <row r="4" spans="1:16" ht="15" thickBot="1" x14ac:dyDescent="0.35">
      <c r="A4" s="8">
        <f t="shared" ref="A4:A67" si="4">B4-60</f>
        <v>3.8461538461532996E-2</v>
      </c>
      <c r="B4">
        <f t="shared" ref="B4:B67" si="5">B3+$L$7</f>
        <v>60.038461538461533</v>
      </c>
      <c r="C4">
        <f t="shared" si="0"/>
        <v>1.427742485147997E-2</v>
      </c>
      <c r="D4">
        <f t="shared" si="1"/>
        <v>1.4277424851479972E-3</v>
      </c>
      <c r="E4">
        <f t="shared" si="2"/>
        <v>1.5002966290569412E-2</v>
      </c>
      <c r="F4" s="9">
        <f t="shared" si="3"/>
        <v>1.5002966290569412E-2</v>
      </c>
      <c r="G4">
        <f t="shared" ref="G4:G67" si="6">$L$7*(G3*(-C3-E3)+H3*D3)+G3</f>
        <v>0.99887768199950944</v>
      </c>
      <c r="H4">
        <f t="shared" ref="H4:H67" si="7">$L$7*(G3*C3+H3*(-D3-F3))+H3</f>
        <v>5.4676959369053164E-4</v>
      </c>
      <c r="I4">
        <f t="shared" ref="I4:I67" si="8">$L$7*(G3*E3+H3*F3)+I3</f>
        <v>5.7554840680007252E-4</v>
      </c>
      <c r="J4">
        <f t="shared" ref="J4:J67" si="9">1-G4-H4</f>
        <v>5.7554840680003143E-4</v>
      </c>
      <c r="K4" s="22" t="s">
        <v>69</v>
      </c>
      <c r="L4" s="26">
        <f>7.5858*10^(-5)</f>
        <v>7.5858000000000005E-5</v>
      </c>
      <c r="N4" s="27">
        <f>G522</f>
        <v>0.58703071383519079</v>
      </c>
      <c r="O4" s="28">
        <f t="shared" ref="O4:P4" si="10">H522</f>
        <v>0.2027959123896059</v>
      </c>
      <c r="P4" s="29">
        <f t="shared" si="10"/>
        <v>0.21017337377520257</v>
      </c>
    </row>
    <row r="5" spans="1:16" x14ac:dyDescent="0.3">
      <c r="A5" s="8">
        <f t="shared" si="4"/>
        <v>5.7692307692299494E-2</v>
      </c>
      <c r="B5">
        <f t="shared" si="5"/>
        <v>60.057692307692299</v>
      </c>
      <c r="C5">
        <f t="shared" si="0"/>
        <v>1.4314343789345683E-2</v>
      </c>
      <c r="D5">
        <f t="shared" si="1"/>
        <v>1.4314343789345683E-3</v>
      </c>
      <c r="E5">
        <f t="shared" si="2"/>
        <v>1.5027390305397429E-2</v>
      </c>
      <c r="F5" s="9">
        <f t="shared" si="3"/>
        <v>1.5027390305397429E-2</v>
      </c>
      <c r="G5">
        <f t="shared" si="6"/>
        <v>0.99831524452670495</v>
      </c>
      <c r="H5">
        <f t="shared" si="7"/>
        <v>8.2085454039451547E-4</v>
      </c>
      <c r="I5">
        <f t="shared" si="8"/>
        <v>8.6390093290052638E-4</v>
      </c>
      <c r="J5">
        <f t="shared" si="9"/>
        <v>8.6390093290053657E-4</v>
      </c>
      <c r="K5" s="22" t="s">
        <v>70</v>
      </c>
      <c r="L5" s="26">
        <v>0.138155</v>
      </c>
    </row>
    <row r="6" spans="1:16" x14ac:dyDescent="0.3">
      <c r="A6" s="8">
        <f t="shared" si="4"/>
        <v>7.6923076923065992E-2</v>
      </c>
      <c r="B6">
        <f t="shared" si="5"/>
        <v>60.076923076923066</v>
      </c>
      <c r="C6">
        <f t="shared" si="0"/>
        <v>1.4351360944855332E-2</v>
      </c>
      <c r="D6">
        <f t="shared" si="1"/>
        <v>1.4351360944855332E-3</v>
      </c>
      <c r="E6">
        <f t="shared" si="2"/>
        <v>1.5051855451983474E-2</v>
      </c>
      <c r="F6" s="9">
        <f t="shared" si="3"/>
        <v>1.5051855451983474E-2</v>
      </c>
      <c r="G6">
        <f t="shared" si="6"/>
        <v>0.99775195365270064</v>
      </c>
      <c r="H6">
        <f t="shared" si="7"/>
        <v>1.0954067965354437E-3</v>
      </c>
      <c r="I6">
        <f t="shared" si="8"/>
        <v>1.1526395507638636E-3</v>
      </c>
      <c r="J6">
        <f t="shared" si="9"/>
        <v>1.1526395507639158E-3</v>
      </c>
      <c r="K6" s="22" t="s">
        <v>71</v>
      </c>
      <c r="L6" s="26">
        <v>8.7498000000000006E-2</v>
      </c>
    </row>
    <row r="7" spans="1:16" ht="15" thickBot="1" x14ac:dyDescent="0.35">
      <c r="A7" s="8">
        <f t="shared" si="4"/>
        <v>9.615384615383249E-2</v>
      </c>
      <c r="B7">
        <f t="shared" si="5"/>
        <v>60.096153846153832</v>
      </c>
      <c r="C7">
        <f t="shared" si="0"/>
        <v>1.43884765793032E-2</v>
      </c>
      <c r="D7">
        <f t="shared" si="1"/>
        <v>1.4388476579303201E-3</v>
      </c>
      <c r="E7">
        <f t="shared" si="2"/>
        <v>1.5076361799596346E-2</v>
      </c>
      <c r="F7" s="9">
        <f t="shared" si="3"/>
        <v>1.5076361799596346E-2</v>
      </c>
      <c r="G7">
        <f t="shared" si="6"/>
        <v>0.99718780856528166</v>
      </c>
      <c r="H7">
        <f t="shared" si="7"/>
        <v>1.3704267668760216E-3</v>
      </c>
      <c r="I7">
        <f t="shared" si="8"/>
        <v>1.4417646678422701E-3</v>
      </c>
      <c r="J7">
        <f t="shared" si="9"/>
        <v>1.4417646678423148E-3</v>
      </c>
      <c r="K7" s="25" t="s">
        <v>7</v>
      </c>
      <c r="L7" s="17">
        <f>1/52</f>
        <v>1.9230769230769232E-2</v>
      </c>
    </row>
    <row r="8" spans="1:16" x14ac:dyDescent="0.3">
      <c r="A8" s="8">
        <f t="shared" si="4"/>
        <v>0.11538461538459899</v>
      </c>
      <c r="B8">
        <f t="shared" si="5"/>
        <v>60.115384615384599</v>
      </c>
      <c r="C8">
        <f t="shared" si="0"/>
        <v>1.4425690954678605E-2</v>
      </c>
      <c r="D8">
        <f t="shared" si="1"/>
        <v>1.4425690954678605E-3</v>
      </c>
      <c r="E8">
        <f t="shared" si="2"/>
        <v>1.5100909417621456E-2</v>
      </c>
      <c r="F8" s="9">
        <f t="shared" si="3"/>
        <v>1.5100909417621456E-2</v>
      </c>
      <c r="G8">
        <f t="shared" si="6"/>
        <v>0.99662280845417706</v>
      </c>
      <c r="H8">
        <f t="shared" si="7"/>
        <v>1.6459148542530809E-3</v>
      </c>
      <c r="I8">
        <f t="shared" si="8"/>
        <v>1.7312766915698486E-3</v>
      </c>
      <c r="J8">
        <f t="shared" si="9"/>
        <v>1.7312766915698631E-3</v>
      </c>
      <c r="N8" s="35" t="s">
        <v>72</v>
      </c>
      <c r="O8" s="35"/>
      <c r="P8" s="35"/>
    </row>
    <row r="9" spans="1:16" x14ac:dyDescent="0.3">
      <c r="A9" s="8">
        <f t="shared" si="4"/>
        <v>0.13461538461536549</v>
      </c>
      <c r="B9">
        <f t="shared" si="5"/>
        <v>60.134615384615365</v>
      </c>
      <c r="C9">
        <f t="shared" si="0"/>
        <v>1.4463004333667954E-2</v>
      </c>
      <c r="D9">
        <f t="shared" si="1"/>
        <v>1.4463004333667955E-3</v>
      </c>
      <c r="E9">
        <f t="shared" si="2"/>
        <v>1.5125498375561064E-2</v>
      </c>
      <c r="F9" s="9">
        <f t="shared" si="3"/>
        <v>1.5125498375561064E-2</v>
      </c>
      <c r="G9">
        <f t="shared" si="6"/>
        <v>0.99605695251107618</v>
      </c>
      <c r="H9">
        <f t="shared" si="7"/>
        <v>1.9218714595630442E-3</v>
      </c>
      <c r="I9">
        <f t="shared" si="8"/>
        <v>2.0211760293607182E-3</v>
      </c>
      <c r="J9">
        <f t="shared" si="9"/>
        <v>2.021176029360779E-3</v>
      </c>
      <c r="N9" s="35"/>
      <c r="O9" s="35"/>
      <c r="P9" s="35"/>
    </row>
    <row r="10" spans="1:16" x14ac:dyDescent="0.3">
      <c r="A10" s="8">
        <f t="shared" si="4"/>
        <v>0.15384615384613198</v>
      </c>
      <c r="B10">
        <f t="shared" si="5"/>
        <v>60.153846153846132</v>
      </c>
      <c r="C10">
        <f t="shared" si="0"/>
        <v>1.4500416979656395E-2</v>
      </c>
      <c r="D10">
        <f t="shared" si="1"/>
        <v>1.4500416979656395E-3</v>
      </c>
      <c r="E10">
        <f t="shared" si="2"/>
        <v>1.515012874303452E-2</v>
      </c>
      <c r="F10" s="9">
        <f t="shared" si="3"/>
        <v>1.515012874303452E-2</v>
      </c>
      <c r="G10">
        <f t="shared" si="6"/>
        <v>0.99549023992964547</v>
      </c>
      <c r="H10">
        <f t="shared" si="7"/>
        <v>2.1982969817473381E-3</v>
      </c>
      <c r="I10">
        <f t="shared" si="8"/>
        <v>2.3114630886071075E-3</v>
      </c>
      <c r="J10">
        <f t="shared" si="9"/>
        <v>2.3114630886071912E-3</v>
      </c>
      <c r="N10" s="35"/>
      <c r="O10" s="35"/>
      <c r="P10" s="35"/>
    </row>
    <row r="11" spans="1:16" x14ac:dyDescent="0.3">
      <c r="A11" s="8">
        <f t="shared" si="4"/>
        <v>0.17307692307689848</v>
      </c>
      <c r="B11">
        <f t="shared" si="5"/>
        <v>60.173076923076898</v>
      </c>
      <c r="C11">
        <f t="shared" si="0"/>
        <v>1.4537929156729848E-2</v>
      </c>
      <c r="D11">
        <f t="shared" si="1"/>
        <v>1.4537929156729849E-3</v>
      </c>
      <c r="E11">
        <f t="shared" si="2"/>
        <v>1.5174800589778378E-2</v>
      </c>
      <c r="F11" s="9">
        <f t="shared" si="3"/>
        <v>1.5174800589778378E-2</v>
      </c>
      <c r="G11">
        <f t="shared" si="6"/>
        <v>0.99492266990554468</v>
      </c>
      <c r="H11">
        <f t="shared" si="7"/>
        <v>2.4751918177777442E-3</v>
      </c>
      <c r="I11">
        <f t="shared" si="8"/>
        <v>2.6021382766774413E-3</v>
      </c>
      <c r="J11">
        <f t="shared" si="9"/>
        <v>2.6021382766775792E-3</v>
      </c>
      <c r="N11" s="35"/>
      <c r="O11" s="35"/>
      <c r="P11" s="35"/>
    </row>
    <row r="12" spans="1:16" x14ac:dyDescent="0.3">
      <c r="A12" s="8">
        <f t="shared" si="4"/>
        <v>0.19230769230766498</v>
      </c>
      <c r="B12">
        <f t="shared" si="5"/>
        <v>60.192307692307665</v>
      </c>
      <c r="C12">
        <f t="shared" si="0"/>
        <v>1.4575541129676796E-2</v>
      </c>
      <c r="D12">
        <f t="shared" si="1"/>
        <v>1.4575541129676797E-3</v>
      </c>
      <c r="E12">
        <f t="shared" si="2"/>
        <v>1.5199513985646644E-2</v>
      </c>
      <c r="F12" s="9">
        <f t="shared" si="3"/>
        <v>1.5199513985646644E-2</v>
      </c>
      <c r="G12">
        <f t="shared" si="6"/>
        <v>0.9943542416364437</v>
      </c>
      <c r="H12">
        <f t="shared" si="7"/>
        <v>2.7525563626416959E-3</v>
      </c>
      <c r="I12">
        <f t="shared" si="8"/>
        <v>2.8932020009144175E-3</v>
      </c>
      <c r="J12">
        <f t="shared" si="9"/>
        <v>2.893202000914601E-3</v>
      </c>
    </row>
    <row r="13" spans="1:16" x14ac:dyDescent="0.3">
      <c r="A13" s="8">
        <f t="shared" si="4"/>
        <v>0.21153846153843148</v>
      </c>
      <c r="B13">
        <f t="shared" si="5"/>
        <v>60.211538461538431</v>
      </c>
      <c r="C13">
        <f t="shared" si="0"/>
        <v>1.4613253163990082E-2</v>
      </c>
      <c r="D13">
        <f t="shared" si="1"/>
        <v>1.4613253163990082E-3</v>
      </c>
      <c r="E13">
        <f t="shared" si="2"/>
        <v>1.5224269000610954E-2</v>
      </c>
      <c r="F13" s="9">
        <f t="shared" si="3"/>
        <v>1.5224269000610954E-2</v>
      </c>
      <c r="G13">
        <f t="shared" si="6"/>
        <v>0.99378495432203917</v>
      </c>
      <c r="H13">
        <f t="shared" si="7"/>
        <v>3.0303910093275183E-3</v>
      </c>
      <c r="I13">
        <f t="shared" si="8"/>
        <v>3.1846546686330798E-3</v>
      </c>
      <c r="J13">
        <f t="shared" si="9"/>
        <v>3.1846546686333105E-3</v>
      </c>
    </row>
    <row r="14" spans="1:16" x14ac:dyDescent="0.3">
      <c r="A14" s="8">
        <f t="shared" si="4"/>
        <v>0.23076923076919797</v>
      </c>
      <c r="B14">
        <f t="shared" si="5"/>
        <v>60.230769230769198</v>
      </c>
      <c r="C14">
        <f t="shared" si="0"/>
        <v>1.4651065525868956E-2</v>
      </c>
      <c r="D14">
        <f t="shared" si="1"/>
        <v>1.4651065525868956E-3</v>
      </c>
      <c r="E14">
        <f t="shared" si="2"/>
        <v>1.5249065704760817E-2</v>
      </c>
      <c r="F14" s="9">
        <f t="shared" si="3"/>
        <v>1.5249065704760817E-2</v>
      </c>
      <c r="G14">
        <f t="shared" si="6"/>
        <v>0.99321480716407129</v>
      </c>
      <c r="H14">
        <f t="shared" si="7"/>
        <v>3.308696148809609E-3</v>
      </c>
      <c r="I14">
        <f t="shared" si="8"/>
        <v>3.4764966871188804E-3</v>
      </c>
      <c r="J14">
        <f t="shared" si="9"/>
        <v>3.4764966871191016E-3</v>
      </c>
    </row>
    <row r="15" spans="1:16" x14ac:dyDescent="0.3">
      <c r="A15" s="8">
        <f t="shared" si="4"/>
        <v>0.24999999999996447</v>
      </c>
      <c r="B15">
        <f t="shared" si="5"/>
        <v>60.249999999999964</v>
      </c>
      <c r="C15">
        <f t="shared" si="0"/>
        <v>1.4688978482220744E-2</v>
      </c>
      <c r="D15">
        <f t="shared" si="1"/>
        <v>1.4688978482220744E-3</v>
      </c>
      <c r="E15">
        <f t="shared" si="2"/>
        <v>1.5273904168303735E-2</v>
      </c>
      <c r="F15" s="9">
        <f t="shared" si="3"/>
        <v>1.5273904168303735E-2</v>
      </c>
      <c r="G15">
        <f t="shared" si="6"/>
        <v>0.99264379936634051</v>
      </c>
      <c r="H15">
        <f t="shared" si="7"/>
        <v>3.5874721700335645E-3</v>
      </c>
      <c r="I15">
        <f t="shared" si="8"/>
        <v>3.768728463625737E-3</v>
      </c>
      <c r="J15">
        <f t="shared" si="9"/>
        <v>3.7687284636259287E-3</v>
      </c>
    </row>
    <row r="16" spans="1:16" x14ac:dyDescent="0.3">
      <c r="A16" s="8">
        <f t="shared" si="4"/>
        <v>0.26923076923073097</v>
      </c>
      <c r="B16">
        <f t="shared" si="5"/>
        <v>60.269230769230731</v>
      </c>
      <c r="C16">
        <f t="shared" si="0"/>
        <v>1.4726992300662963E-2</v>
      </c>
      <c r="D16">
        <f t="shared" si="1"/>
        <v>1.4726992300662964E-3</v>
      </c>
      <c r="E16">
        <f t="shared" si="2"/>
        <v>1.5298784461565469E-2</v>
      </c>
      <c r="F16" s="9">
        <f t="shared" si="3"/>
        <v>1.5298784461565469E-2</v>
      </c>
      <c r="G16">
        <f t="shared" si="6"/>
        <v>0.9920719301347245</v>
      </c>
      <c r="H16">
        <f t="shared" si="7"/>
        <v>3.8667194599012445E-3</v>
      </c>
      <c r="I16">
        <f t="shared" si="8"/>
        <v>4.0613504053740824E-3</v>
      </c>
      <c r="J16">
        <f t="shared" si="9"/>
        <v>4.061350405374255E-3</v>
      </c>
    </row>
    <row r="17" spans="1:10" x14ac:dyDescent="0.3">
      <c r="A17" s="8">
        <f t="shared" si="4"/>
        <v>0.28846153846149747</v>
      </c>
      <c r="B17">
        <f t="shared" si="5"/>
        <v>60.288461538461497</v>
      </c>
      <c r="C17">
        <f t="shared" si="0"/>
        <v>1.4765107249524959E-2</v>
      </c>
      <c r="D17">
        <f t="shared" si="1"/>
        <v>1.4765107249524959E-3</v>
      </c>
      <c r="E17">
        <f t="shared" si="2"/>
        <v>1.5323706654990188E-2</v>
      </c>
      <c r="F17" s="9">
        <f t="shared" si="3"/>
        <v>1.5323706654990188E-2</v>
      </c>
      <c r="G17">
        <f t="shared" si="6"/>
        <v>0.99149919867719516</v>
      </c>
      <c r="H17">
        <f t="shared" si="7"/>
        <v>4.1464384032557844E-3</v>
      </c>
      <c r="I17">
        <f t="shared" si="8"/>
        <v>4.3543629195489045E-3</v>
      </c>
      <c r="J17">
        <f t="shared" si="9"/>
        <v>4.3543629195490563E-3</v>
      </c>
    </row>
    <row r="18" spans="1:10" x14ac:dyDescent="0.3">
      <c r="A18" s="8">
        <f t="shared" si="4"/>
        <v>0.30769230769226397</v>
      </c>
      <c r="B18">
        <f t="shared" si="5"/>
        <v>60.307692307692264</v>
      </c>
      <c r="C18">
        <f t="shared" si="0"/>
        <v>1.4803323597850032E-2</v>
      </c>
      <c r="D18">
        <f t="shared" si="1"/>
        <v>1.4803323597850032E-3</v>
      </c>
      <c r="E18">
        <f t="shared" si="2"/>
        <v>1.5348670819140738E-2</v>
      </c>
      <c r="F18" s="9">
        <f t="shared" si="3"/>
        <v>1.5348670819140738E-2</v>
      </c>
      <c r="G18">
        <f t="shared" si="6"/>
        <v>0.99092560420383557</v>
      </c>
      <c r="H18">
        <f t="shared" si="7"/>
        <v>4.4266293828665463E-3</v>
      </c>
      <c r="I18">
        <f t="shared" si="8"/>
        <v>4.6477664132977825E-3</v>
      </c>
      <c r="J18">
        <f t="shared" si="9"/>
        <v>4.6477664132978788E-3</v>
      </c>
    </row>
    <row r="19" spans="1:10" x14ac:dyDescent="0.3">
      <c r="A19" s="8">
        <f t="shared" si="4"/>
        <v>0.32692307692303046</v>
      </c>
      <c r="B19">
        <f t="shared" si="5"/>
        <v>60.32692307692303</v>
      </c>
      <c r="C19">
        <f t="shared" si="0"/>
        <v>1.4841641615397222E-2</v>
      </c>
      <c r="D19">
        <f t="shared" si="1"/>
        <v>1.4841641615397222E-3</v>
      </c>
      <c r="E19">
        <f t="shared" si="2"/>
        <v>1.5373677024698763E-2</v>
      </c>
      <c r="F19" s="9">
        <f t="shared" si="3"/>
        <v>1.5373677024698763E-2</v>
      </c>
      <c r="G19">
        <f t="shared" si="6"/>
        <v>0.99035114592685702</v>
      </c>
      <c r="H19">
        <f t="shared" si="7"/>
        <v>4.7072927794140126E-3</v>
      </c>
      <c r="I19">
        <f t="shared" si="8"/>
        <v>4.9415612937289124E-3</v>
      </c>
      <c r="J19">
        <f t="shared" si="9"/>
        <v>4.9415612937289636E-3</v>
      </c>
    </row>
    <row r="20" spans="1:10" x14ac:dyDescent="0.3">
      <c r="A20" s="8">
        <f t="shared" si="4"/>
        <v>0.34615384615379696</v>
      </c>
      <c r="B20">
        <f t="shared" si="5"/>
        <v>60.346153846153797</v>
      </c>
      <c r="C20">
        <f t="shared" si="0"/>
        <v>1.4880061572643148E-2</v>
      </c>
      <c r="D20">
        <f t="shared" si="1"/>
        <v>1.4880061572643149E-3</v>
      </c>
      <c r="E20">
        <f t="shared" si="2"/>
        <v>1.5398725342464932E-2</v>
      </c>
      <c r="F20" s="9">
        <f t="shared" si="3"/>
        <v>1.5398725342464932E-2</v>
      </c>
      <c r="G20">
        <f t="shared" si="6"/>
        <v>0.98977582306061618</v>
      </c>
      <c r="H20">
        <f t="shared" si="7"/>
        <v>4.9884289714746261E-3</v>
      </c>
      <c r="I20">
        <f t="shared" si="8"/>
        <v>5.2357479679091285E-3</v>
      </c>
      <c r="J20">
        <f t="shared" si="9"/>
        <v>5.2357479679091962E-3</v>
      </c>
    </row>
    <row r="21" spans="1:10" x14ac:dyDescent="0.3">
      <c r="A21" s="8">
        <f t="shared" si="4"/>
        <v>0.36538461538456346</v>
      </c>
      <c r="B21">
        <f t="shared" si="5"/>
        <v>60.365384615384563</v>
      </c>
      <c r="C21">
        <f t="shared" si="0"/>
        <v>1.4918583740784096E-2</v>
      </c>
      <c r="D21">
        <f t="shared" si="1"/>
        <v>1.4918583740784097E-3</v>
      </c>
      <c r="E21">
        <f t="shared" si="2"/>
        <v>1.5423815843359192E-2</v>
      </c>
      <c r="F21" s="9">
        <f t="shared" si="3"/>
        <v>1.5423815843359192E-2</v>
      </c>
      <c r="G21">
        <f t="shared" si="6"/>
        <v>0.98919963482163242</v>
      </c>
      <c r="H21">
        <f t="shared" si="7"/>
        <v>5.2700383355055638E-3</v>
      </c>
      <c r="I21">
        <f t="shared" si="8"/>
        <v>5.5303268428619117E-3</v>
      </c>
      <c r="J21">
        <f t="shared" si="9"/>
        <v>5.5303268428620132E-3</v>
      </c>
    </row>
    <row r="22" spans="1:10" x14ac:dyDescent="0.3">
      <c r="A22" s="8">
        <f t="shared" si="4"/>
        <v>0.38461538461532996</v>
      </c>
      <c r="B22">
        <f t="shared" si="5"/>
        <v>60.38461538461533</v>
      </c>
      <c r="C22">
        <f t="shared" si="0"/>
        <v>1.4957208391737741E-2</v>
      </c>
      <c r="D22">
        <f t="shared" si="1"/>
        <v>1.4957208391737742E-3</v>
      </c>
      <c r="E22">
        <f t="shared" si="2"/>
        <v>1.5448948598420881E-2</v>
      </c>
      <c r="F22" s="9">
        <f t="shared" si="3"/>
        <v>1.5448948598420881E-2</v>
      </c>
      <c r="G22">
        <f t="shared" si="6"/>
        <v>0.98862258042860507</v>
      </c>
      <c r="H22">
        <f t="shared" si="7"/>
        <v>5.5521212458294628E-3</v>
      </c>
      <c r="I22">
        <f t="shared" si="8"/>
        <v>5.825298325565398E-3</v>
      </c>
      <c r="J22">
        <f t="shared" si="9"/>
        <v>5.8252983255654683E-3</v>
      </c>
    </row>
    <row r="23" spans="1:10" x14ac:dyDescent="0.3">
      <c r="A23" s="8">
        <f t="shared" si="4"/>
        <v>0.40384615384609646</v>
      </c>
      <c r="B23">
        <f t="shared" si="5"/>
        <v>60.403846153846096</v>
      </c>
      <c r="C23">
        <f t="shared" si="0"/>
        <v>1.4995935798145243E-2</v>
      </c>
      <c r="D23">
        <f t="shared" si="1"/>
        <v>1.4995935798145243E-3</v>
      </c>
      <c r="E23">
        <f t="shared" si="2"/>
        <v>1.5474123678808993E-2</v>
      </c>
      <c r="F23" s="9">
        <f t="shared" si="3"/>
        <v>1.5474123678808993E-2</v>
      </c>
      <c r="G23">
        <f t="shared" si="6"/>
        <v>0.98804465910243044</v>
      </c>
      <c r="H23">
        <f t="shared" si="7"/>
        <v>5.8346780746190803E-3</v>
      </c>
      <c r="I23">
        <f t="shared" si="8"/>
        <v>6.1206628229503743E-3</v>
      </c>
      <c r="J23">
        <f t="shared" si="9"/>
        <v>6.1206628229504749E-3</v>
      </c>
    </row>
    <row r="24" spans="1:10" x14ac:dyDescent="0.3">
      <c r="A24" s="8">
        <f t="shared" si="4"/>
        <v>0.42307692307686295</v>
      </c>
      <c r="B24">
        <f t="shared" si="5"/>
        <v>60.423076923076863</v>
      </c>
      <c r="C24">
        <f t="shared" si="0"/>
        <v>1.5034766233372989E-2</v>
      </c>
      <c r="D24">
        <f t="shared" si="1"/>
        <v>1.503476623337299E-3</v>
      </c>
      <c r="E24">
        <f t="shared" si="2"/>
        <v>1.5499341155802334E-2</v>
      </c>
      <c r="F24" s="9">
        <f t="shared" si="3"/>
        <v>1.5499341155802334E-2</v>
      </c>
      <c r="G24">
        <f t="shared" si="6"/>
        <v>0.98746587006621978</v>
      </c>
      <c r="H24">
        <f t="shared" si="7"/>
        <v>6.1177091918819008E-3</v>
      </c>
      <c r="I24">
        <f t="shared" si="8"/>
        <v>6.4164207418982658E-3</v>
      </c>
      <c r="J24">
        <f t="shared" si="9"/>
        <v>6.416420741898324E-3</v>
      </c>
    </row>
    <row r="25" spans="1:10" x14ac:dyDescent="0.3">
      <c r="A25" s="8">
        <f t="shared" si="4"/>
        <v>0.44230769230762945</v>
      </c>
      <c r="B25">
        <f t="shared" si="5"/>
        <v>60.442307692307629</v>
      </c>
      <c r="C25">
        <f t="shared" si="0"/>
        <v>1.50736999715147E-2</v>
      </c>
      <c r="D25">
        <f t="shared" si="1"/>
        <v>1.5073699971514701E-3</v>
      </c>
      <c r="E25">
        <f t="shared" si="2"/>
        <v>1.5524601100799795E-2</v>
      </c>
      <c r="F25" s="9">
        <f t="shared" si="3"/>
        <v>1.5524601100799795E-2</v>
      </c>
      <c r="G25">
        <f t="shared" si="6"/>
        <v>0.98688621254531617</v>
      </c>
      <c r="H25">
        <f t="shared" si="7"/>
        <v>6.4012149654446805E-3</v>
      </c>
      <c r="I25">
        <f t="shared" si="8"/>
        <v>6.7125724892391214E-3</v>
      </c>
      <c r="J25">
        <f t="shared" si="9"/>
        <v>6.7125724892391535E-3</v>
      </c>
    </row>
    <row r="26" spans="1:10" x14ac:dyDescent="0.3">
      <c r="A26" s="8">
        <f t="shared" si="4"/>
        <v>0.46153846153839595</v>
      </c>
      <c r="B26">
        <f t="shared" si="5"/>
        <v>60.461538461538396</v>
      </c>
      <c r="C26">
        <f t="shared" si="0"/>
        <v>1.5112737287393279E-2</v>
      </c>
      <c r="D26">
        <f t="shared" si="1"/>
        <v>1.511273728739328E-3</v>
      </c>
      <c r="E26">
        <f t="shared" si="2"/>
        <v>1.5549903585320471E-2</v>
      </c>
      <c r="F26" s="9">
        <f t="shared" si="3"/>
        <v>1.5549903585320471E-2</v>
      </c>
      <c r="G26">
        <f t="shared" si="6"/>
        <v>0.98630568576731248</v>
      </c>
      <c r="H26">
        <f t="shared" si="7"/>
        <v>6.6851957609379373E-3</v>
      </c>
      <c r="I26">
        <f t="shared" si="8"/>
        <v>7.0091184717495855E-3</v>
      </c>
      <c r="J26">
        <f t="shared" si="9"/>
        <v>7.0091184717495838E-3</v>
      </c>
    </row>
    <row r="27" spans="1:10" x14ac:dyDescent="0.3">
      <c r="A27" s="8">
        <f t="shared" si="4"/>
        <v>0.48076923076916245</v>
      </c>
      <c r="B27">
        <f t="shared" si="5"/>
        <v>60.480769230769162</v>
      </c>
      <c r="C27">
        <f t="shared" si="0"/>
        <v>1.5151878456562688E-2</v>
      </c>
      <c r="D27">
        <f t="shared" si="1"/>
        <v>1.5151878456562688E-3</v>
      </c>
      <c r="E27">
        <f t="shared" si="2"/>
        <v>1.5575248681003908E-2</v>
      </c>
      <c r="F27" s="9">
        <f t="shared" si="3"/>
        <v>1.5575248681003908E-2</v>
      </c>
      <c r="G27">
        <f t="shared" si="6"/>
        <v>0.98572428896206876</v>
      </c>
      <c r="H27">
        <f t="shared" si="7"/>
        <v>6.9696519417803814E-3</v>
      </c>
      <c r="I27">
        <f t="shared" si="8"/>
        <v>7.3060590961508678E-3</v>
      </c>
      <c r="J27">
        <f t="shared" si="9"/>
        <v>7.3060590961508565E-3</v>
      </c>
    </row>
    <row r="28" spans="1:10" x14ac:dyDescent="0.3">
      <c r="A28" s="8">
        <f t="shared" si="4"/>
        <v>0.49999999999992895</v>
      </c>
      <c r="B28">
        <f t="shared" si="5"/>
        <v>60.499999999999929</v>
      </c>
      <c r="C28">
        <f t="shared" si="0"/>
        <v>1.5191123755310048E-2</v>
      </c>
      <c r="D28">
        <f t="shared" si="1"/>
        <v>1.5191123755310049E-3</v>
      </c>
      <c r="E28">
        <f t="shared" si="2"/>
        <v>1.5600636459610283E-2</v>
      </c>
      <c r="F28" s="9">
        <f t="shared" si="3"/>
        <v>1.5600636459610283E-2</v>
      </c>
      <c r="G28">
        <f t="shared" si="6"/>
        <v>0.98514202136173001</v>
      </c>
      <c r="H28">
        <f t="shared" si="7"/>
        <v>7.2545838691632858E-3</v>
      </c>
      <c r="I28">
        <f t="shared" si="8"/>
        <v>7.6033947691066996E-3</v>
      </c>
      <c r="J28">
        <f t="shared" si="9"/>
        <v>7.6033947691067005E-3</v>
      </c>
    </row>
    <row r="29" spans="1:10" x14ac:dyDescent="0.3">
      <c r="A29" s="8">
        <f t="shared" si="4"/>
        <v>0.51923076923069544</v>
      </c>
      <c r="B29">
        <f t="shared" si="5"/>
        <v>60.519230769230695</v>
      </c>
      <c r="C29">
        <f t="shared" si="0"/>
        <v>1.5230473460657418E-2</v>
      </c>
      <c r="D29">
        <f t="shared" si="1"/>
        <v>1.5230473460657418E-3</v>
      </c>
      <c r="E29">
        <f t="shared" si="2"/>
        <v>1.5626066993020674E-2</v>
      </c>
      <c r="F29" s="9">
        <f t="shared" si="3"/>
        <v>1.5626066993020674E-2</v>
      </c>
      <c r="G29">
        <f t="shared" si="6"/>
        <v>0.98455888220074395</v>
      </c>
      <c r="H29">
        <f t="shared" si="7"/>
        <v>7.5399919020348012E-3</v>
      </c>
      <c r="I29">
        <f t="shared" si="8"/>
        <v>7.901125897221287E-3</v>
      </c>
      <c r="J29">
        <f t="shared" si="9"/>
        <v>7.9011258972212541E-3</v>
      </c>
    </row>
    <row r="30" spans="1:10" x14ac:dyDescent="0.3">
      <c r="A30" s="8">
        <f t="shared" si="4"/>
        <v>0.53846153846146194</v>
      </c>
      <c r="B30">
        <f t="shared" si="5"/>
        <v>60.538461538461462</v>
      </c>
      <c r="C30">
        <f t="shared" si="0"/>
        <v>1.5269927850363931E-2</v>
      </c>
      <c r="D30">
        <f t="shared" si="1"/>
        <v>1.5269927850363931E-3</v>
      </c>
      <c r="E30">
        <f t="shared" si="2"/>
        <v>1.5651540353237153E-2</v>
      </c>
      <c r="F30" s="9">
        <f t="shared" si="3"/>
        <v>1.5651540353237153E-2</v>
      </c>
      <c r="G30">
        <f t="shared" si="6"/>
        <v>0.98397487071587852</v>
      </c>
      <c r="H30">
        <f t="shared" si="7"/>
        <v>7.8258763970842082E-3</v>
      </c>
      <c r="I30">
        <f t="shared" si="8"/>
        <v>8.1992528870372568E-3</v>
      </c>
      <c r="J30">
        <f t="shared" si="9"/>
        <v>8.1992528870372672E-3</v>
      </c>
    </row>
    <row r="31" spans="1:10" x14ac:dyDescent="0.3">
      <c r="A31" s="8">
        <f t="shared" si="4"/>
        <v>0.55769230769222844</v>
      </c>
      <c r="B31">
        <f t="shared" si="5"/>
        <v>60.557692307692228</v>
      </c>
      <c r="C31">
        <f t="shared" si="0"/>
        <v>1.5309487202927555E-2</v>
      </c>
      <c r="D31">
        <f t="shared" si="1"/>
        <v>1.5309487202927556E-3</v>
      </c>
      <c r="E31">
        <f t="shared" si="2"/>
        <v>1.5677056612383066E-2</v>
      </c>
      <c r="F31" s="9">
        <f t="shared" si="3"/>
        <v>1.5677056612383066E-2</v>
      </c>
      <c r="G31">
        <f t="shared" si="6"/>
        <v>0.98338998614624029</v>
      </c>
      <c r="H31">
        <f t="shared" si="7"/>
        <v>8.1122377087261173E-3</v>
      </c>
      <c r="I31">
        <f t="shared" si="8"/>
        <v>8.4977761450335896E-3</v>
      </c>
      <c r="J31">
        <f t="shared" si="9"/>
        <v>8.4977761450335913E-3</v>
      </c>
    </row>
    <row r="32" spans="1:10" x14ac:dyDescent="0.3">
      <c r="A32" s="8">
        <f t="shared" si="4"/>
        <v>0.57692307692299494</v>
      </c>
      <c r="B32">
        <f t="shared" si="5"/>
        <v>60.576923076922995</v>
      </c>
      <c r="C32">
        <f t="shared" si="0"/>
        <v>1.5349151797587239E-2</v>
      </c>
      <c r="D32">
        <f t="shared" si="1"/>
        <v>1.5349151797587239E-3</v>
      </c>
      <c r="E32">
        <f t="shared" si="2"/>
        <v>1.5702615842703251E-2</v>
      </c>
      <c r="F32" s="9">
        <f t="shared" si="3"/>
        <v>1.5702615842703251E-2</v>
      </c>
      <c r="G32">
        <f t="shared" si="6"/>
        <v>0.98280422773329179</v>
      </c>
      <c r="H32">
        <f t="shared" si="7"/>
        <v>8.399076189084604E-3</v>
      </c>
      <c r="I32">
        <f t="shared" si="8"/>
        <v>8.7966960776235514E-3</v>
      </c>
      <c r="J32">
        <f t="shared" si="9"/>
        <v>8.7966960776236051E-3</v>
      </c>
    </row>
    <row r="33" spans="1:10" x14ac:dyDescent="0.3">
      <c r="A33" s="8">
        <f t="shared" si="4"/>
        <v>0.59615384615376144</v>
      </c>
      <c r="B33">
        <f t="shared" si="5"/>
        <v>60.596153846153761</v>
      </c>
      <c r="C33">
        <f t="shared" si="0"/>
        <v>1.5388921914324812E-2</v>
      </c>
      <c r="D33">
        <f t="shared" si="1"/>
        <v>1.5388921914324812E-3</v>
      </c>
      <c r="E33">
        <f t="shared" si="2"/>
        <v>1.572821811656417E-2</v>
      </c>
      <c r="F33" s="9">
        <f t="shared" si="3"/>
        <v>1.572821811656417E-2</v>
      </c>
      <c r="G33">
        <f t="shared" si="6"/>
        <v>0.98221759472087</v>
      </c>
      <c r="H33">
        <f t="shared" si="7"/>
        <v>8.6863921879772859E-3</v>
      </c>
      <c r="I33">
        <f t="shared" si="8"/>
        <v>9.096013091152615E-3</v>
      </c>
      <c r="J33">
        <f t="shared" si="9"/>
        <v>9.0960130911527121E-3</v>
      </c>
    </row>
    <row r="34" spans="1:10" x14ac:dyDescent="0.3">
      <c r="A34" s="8">
        <f t="shared" si="4"/>
        <v>0.61538461538452793</v>
      </c>
      <c r="B34">
        <f t="shared" si="5"/>
        <v>60.615384615384528</v>
      </c>
      <c r="C34">
        <f t="shared" si="0"/>
        <v>1.5428797833866874E-2</v>
      </c>
      <c r="D34">
        <f t="shared" si="1"/>
        <v>1.5428797833866876E-3</v>
      </c>
      <c r="E34">
        <f t="shared" si="2"/>
        <v>1.5753863506454177E-2</v>
      </c>
      <c r="F34" s="9">
        <f t="shared" si="3"/>
        <v>1.5753863506454177E-2</v>
      </c>
      <c r="G34">
        <f t="shared" si="6"/>
        <v>0.98163008635520421</v>
      </c>
      <c r="H34">
        <f t="shared" si="7"/>
        <v>8.9741860528993449E-3</v>
      </c>
      <c r="I34">
        <f t="shared" si="8"/>
        <v>9.3957275918963717E-3</v>
      </c>
      <c r="J34">
        <f t="shared" si="9"/>
        <v>9.3957275918964429E-3</v>
      </c>
    </row>
    <row r="35" spans="1:10" x14ac:dyDescent="0.3">
      <c r="A35" s="8">
        <f t="shared" si="4"/>
        <v>0.63461538461529443</v>
      </c>
      <c r="B35">
        <f t="shared" si="5"/>
        <v>60.634615384615294</v>
      </c>
      <c r="C35">
        <f t="shared" si="0"/>
        <v>1.5468779837686965E-2</v>
      </c>
      <c r="D35">
        <f t="shared" si="1"/>
        <v>1.5468779837686966E-3</v>
      </c>
      <c r="E35">
        <f t="shared" si="2"/>
        <v>1.5779552084983682E-2</v>
      </c>
      <c r="F35" s="9">
        <f t="shared" si="3"/>
        <v>1.5779552084983682E-2</v>
      </c>
      <c r="G35">
        <f t="shared" si="6"/>
        <v>0.981041701884934</v>
      </c>
      <c r="H35">
        <f t="shared" si="7"/>
        <v>9.2624581290074882E-3</v>
      </c>
      <c r="I35">
        <f t="shared" si="8"/>
        <v>9.695839986058441E-3</v>
      </c>
      <c r="J35">
        <f t="shared" si="9"/>
        <v>9.6958399860585086E-3</v>
      </c>
    </row>
    <row r="36" spans="1:10" x14ac:dyDescent="0.3">
      <c r="A36" s="8">
        <f t="shared" si="4"/>
        <v>0.65384615384606093</v>
      </c>
      <c r="B36">
        <f t="shared" si="5"/>
        <v>60.653846153846061</v>
      </c>
      <c r="C36">
        <f t="shared" si="0"/>
        <v>1.5508868208007341E-2</v>
      </c>
      <c r="D36">
        <f t="shared" si="1"/>
        <v>1.5508868208007343E-3</v>
      </c>
      <c r="E36">
        <f t="shared" si="2"/>
        <v>1.5805283924885411E-2</v>
      </c>
      <c r="F36" s="9">
        <f t="shared" si="3"/>
        <v>1.5805283924885411E-2</v>
      </c>
      <c r="G36">
        <f t="shared" si="6"/>
        <v>0.98045244056112768</v>
      </c>
      <c r="H36">
        <f t="shared" si="7"/>
        <v>9.5512087591038495E-3</v>
      </c>
      <c r="I36">
        <f t="shared" si="8"/>
        <v>9.9963506797683642E-3</v>
      </c>
      <c r="J36">
        <f t="shared" si="9"/>
        <v>9.99635067976847E-3</v>
      </c>
    </row>
    <row r="37" spans="1:10" x14ac:dyDescent="0.3">
      <c r="A37" s="8">
        <f t="shared" si="4"/>
        <v>0.67307692307682743</v>
      </c>
      <c r="B37">
        <f t="shared" si="5"/>
        <v>60.673076923076827</v>
      </c>
      <c r="C37">
        <f t="shared" si="0"/>
        <v>1.5549063227801177E-2</v>
      </c>
      <c r="D37">
        <f t="shared" si="1"/>
        <v>1.5549063227801177E-3</v>
      </c>
      <c r="E37">
        <f t="shared" si="2"/>
        <v>1.5831059099014548E-2</v>
      </c>
      <c r="F37" s="9">
        <f t="shared" si="3"/>
        <v>1.5831059099014548E-2</v>
      </c>
      <c r="G37">
        <f t="shared" si="6"/>
        <v>0.97986230163730059</v>
      </c>
      <c r="H37">
        <f t="shared" si="7"/>
        <v>9.8404382836198307E-3</v>
      </c>
      <c r="I37">
        <f t="shared" si="8"/>
        <v>1.0297260079079497E-2</v>
      </c>
      <c r="J37">
        <f t="shared" si="9"/>
        <v>1.0297260079079577E-2</v>
      </c>
    </row>
    <row r="38" spans="1:10" x14ac:dyDescent="0.3">
      <c r="A38" s="8">
        <f t="shared" si="4"/>
        <v>0.69230769230759392</v>
      </c>
      <c r="B38">
        <f t="shared" si="5"/>
        <v>60.692307692307594</v>
      </c>
      <c r="C38">
        <f t="shared" si="0"/>
        <v>1.5589365180794347E-2</v>
      </c>
      <c r="D38">
        <f t="shared" si="1"/>
        <v>1.5589365180794347E-3</v>
      </c>
      <c r="E38">
        <f t="shared" si="2"/>
        <v>1.585687768034898E-2</v>
      </c>
      <c r="F38" s="9">
        <f t="shared" si="3"/>
        <v>1.585687768034898E-2</v>
      </c>
      <c r="G38">
        <f t="shared" si="6"/>
        <v>0.97927128436943311</v>
      </c>
      <c r="H38">
        <f t="shared" si="7"/>
        <v>1.0130147040599885E-2</v>
      </c>
      <c r="I38">
        <f t="shared" si="8"/>
        <v>1.0598568589966896E-2</v>
      </c>
      <c r="J38">
        <f t="shared" si="9"/>
        <v>1.0598568589967E-2</v>
      </c>
    </row>
    <row r="39" spans="1:10" x14ac:dyDescent="0.3">
      <c r="A39" s="8">
        <f t="shared" si="4"/>
        <v>0.71153846153836042</v>
      </c>
      <c r="B39">
        <f t="shared" si="5"/>
        <v>60.71153846153836</v>
      </c>
      <c r="C39">
        <f t="shared" si="0"/>
        <v>1.5629774351467621E-2</v>
      </c>
      <c r="D39">
        <f t="shared" si="1"/>
        <v>1.5629774351467623E-3</v>
      </c>
      <c r="E39">
        <f t="shared" si="2"/>
        <v>1.5882739741989473E-2</v>
      </c>
      <c r="F39" s="9">
        <f t="shared" si="3"/>
        <v>1.5882739741989473E-2</v>
      </c>
      <c r="G39">
        <f t="shared" si="6"/>
        <v>0.97867938801598942</v>
      </c>
      <c r="H39">
        <f t="shared" si="7"/>
        <v>1.0420335365685245E-2</v>
      </c>
      <c r="I39">
        <f t="shared" si="8"/>
        <v>1.0900276618325187E-2</v>
      </c>
      <c r="J39">
        <f t="shared" si="9"/>
        <v>1.0900276618325339E-2</v>
      </c>
    </row>
    <row r="40" spans="1:10" x14ac:dyDescent="0.3">
      <c r="A40" s="8">
        <f t="shared" si="4"/>
        <v>0.73076923076912692</v>
      </c>
      <c r="B40">
        <f t="shared" si="5"/>
        <v>60.730769230769127</v>
      </c>
      <c r="C40">
        <f t="shared" si="0"/>
        <v>1.5670291025058597E-2</v>
      </c>
      <c r="D40">
        <f t="shared" si="1"/>
        <v>1.5670291025058599E-3</v>
      </c>
      <c r="E40">
        <f t="shared" si="2"/>
        <v>1.5908645357159953E-2</v>
      </c>
      <c r="F40" s="9">
        <f t="shared" si="3"/>
        <v>1.5908645357159953E-2</v>
      </c>
      <c r="G40">
        <f t="shared" si="6"/>
        <v>0.97808661183793588</v>
      </c>
      <c r="H40">
        <f t="shared" si="7"/>
        <v>1.0711003592097585E-2</v>
      </c>
      <c r="I40">
        <f t="shared" si="8"/>
        <v>1.1202384569966434E-2</v>
      </c>
      <c r="J40">
        <f t="shared" si="9"/>
        <v>1.1202384569966533E-2</v>
      </c>
    </row>
    <row r="41" spans="1:10" x14ac:dyDescent="0.3">
      <c r="A41" s="8">
        <f t="shared" si="4"/>
        <v>0.74999999999989342</v>
      </c>
      <c r="B41">
        <f t="shared" si="5"/>
        <v>60.749999999999893</v>
      </c>
      <c r="C41">
        <f t="shared" si="0"/>
        <v>1.5710915487563613E-2</v>
      </c>
      <c r="D41">
        <f t="shared" si="1"/>
        <v>1.5710915487563615E-3</v>
      </c>
      <c r="E41">
        <f t="shared" si="2"/>
        <v>1.593459459920761E-2</v>
      </c>
      <c r="F41" s="9">
        <f t="shared" si="3"/>
        <v>1.593459459920761E-2</v>
      </c>
      <c r="G41">
        <f t="shared" si="6"/>
        <v>0.97749295509875922</v>
      </c>
      <c r="H41">
        <f t="shared" si="7"/>
        <v>1.1002152050622627E-2</v>
      </c>
      <c r="I41">
        <f t="shared" si="8"/>
        <v>1.1504892850618008E-2</v>
      </c>
      <c r="J41">
        <f t="shared" si="9"/>
        <v>1.1504892850618153E-2</v>
      </c>
    </row>
    <row r="42" spans="1:10" x14ac:dyDescent="0.3">
      <c r="A42" s="8">
        <f t="shared" si="4"/>
        <v>0.76923076923065992</v>
      </c>
      <c r="B42">
        <f t="shared" si="5"/>
        <v>60.76923076923066</v>
      </c>
      <c r="C42">
        <f t="shared" si="0"/>
        <v>1.575164802573998E-2</v>
      </c>
      <c r="D42">
        <f t="shared" si="1"/>
        <v>1.5751648025739981E-3</v>
      </c>
      <c r="E42">
        <f t="shared" si="2"/>
        <v>1.5960587541603153E-2</v>
      </c>
      <c r="F42" s="9">
        <f t="shared" si="3"/>
        <v>1.5960587541603153E-2</v>
      </c>
      <c r="G42">
        <f t="shared" si="6"/>
        <v>0.97689841706448577</v>
      </c>
      <c r="H42">
        <f t="shared" si="7"/>
        <v>1.1293781069593686E-2</v>
      </c>
      <c r="I42">
        <f t="shared" si="8"/>
        <v>1.1807801865920425E-2</v>
      </c>
      <c r="J42">
        <f t="shared" si="9"/>
        <v>1.1807801865920545E-2</v>
      </c>
    </row>
    <row r="43" spans="1:10" x14ac:dyDescent="0.3">
      <c r="A43" s="8">
        <f t="shared" si="4"/>
        <v>0.78846153846142641</v>
      </c>
      <c r="B43">
        <f t="shared" si="5"/>
        <v>60.788461538461426</v>
      </c>
      <c r="C43">
        <f t="shared" si="0"/>
        <v>1.5792488927107773E-2</v>
      </c>
      <c r="D43">
        <f t="shared" si="1"/>
        <v>1.5792488927107774E-3</v>
      </c>
      <c r="E43">
        <f t="shared" si="2"/>
        <v>1.5986624257941076E-2</v>
      </c>
      <c r="F43" s="9">
        <f t="shared" si="3"/>
        <v>1.5986624257941076E-2</v>
      </c>
      <c r="G43">
        <f t="shared" si="6"/>
        <v>0.97630299700369949</v>
      </c>
      <c r="H43">
        <f t="shared" si="7"/>
        <v>1.1585890974875158E-2</v>
      </c>
      <c r="I43">
        <f t="shared" si="8"/>
        <v>1.2111112021425199E-2</v>
      </c>
      <c r="J43">
        <f t="shared" si="9"/>
        <v>1.2111112021425351E-2</v>
      </c>
    </row>
    <row r="44" spans="1:10" x14ac:dyDescent="0.3">
      <c r="A44" s="8">
        <f t="shared" si="4"/>
        <v>0.80769230769219291</v>
      </c>
      <c r="B44">
        <f t="shared" si="5"/>
        <v>60.807692307692193</v>
      </c>
      <c r="C44">
        <f t="shared" si="0"/>
        <v>1.583343847995208E-2</v>
      </c>
      <c r="D44">
        <f t="shared" si="1"/>
        <v>1.583343847995208E-3</v>
      </c>
      <c r="E44">
        <f t="shared" si="2"/>
        <v>1.6012704821939758E-2</v>
      </c>
      <c r="F44" s="9">
        <f t="shared" si="3"/>
        <v>1.6012704821939758E-2</v>
      </c>
      <c r="G44">
        <f t="shared" si="6"/>
        <v>0.97570669418756117</v>
      </c>
      <c r="H44">
        <f t="shared" si="7"/>
        <v>1.1878482089845949E-2</v>
      </c>
      <c r="I44">
        <f t="shared" si="8"/>
        <v>1.2414823722592673E-2</v>
      </c>
      <c r="J44">
        <f t="shared" si="9"/>
        <v>1.2414823722592876E-2</v>
      </c>
    </row>
    <row r="45" spans="1:10" x14ac:dyDescent="0.3">
      <c r="A45" s="8">
        <f t="shared" si="4"/>
        <v>0.82692307692295941</v>
      </c>
      <c r="B45">
        <f t="shared" si="5"/>
        <v>60.826923076922959</v>
      </c>
      <c r="C45">
        <f t="shared" si="0"/>
        <v>1.5874496973324829E-2</v>
      </c>
      <c r="D45">
        <f t="shared" si="1"/>
        <v>1.5874496973324829E-3</v>
      </c>
      <c r="E45">
        <f t="shared" si="2"/>
        <v>1.6038829307441743E-2</v>
      </c>
      <c r="F45" s="9">
        <f t="shared" si="3"/>
        <v>1.6038829307441743E-2</v>
      </c>
      <c r="G45">
        <f t="shared" si="6"/>
        <v>0.97510950788982709</v>
      </c>
      <c r="H45">
        <f t="shared" si="7"/>
        <v>1.2171554735382839E-2</v>
      </c>
      <c r="I45">
        <f t="shared" si="8"/>
        <v>1.2718937374789855E-2</v>
      </c>
      <c r="J45">
        <f t="shared" si="9"/>
        <v>1.2718937374790074E-2</v>
      </c>
    </row>
    <row r="46" spans="1:10" x14ac:dyDescent="0.3">
      <c r="A46" s="8">
        <f t="shared" si="4"/>
        <v>0.84615384615372591</v>
      </c>
      <c r="B46">
        <f t="shared" si="5"/>
        <v>60.846153846153726</v>
      </c>
      <c r="C46">
        <f t="shared" si="0"/>
        <v>1.5915664697047003E-2</v>
      </c>
      <c r="D46">
        <f t="shared" si="1"/>
        <v>1.5915664697047005E-3</v>
      </c>
      <c r="E46">
        <f t="shared" si="2"/>
        <v>1.6064997788413915E-2</v>
      </c>
      <c r="F46" s="9">
        <f t="shared" si="3"/>
        <v>1.6064997788413915E-2</v>
      </c>
      <c r="G46">
        <f t="shared" si="6"/>
        <v>0.97451143738686774</v>
      </c>
      <c r="H46">
        <f t="shared" si="7"/>
        <v>1.2465109229843792E-2</v>
      </c>
      <c r="I46">
        <f t="shared" si="8"/>
        <v>1.3023453383288228E-2</v>
      </c>
      <c r="J46">
        <f t="shared" si="9"/>
        <v>1.3023453383288468E-2</v>
      </c>
    </row>
    <row r="47" spans="1:10" x14ac:dyDescent="0.3">
      <c r="A47" s="8">
        <f t="shared" si="4"/>
        <v>0.86538461538449241</v>
      </c>
      <c r="B47">
        <f t="shared" si="5"/>
        <v>60.865384615384492</v>
      </c>
      <c r="C47">
        <f t="shared" si="0"/>
        <v>1.5956941941710621E-2</v>
      </c>
      <c r="D47">
        <f t="shared" si="1"/>
        <v>1.5956941941710622E-3</v>
      </c>
      <c r="E47">
        <f t="shared" si="2"/>
        <v>1.6091210338947767E-2</v>
      </c>
      <c r="F47" s="9">
        <f t="shared" si="3"/>
        <v>1.6091210338947767E-2</v>
      </c>
      <c r="G47">
        <f t="shared" si="6"/>
        <v>0.97391248195768698</v>
      </c>
      <c r="H47">
        <f t="shared" si="7"/>
        <v>1.2759145889051205E-2</v>
      </c>
      <c r="I47">
        <f t="shared" si="8"/>
        <v>1.3328372153261572E-2</v>
      </c>
      <c r="J47">
        <f t="shared" si="9"/>
        <v>1.3328372153261813E-2</v>
      </c>
    </row>
    <row r="48" spans="1:10" x14ac:dyDescent="0.3">
      <c r="A48" s="8">
        <f t="shared" si="4"/>
        <v>0.8846153846152589</v>
      </c>
      <c r="B48">
        <f t="shared" si="5"/>
        <v>60.884615384615259</v>
      </c>
      <c r="C48">
        <f t="shared" si="0"/>
        <v>1.59983289986807E-2</v>
      </c>
      <c r="D48">
        <f t="shared" si="1"/>
        <v>1.5998328998680701E-3</v>
      </c>
      <c r="E48">
        <f t="shared" si="2"/>
        <v>1.6117467033259527E-2</v>
      </c>
      <c r="F48" s="9">
        <f t="shared" si="3"/>
        <v>1.6117467033259527E-2</v>
      </c>
      <c r="G48">
        <f t="shared" si="6"/>
        <v>0.97331264088394087</v>
      </c>
      <c r="H48">
        <f t="shared" si="7"/>
        <v>1.3053665026275096E-2</v>
      </c>
      <c r="I48">
        <f t="shared" si="8"/>
        <v>1.3633694089783762E-2</v>
      </c>
      <c r="J48">
        <f t="shared" si="9"/>
        <v>1.3633694089784033E-2</v>
      </c>
    </row>
    <row r="49" spans="1:10" x14ac:dyDescent="0.3">
      <c r="A49" s="8">
        <f t="shared" si="4"/>
        <v>0.9038461538460254</v>
      </c>
      <c r="B49">
        <f t="shared" si="5"/>
        <v>60.903846153846025</v>
      </c>
      <c r="C49">
        <f t="shared" si="0"/>
        <v>1.6039826160097491E-2</v>
      </c>
      <c r="D49">
        <f t="shared" si="1"/>
        <v>1.6039826160097492E-3</v>
      </c>
      <c r="E49">
        <f t="shared" si="2"/>
        <v>1.6143767945690418E-2</v>
      </c>
      <c r="F49" s="9">
        <f t="shared" si="3"/>
        <v>1.6143767945690418E-2</v>
      </c>
      <c r="G49">
        <f t="shared" si="6"/>
        <v>0.97271191344995689</v>
      </c>
      <c r="H49">
        <f t="shared" si="7"/>
        <v>1.334866695221623E-2</v>
      </c>
      <c r="I49">
        <f t="shared" si="8"/>
        <v>1.3939419597826568E-2</v>
      </c>
      <c r="J49">
        <f t="shared" si="9"/>
        <v>1.3939419597826882E-2</v>
      </c>
    </row>
    <row r="50" spans="1:10" x14ac:dyDescent="0.3">
      <c r="A50" s="8">
        <f t="shared" si="4"/>
        <v>0.9230769230767919</v>
      </c>
      <c r="B50">
        <f t="shared" si="5"/>
        <v>60.923076923076792</v>
      </c>
      <c r="C50">
        <f t="shared" si="0"/>
        <v>1.6081433718878345E-2</v>
      </c>
      <c r="D50">
        <f t="shared" si="1"/>
        <v>1.6081433718878346E-3</v>
      </c>
      <c r="E50">
        <f t="shared" si="2"/>
        <v>1.617011315070685E-2</v>
      </c>
      <c r="F50" s="9">
        <f t="shared" si="3"/>
        <v>1.617011315070685E-2</v>
      </c>
      <c r="G50">
        <f t="shared" si="6"/>
        <v>0.97211029894275303</v>
      </c>
      <c r="H50">
        <f t="shared" si="7"/>
        <v>1.364415197498919E-2</v>
      </c>
      <c r="I50">
        <f t="shared" si="8"/>
        <v>1.4245549082257442E-2</v>
      </c>
      <c r="J50">
        <f t="shared" si="9"/>
        <v>1.4245549082257784E-2</v>
      </c>
    </row>
    <row r="51" spans="1:10" x14ac:dyDescent="0.3">
      <c r="A51" s="8">
        <f t="shared" si="4"/>
        <v>0.9423076923075584</v>
      </c>
      <c r="B51">
        <f t="shared" si="5"/>
        <v>60.942307692307558</v>
      </c>
      <c r="C51">
        <f t="shared" si="0"/>
        <v>1.6123151968719981E-2</v>
      </c>
      <c r="D51">
        <f t="shared" si="1"/>
        <v>1.6123151968719983E-3</v>
      </c>
      <c r="E51">
        <f t="shared" si="2"/>
        <v>1.6196502722900675E-2</v>
      </c>
      <c r="F51" s="9">
        <f t="shared" si="3"/>
        <v>1.6196502722900675E-2</v>
      </c>
      <c r="G51">
        <f t="shared" si="6"/>
        <v>0.971507796652057</v>
      </c>
      <c r="H51">
        <f t="shared" si="7"/>
        <v>1.3940120400105388E-2</v>
      </c>
      <c r="I51">
        <f t="shared" si="8"/>
        <v>1.4552082947837303E-2</v>
      </c>
      <c r="J51">
        <f t="shared" si="9"/>
        <v>1.4552082947837613E-2</v>
      </c>
    </row>
    <row r="52" spans="1:10" x14ac:dyDescent="0.3">
      <c r="A52" s="8">
        <f t="shared" si="4"/>
        <v>0.9615384615383249</v>
      </c>
      <c r="B52">
        <f t="shared" si="5"/>
        <v>60.961538461538325</v>
      </c>
      <c r="C52">
        <f t="shared" si="0"/>
        <v>1.6164981204100353E-2</v>
      </c>
      <c r="D52">
        <f t="shared" si="1"/>
        <v>1.6164981204100353E-3</v>
      </c>
      <c r="E52">
        <f t="shared" si="2"/>
        <v>1.6222936736989328E-2</v>
      </c>
      <c r="F52" s="9">
        <f t="shared" si="3"/>
        <v>1.6222936736989328E-2</v>
      </c>
      <c r="G52">
        <f t="shared" si="6"/>
        <v>0.97090440587032534</v>
      </c>
      <c r="H52">
        <f t="shared" si="7"/>
        <v>1.4236572530456008E-2</v>
      </c>
      <c r="I52">
        <f t="shared" si="8"/>
        <v>1.4859021599218305E-2</v>
      </c>
      <c r="J52">
        <f t="shared" si="9"/>
        <v>1.4859021599218654E-2</v>
      </c>
    </row>
    <row r="53" spans="1:10" x14ac:dyDescent="0.3">
      <c r="A53" s="8">
        <f t="shared" si="4"/>
        <v>0.98076923076909139</v>
      </c>
      <c r="B53">
        <f t="shared" si="5"/>
        <v>60.980769230769091</v>
      </c>
      <c r="C53">
        <f t="shared" si="0"/>
        <v>1.6206921720280907E-2</v>
      </c>
      <c r="D53">
        <f t="shared" si="1"/>
        <v>1.6206921720280907E-3</v>
      </c>
      <c r="E53">
        <f t="shared" si="2"/>
        <v>1.6249415267816085E-2</v>
      </c>
      <c r="F53" s="9">
        <f t="shared" si="3"/>
        <v>1.6249415267816085E-2</v>
      </c>
      <c r="G53">
        <f t="shared" si="6"/>
        <v>0.97030012589276315</v>
      </c>
      <c r="H53">
        <f t="shared" si="7"/>
        <v>1.4533508666294898E-2</v>
      </c>
      <c r="I53">
        <f t="shared" si="8"/>
        <v>1.5166365440941606E-2</v>
      </c>
      <c r="J53">
        <f t="shared" si="9"/>
        <v>1.5166365440941947E-2</v>
      </c>
    </row>
    <row r="54" spans="1:10" x14ac:dyDescent="0.3">
      <c r="A54" s="8">
        <f t="shared" si="4"/>
        <v>0.99999999999985789</v>
      </c>
      <c r="B54">
        <f t="shared" si="5"/>
        <v>60.999999999999858</v>
      </c>
      <c r="C54">
        <f t="shared" si="0"/>
        <v>1.6248973813308604E-2</v>
      </c>
      <c r="D54">
        <f t="shared" si="1"/>
        <v>1.6248973813308605E-3</v>
      </c>
      <c r="E54">
        <f t="shared" si="2"/>
        <v>1.6275938390350242E-2</v>
      </c>
      <c r="F54" s="9">
        <f t="shared" si="3"/>
        <v>1.6275938390350242E-2</v>
      </c>
      <c r="G54">
        <f t="shared" si="6"/>
        <v>0.96969495601734312</v>
      </c>
      <c r="H54">
        <f t="shared" si="7"/>
        <v>1.4830929105221401E-2</v>
      </c>
      <c r="I54">
        <f t="shared" si="8"/>
        <v>1.547411487743512E-2</v>
      </c>
      <c r="J54">
        <f t="shared" si="9"/>
        <v>1.5474114877435476E-2</v>
      </c>
    </row>
    <row r="55" spans="1:10" x14ac:dyDescent="0.3">
      <c r="A55" s="8">
        <f t="shared" si="4"/>
        <v>1.0192307692306244</v>
      </c>
      <c r="B55">
        <f t="shared" si="5"/>
        <v>61.019230769230624</v>
      </c>
      <c r="C55">
        <f t="shared" si="0"/>
        <v>1.6291137780017891E-2</v>
      </c>
      <c r="D55">
        <f t="shared" si="1"/>
        <v>1.6291137780017893E-3</v>
      </c>
      <c r="E55">
        <f t="shared" si="2"/>
        <v>1.6302506179687409E-2</v>
      </c>
      <c r="F55" s="9">
        <f t="shared" si="3"/>
        <v>1.6302506179687409E-2</v>
      </c>
      <c r="G55">
        <f t="shared" si="6"/>
        <v>0.96908889554482525</v>
      </c>
      <c r="H55">
        <f t="shared" si="7"/>
        <v>1.5128834142163117E-2</v>
      </c>
      <c r="I55">
        <f t="shared" si="8"/>
        <v>1.5782270313011271E-2</v>
      </c>
      <c r="J55">
        <f t="shared" si="9"/>
        <v>1.5782270313011638E-2</v>
      </c>
    </row>
    <row r="56" spans="1:10" x14ac:dyDescent="0.3">
      <c r="A56" s="8">
        <f t="shared" si="4"/>
        <v>1.0384615384613909</v>
      </c>
      <c r="B56">
        <f t="shared" si="5"/>
        <v>61.038461538461391</v>
      </c>
      <c r="C56">
        <f t="shared" si="0"/>
        <v>1.633341391803304E-2</v>
      </c>
      <c r="D56">
        <f t="shared" si="1"/>
        <v>1.6333413918033042E-3</v>
      </c>
      <c r="E56">
        <f t="shared" si="2"/>
        <v>1.6329118711049598E-2</v>
      </c>
      <c r="F56" s="9">
        <f t="shared" si="3"/>
        <v>1.6329118711049598E-2</v>
      </c>
      <c r="G56">
        <f t="shared" si="6"/>
        <v>0.96848194377877628</v>
      </c>
      <c r="H56">
        <f t="shared" si="7"/>
        <v>1.5427224069358616E-2</v>
      </c>
      <c r="I56">
        <f t="shared" si="8"/>
        <v>1.6090832151864732E-2</v>
      </c>
      <c r="J56">
        <f t="shared" si="9"/>
        <v>1.6090832151865107E-2</v>
      </c>
    </row>
    <row r="57" spans="1:10" x14ac:dyDescent="0.3">
      <c r="A57" s="8">
        <f t="shared" si="4"/>
        <v>1.0576923076921574</v>
      </c>
      <c r="B57">
        <f t="shared" si="5"/>
        <v>61.057692307692157</v>
      </c>
      <c r="C57">
        <f t="shared" si="0"/>
        <v>1.6375802525769971E-2</v>
      </c>
      <c r="D57">
        <f t="shared" si="1"/>
        <v>1.6375802525769971E-3</v>
      </c>
      <c r="E57">
        <f t="shared" si="2"/>
        <v>1.6355776059785516E-2</v>
      </c>
      <c r="F57" s="9">
        <f t="shared" si="3"/>
        <v>1.6355776059785516E-2</v>
      </c>
      <c r="G57">
        <f t="shared" si="6"/>
        <v>0.96787410002558938</v>
      </c>
      <c r="H57">
        <f t="shared" si="7"/>
        <v>1.5726099176340085E-2</v>
      </c>
      <c r="I57">
        <f t="shared" si="8"/>
        <v>1.6399800798070158E-2</v>
      </c>
      <c r="J57">
        <f t="shared" si="9"/>
        <v>1.6399800798070536E-2</v>
      </c>
    </row>
    <row r="58" spans="1:10" x14ac:dyDescent="0.3">
      <c r="A58" s="8">
        <f t="shared" si="4"/>
        <v>1.0769230769229239</v>
      </c>
      <c r="B58">
        <f t="shared" si="5"/>
        <v>61.076923076922924</v>
      </c>
      <c r="C58">
        <f t="shared" si="0"/>
        <v>1.6418303902438636E-2</v>
      </c>
      <c r="D58">
        <f t="shared" si="1"/>
        <v>1.6418303902438636E-3</v>
      </c>
      <c r="E58">
        <f t="shared" si="2"/>
        <v>1.6382478301370795E-2</v>
      </c>
      <c r="F58" s="9">
        <f t="shared" si="3"/>
        <v>1.6382478301370795E-2</v>
      </c>
      <c r="G58">
        <f t="shared" si="6"/>
        <v>0.96726536359450377</v>
      </c>
      <c r="H58">
        <f t="shared" si="7"/>
        <v>1.6025459749915909E-2</v>
      </c>
      <c r="I58">
        <f t="shared" si="8"/>
        <v>1.6709176655579912E-2</v>
      </c>
      <c r="J58">
        <f t="shared" si="9"/>
        <v>1.6709176655580322E-2</v>
      </c>
    </row>
    <row r="59" spans="1:10" x14ac:dyDescent="0.3">
      <c r="A59" s="8">
        <f t="shared" si="4"/>
        <v>1.0961538461536904</v>
      </c>
      <c r="B59">
        <f t="shared" si="5"/>
        <v>61.09615384615369</v>
      </c>
      <c r="C59">
        <f t="shared" si="0"/>
        <v>1.6460918348044862E-2</v>
      </c>
      <c r="D59">
        <f t="shared" si="1"/>
        <v>1.6460918348044863E-3</v>
      </c>
      <c r="E59">
        <f t="shared" si="2"/>
        <v>1.6409225511408138E-2</v>
      </c>
      <c r="F59" s="9">
        <f t="shared" si="3"/>
        <v>1.6409225511408138E-2</v>
      </c>
      <c r="G59">
        <f t="shared" si="6"/>
        <v>0.96665573379762459</v>
      </c>
      <c r="H59">
        <f t="shared" si="7"/>
        <v>1.6325306074153213E-2</v>
      </c>
      <c r="I59">
        <f t="shared" si="8"/>
        <v>1.7018960128221777E-2</v>
      </c>
      <c r="J59">
        <f t="shared" si="9"/>
        <v>1.7018960128222193E-2</v>
      </c>
    </row>
    <row r="60" spans="1:10" x14ac:dyDescent="0.3">
      <c r="A60" s="8">
        <f t="shared" si="4"/>
        <v>1.1153846153844569</v>
      </c>
      <c r="B60">
        <f t="shared" si="5"/>
        <v>61.115384615384457</v>
      </c>
      <c r="C60">
        <f t="shared" si="0"/>
        <v>1.6503646163392689E-2</v>
      </c>
      <c r="D60">
        <f t="shared" si="1"/>
        <v>1.650364616339269E-3</v>
      </c>
      <c r="E60">
        <f t="shared" si="2"/>
        <v>1.6436017765627579E-2</v>
      </c>
      <c r="F60" s="9">
        <f t="shared" si="3"/>
        <v>1.6436017765627579E-2</v>
      </c>
      <c r="G60">
        <f t="shared" si="6"/>
        <v>0.96604520994994258</v>
      </c>
      <c r="H60">
        <f t="shared" si="7"/>
        <v>1.6625638430360311E-2</v>
      </c>
      <c r="I60">
        <f t="shared" si="8"/>
        <v>1.732915161969667E-2</v>
      </c>
      <c r="J60">
        <f t="shared" si="9"/>
        <v>1.7329151619697104E-2</v>
      </c>
    </row>
    <row r="61" spans="1:10" x14ac:dyDescent="0.3">
      <c r="A61" s="8">
        <f t="shared" si="4"/>
        <v>1.1346153846152234</v>
      </c>
      <c r="B61">
        <f t="shared" si="5"/>
        <v>61.134615384615223</v>
      </c>
      <c r="C61">
        <f t="shared" si="0"/>
        <v>1.6546487650086407E-2</v>
      </c>
      <c r="D61">
        <f t="shared" si="1"/>
        <v>1.6546487650086407E-3</v>
      </c>
      <c r="E61">
        <f t="shared" si="2"/>
        <v>1.6462855139886674E-2</v>
      </c>
      <c r="F61" s="9">
        <f t="shared" si="3"/>
        <v>1.6462855139886674E-2</v>
      </c>
      <c r="G61">
        <f t="shared" si="6"/>
        <v>0.96543379136935414</v>
      </c>
      <c r="H61">
        <f t="shared" si="7"/>
        <v>1.6926457097069126E-2</v>
      </c>
      <c r="I61">
        <f t="shared" si="8"/>
        <v>1.7639751533576341E-2</v>
      </c>
      <c r="J61">
        <f t="shared" si="9"/>
        <v>1.763975153357673E-2</v>
      </c>
    </row>
    <row r="62" spans="1:10" x14ac:dyDescent="0.3">
      <c r="A62" s="8">
        <f t="shared" si="4"/>
        <v>1.1538461538459899</v>
      </c>
      <c r="B62">
        <f t="shared" si="5"/>
        <v>61.15384615384599</v>
      </c>
      <c r="C62">
        <f t="shared" si="0"/>
        <v>1.6589443110532592E-2</v>
      </c>
      <c r="D62">
        <f t="shared" si="1"/>
        <v>1.6589443110532594E-3</v>
      </c>
      <c r="E62">
        <f t="shared" si="2"/>
        <v>1.6489737710170774E-2</v>
      </c>
      <c r="F62" s="9">
        <f t="shared" si="3"/>
        <v>1.6489737710170774E-2</v>
      </c>
      <c r="G62">
        <f t="shared" si="6"/>
        <v>0.964821477376681</v>
      </c>
      <c r="H62">
        <f t="shared" si="7"/>
        <v>1.7227762350017529E-2</v>
      </c>
      <c r="I62">
        <f t="shared" si="8"/>
        <v>1.7950760273301069E-2</v>
      </c>
      <c r="J62">
        <f t="shared" si="9"/>
        <v>1.7950760273301468E-2</v>
      </c>
    </row>
    <row r="63" spans="1:10" x14ac:dyDescent="0.3">
      <c r="A63" s="8">
        <f t="shared" si="4"/>
        <v>1.1730769230767564</v>
      </c>
      <c r="B63">
        <f t="shared" si="5"/>
        <v>61.173076923076756</v>
      </c>
      <c r="C63">
        <f t="shared" si="0"/>
        <v>1.6632512847942451E-2</v>
      </c>
      <c r="D63">
        <f t="shared" si="1"/>
        <v>1.6632512847942452E-3</v>
      </c>
      <c r="E63">
        <f t="shared" si="2"/>
        <v>1.6516665552593138E-2</v>
      </c>
      <c r="F63" s="9">
        <f t="shared" si="3"/>
        <v>1.6516665552593138E-2</v>
      </c>
      <c r="G63">
        <f t="shared" si="6"/>
        <v>0.96420826729569065</v>
      </c>
      <c r="H63">
        <f t="shared" si="7"/>
        <v>1.752955446213162E-2</v>
      </c>
      <c r="I63">
        <f t="shared" si="8"/>
        <v>1.8262178242177334E-2</v>
      </c>
      <c r="J63">
        <f t="shared" si="9"/>
        <v>1.8262178242177733E-2</v>
      </c>
    </row>
    <row r="64" spans="1:10" x14ac:dyDescent="0.3">
      <c r="A64" s="8">
        <f t="shared" si="4"/>
        <v>1.1923076923075229</v>
      </c>
      <c r="B64">
        <f t="shared" si="5"/>
        <v>61.192307692307523</v>
      </c>
      <c r="C64">
        <f t="shared" si="0"/>
        <v>1.6675697166333717E-2</v>
      </c>
      <c r="D64">
        <f t="shared" si="1"/>
        <v>1.6675697166333718E-3</v>
      </c>
      <c r="E64">
        <f t="shared" si="2"/>
        <v>1.6543638743395241E-2</v>
      </c>
      <c r="F64" s="9">
        <f t="shared" si="3"/>
        <v>1.6543638743395241E-2</v>
      </c>
      <c r="G64">
        <f t="shared" si="6"/>
        <v>0.96359416045311608</v>
      </c>
      <c r="H64">
        <f t="shared" si="7"/>
        <v>1.7831833703507965E-2</v>
      </c>
      <c r="I64">
        <f t="shared" si="8"/>
        <v>1.8574005843375513E-2</v>
      </c>
      <c r="J64">
        <f t="shared" si="9"/>
        <v>1.8574005843375957E-2</v>
      </c>
    </row>
    <row r="65" spans="1:10" x14ac:dyDescent="0.3">
      <c r="A65" s="8">
        <f t="shared" si="4"/>
        <v>1.2115384615382894</v>
      </c>
      <c r="B65">
        <f t="shared" si="5"/>
        <v>61.211538461538289</v>
      </c>
      <c r="C65">
        <f t="shared" si="0"/>
        <v>1.6718996370533042E-2</v>
      </c>
      <c r="D65">
        <f t="shared" si="1"/>
        <v>1.6718996370533043E-3</v>
      </c>
      <c r="E65">
        <f t="shared" si="2"/>
        <v>1.657065735894692E-2</v>
      </c>
      <c r="F65" s="9">
        <f t="shared" si="3"/>
        <v>1.657065735894692E-2</v>
      </c>
      <c r="G65">
        <f t="shared" si="6"/>
        <v>0.96297915617867624</v>
      </c>
      <c r="H65">
        <f t="shared" si="7"/>
        <v>1.8134600341395746E-2</v>
      </c>
      <c r="I65">
        <f t="shared" si="8"/>
        <v>1.8886243479927525E-2</v>
      </c>
      <c r="J65">
        <f t="shared" si="9"/>
        <v>1.8886243479928011E-2</v>
      </c>
    </row>
    <row r="66" spans="1:10" x14ac:dyDescent="0.3">
      <c r="A66" s="8">
        <f t="shared" si="4"/>
        <v>1.2307692307690559</v>
      </c>
      <c r="B66">
        <f t="shared" si="5"/>
        <v>61.230769230769056</v>
      </c>
      <c r="C66">
        <f t="shared" si="0"/>
        <v>1.6762410766177915E-2</v>
      </c>
      <c r="D66">
        <f t="shared" si="1"/>
        <v>1.6762410766177915E-3</v>
      </c>
      <c r="E66">
        <f t="shared" si="2"/>
        <v>1.6597721475746677E-2</v>
      </c>
      <c r="F66" s="9">
        <f t="shared" si="3"/>
        <v>1.6597721475746677E-2</v>
      </c>
      <c r="G66">
        <f t="shared" si="6"/>
        <v>0.96236325380509613</v>
      </c>
      <c r="H66">
        <f t="shared" si="7"/>
        <v>1.8437854640178875E-2</v>
      </c>
      <c r="I66">
        <f t="shared" si="8"/>
        <v>1.9198891554724512E-2</v>
      </c>
      <c r="J66">
        <f t="shared" si="9"/>
        <v>1.9198891554724994E-2</v>
      </c>
    </row>
    <row r="67" spans="1:10" x14ac:dyDescent="0.3">
      <c r="A67" s="8">
        <f t="shared" si="4"/>
        <v>1.2499999999998224</v>
      </c>
      <c r="B67">
        <f t="shared" si="5"/>
        <v>61.249999999999822</v>
      </c>
      <c r="C67">
        <f t="shared" ref="C67:C130" si="11">$L$1 +$L$3 * EXP($L$5*B67)</f>
        <v>1.6805940659719007E-2</v>
      </c>
      <c r="D67">
        <f t="shared" ref="D67:D130" si="12">0.1 *C67</f>
        <v>1.6805940659719008E-3</v>
      </c>
      <c r="E67">
        <f t="shared" ref="E67:E130" si="13">$L$2 + $L$4 * EXP($L$6 *B67)</f>
        <v>1.6624831170421805E-2</v>
      </c>
      <c r="F67" s="9">
        <f t="shared" ref="F67:F130" si="14">E67</f>
        <v>1.6624831170421805E-2</v>
      </c>
      <c r="G67">
        <f t="shared" si="6"/>
        <v>0.96174645266812697</v>
      </c>
      <c r="H67">
        <f t="shared" si="7"/>
        <v>1.8741596861358029E-2</v>
      </c>
      <c r="I67">
        <f t="shared" si="8"/>
        <v>1.9511950470514478E-2</v>
      </c>
      <c r="J67">
        <f t="shared" si="9"/>
        <v>1.9511950470514999E-2</v>
      </c>
    </row>
    <row r="68" spans="1:10" x14ac:dyDescent="0.3">
      <c r="A68" s="8">
        <f t="shared" ref="A68:A131" si="15">B68-60</f>
        <v>1.2692307692305889</v>
      </c>
      <c r="B68">
        <f t="shared" ref="B68:B131" si="16">B67+$L$7</f>
        <v>61.269230769230589</v>
      </c>
      <c r="C68">
        <f t="shared" si="11"/>
        <v>1.6849586358422264E-2</v>
      </c>
      <c r="D68">
        <f t="shared" si="12"/>
        <v>1.6849586358422264E-3</v>
      </c>
      <c r="E68">
        <f t="shared" si="13"/>
        <v>1.6651986519728625E-2</v>
      </c>
      <c r="F68" s="9">
        <f t="shared" si="14"/>
        <v>1.6651986519728625E-2</v>
      </c>
      <c r="G68">
        <f t="shared" ref="G68:G131" si="17">$L$7*(G67*(-C67-E67)+H67*D67)+G67</f>
        <v>0.9611287521065669</v>
      </c>
      <c r="H68">
        <f t="shared" ref="H68:H131" si="18">$L$7*(G67*C67+H67*(-D67-F67))+H67</f>
        <v>1.9045827263532638E-2</v>
      </c>
      <c r="I68">
        <f t="shared" ref="I68:I131" si="19">$L$7*(G67*E67+H67*F67)+I67</f>
        <v>1.9825420629899938E-2</v>
      </c>
      <c r="J68">
        <f t="shared" ref="J68:J131" si="20">1-G68-H68</f>
        <v>1.9825420629900465E-2</v>
      </c>
    </row>
    <row r="69" spans="1:10" x14ac:dyDescent="0.3">
      <c r="A69" s="8">
        <f t="shared" si="15"/>
        <v>1.2884615384613554</v>
      </c>
      <c r="B69">
        <f t="shared" si="16"/>
        <v>61.288461538461355</v>
      </c>
      <c r="C69">
        <f t="shared" si="11"/>
        <v>1.6893348170370977E-2</v>
      </c>
      <c r="D69">
        <f t="shared" si="12"/>
        <v>1.6893348170370977E-3</v>
      </c>
      <c r="E69">
        <f t="shared" si="13"/>
        <v>1.6679187600552783E-2</v>
      </c>
      <c r="F69" s="9">
        <f t="shared" si="14"/>
        <v>1.6679187600552783E-2</v>
      </c>
      <c r="G69">
        <f t="shared" si="17"/>
        <v>0.96051015146228114</v>
      </c>
      <c r="H69">
        <f t="shared" si="18"/>
        <v>1.93505461023828E-2</v>
      </c>
      <c r="I69">
        <f t="shared" si="19"/>
        <v>2.0139302435335543E-2</v>
      </c>
      <c r="J69">
        <f t="shared" si="20"/>
        <v>2.0139302435336064E-2</v>
      </c>
    </row>
    <row r="70" spans="1:10" x14ac:dyDescent="0.3">
      <c r="A70" s="8">
        <f t="shared" si="15"/>
        <v>1.3076923076921219</v>
      </c>
      <c r="B70">
        <f t="shared" si="16"/>
        <v>61.307692307692122</v>
      </c>
      <c r="C70">
        <f t="shared" si="11"/>
        <v>1.6937226404468177E-2</v>
      </c>
      <c r="D70">
        <f t="shared" si="12"/>
        <v>1.6937226404468179E-3</v>
      </c>
      <c r="E70">
        <f t="shared" si="13"/>
        <v>1.6706434489909352E-2</v>
      </c>
      <c r="F70" s="9">
        <f t="shared" si="14"/>
        <v>1.6706434489909352E-2</v>
      </c>
      <c r="G70">
        <f t="shared" si="17"/>
        <v>0.95989065008022256</v>
      </c>
      <c r="H70">
        <f t="shared" si="18"/>
        <v>1.9655753630651144E-2</v>
      </c>
      <c r="I70">
        <f t="shared" si="19"/>
        <v>2.0453596289125728E-2</v>
      </c>
      <c r="J70">
        <f t="shared" si="20"/>
        <v>2.0453596289126293E-2</v>
      </c>
    </row>
    <row r="71" spans="1:10" x14ac:dyDescent="0.3">
      <c r="A71" s="8">
        <f t="shared" si="15"/>
        <v>1.3269230769228884</v>
      </c>
      <c r="B71">
        <f t="shared" si="16"/>
        <v>61.326923076922888</v>
      </c>
      <c r="C71">
        <f t="shared" si="11"/>
        <v>1.6981221370438556E-2</v>
      </c>
      <c r="D71">
        <f t="shared" si="12"/>
        <v>1.6981221370438557E-3</v>
      </c>
      <c r="E71">
        <f t="shared" si="13"/>
        <v>1.6733727264943123E-2</v>
      </c>
      <c r="F71" s="9">
        <f t="shared" si="14"/>
        <v>1.6733727264943123E-2</v>
      </c>
      <c r="G71">
        <f t="shared" si="17"/>
        <v>0.95927024730845245</v>
      </c>
      <c r="H71">
        <f t="shared" si="18"/>
        <v>1.9961450098124632E-2</v>
      </c>
      <c r="I71">
        <f t="shared" si="19"/>
        <v>2.0768302593422303E-2</v>
      </c>
      <c r="J71">
        <f t="shared" si="20"/>
        <v>2.0768302593422917E-2</v>
      </c>
    </row>
    <row r="72" spans="1:10" x14ac:dyDescent="0.3">
      <c r="A72" s="8">
        <f t="shared" si="15"/>
        <v>1.3461538461536549</v>
      </c>
      <c r="B72">
        <f t="shared" si="16"/>
        <v>61.346153846153655</v>
      </c>
      <c r="C72">
        <f t="shared" si="11"/>
        <v>1.7025333378830922E-2</v>
      </c>
      <c r="D72">
        <f t="shared" si="12"/>
        <v>1.7025333378830922E-3</v>
      </c>
      <c r="E72">
        <f t="shared" si="13"/>
        <v>1.6761066002928787E-2</v>
      </c>
      <c r="F72" s="9">
        <f t="shared" si="14"/>
        <v>1.6761066002928787E-2</v>
      </c>
      <c r="G72">
        <f t="shared" si="17"/>
        <v>0.95864894249816102</v>
      </c>
      <c r="H72">
        <f t="shared" si="18"/>
        <v>2.0267635751616289E-2</v>
      </c>
      <c r="I72">
        <f t="shared" si="19"/>
        <v>2.1083421750222091E-2</v>
      </c>
      <c r="J72">
        <f t="shared" si="20"/>
        <v>2.1083421750222694E-2</v>
      </c>
    </row>
    <row r="73" spans="1:10" x14ac:dyDescent="0.3">
      <c r="A73" s="8">
        <f t="shared" si="15"/>
        <v>1.3653846153844214</v>
      </c>
      <c r="B73">
        <f t="shared" si="16"/>
        <v>61.365384615384421</v>
      </c>
      <c r="C73">
        <f t="shared" si="11"/>
        <v>1.7069562741020117E-2</v>
      </c>
      <c r="D73">
        <f t="shared" si="12"/>
        <v>1.7069562741020118E-3</v>
      </c>
      <c r="E73">
        <f t="shared" si="13"/>
        <v>1.6788450781271214E-2</v>
      </c>
      <c r="F73" s="9">
        <f t="shared" si="14"/>
        <v>1.6788450781271214E-2</v>
      </c>
      <c r="G73">
        <f t="shared" si="17"/>
        <v>0.95802673500368796</v>
      </c>
      <c r="H73">
        <f t="shared" si="18"/>
        <v>2.0574310834946895E-2</v>
      </c>
      <c r="I73">
        <f t="shared" si="19"/>
        <v>2.139895416136451E-2</v>
      </c>
      <c r="J73">
        <f t="shared" si="20"/>
        <v>2.1398954161365148E-2</v>
      </c>
    </row>
    <row r="74" spans="1:10" x14ac:dyDescent="0.3">
      <c r="A74" s="8">
        <f t="shared" si="15"/>
        <v>1.3846153846151878</v>
      </c>
      <c r="B74">
        <f t="shared" si="16"/>
        <v>61.384615384615188</v>
      </c>
      <c r="C74">
        <f t="shared" si="11"/>
        <v>1.711390976920945E-2</v>
      </c>
      <c r="D74">
        <f t="shared" si="12"/>
        <v>1.7113909769209451E-3</v>
      </c>
      <c r="E74">
        <f t="shared" si="13"/>
        <v>1.6815881677505588E-2</v>
      </c>
      <c r="F74" s="9">
        <f t="shared" si="14"/>
        <v>1.6815881677505588E-2</v>
      </c>
      <c r="G74">
        <f t="shared" si="17"/>
        <v>0.95740362418254366</v>
      </c>
      <c r="H74">
        <f t="shared" si="18"/>
        <v>2.0881475588926588E-2</v>
      </c>
      <c r="I74">
        <f t="shared" si="19"/>
        <v>2.1714900228529174E-2</v>
      </c>
      <c r="J74">
        <f t="shared" si="20"/>
        <v>2.1714900228529756E-2</v>
      </c>
    </row>
    <row r="75" spans="1:10" x14ac:dyDescent="0.3">
      <c r="A75" s="8">
        <f t="shared" si="15"/>
        <v>1.4038461538459543</v>
      </c>
      <c r="B75">
        <f t="shared" si="16"/>
        <v>61.403846153845954</v>
      </c>
      <c r="C75">
        <f t="shared" si="11"/>
        <v>1.7158374776432804E-2</v>
      </c>
      <c r="D75">
        <f t="shared" si="12"/>
        <v>1.7158374776432804E-3</v>
      </c>
      <c r="E75">
        <f t="shared" si="13"/>
        <v>1.684335876929768E-2</v>
      </c>
      <c r="F75" s="9">
        <f t="shared" si="14"/>
        <v>1.684335876929768E-2</v>
      </c>
      <c r="G75">
        <f t="shared" si="17"/>
        <v>0.9567796093954295</v>
      </c>
      <c r="H75">
        <f t="shared" si="18"/>
        <v>2.1189130251336421E-2</v>
      </c>
      <c r="I75">
        <f t="shared" si="19"/>
        <v>2.2031260353233478E-2</v>
      </c>
      <c r="J75">
        <f t="shared" si="20"/>
        <v>2.2031260353234081E-2</v>
      </c>
    </row>
    <row r="76" spans="1:10" x14ac:dyDescent="0.3">
      <c r="A76" s="8">
        <f t="shared" si="15"/>
        <v>1.4230769230767208</v>
      </c>
      <c r="B76">
        <f t="shared" si="16"/>
        <v>61.423076923076721</v>
      </c>
      <c r="C76">
        <f t="shared" si="11"/>
        <v>1.7202958076556748E-2</v>
      </c>
      <c r="D76">
        <f t="shared" si="12"/>
        <v>1.7202958076556749E-3</v>
      </c>
      <c r="E76">
        <f t="shared" si="13"/>
        <v>1.6870882134444046E-2</v>
      </c>
      <c r="F76" s="9">
        <f t="shared" si="14"/>
        <v>1.6870882134444046E-2</v>
      </c>
      <c r="G76">
        <f t="shared" si="17"/>
        <v>0.9561546900062593</v>
      </c>
      <c r="H76">
        <f t="shared" si="18"/>
        <v>2.1497275056909869E-2</v>
      </c>
      <c r="I76">
        <f t="shared" si="19"/>
        <v>2.2348034936830175E-2</v>
      </c>
      <c r="J76">
        <f t="shared" si="20"/>
        <v>2.2348034936830831E-2</v>
      </c>
    </row>
    <row r="77" spans="1:10" x14ac:dyDescent="0.3">
      <c r="A77" s="8">
        <f t="shared" si="15"/>
        <v>1.4423076923074873</v>
      </c>
      <c r="B77">
        <f t="shared" si="16"/>
        <v>61.442307692307487</v>
      </c>
      <c r="C77">
        <f t="shared" si="11"/>
        <v>1.7247659984282983E-2</v>
      </c>
      <c r="D77">
        <f t="shared" si="12"/>
        <v>1.7247659984282984E-3</v>
      </c>
      <c r="E77">
        <f t="shared" si="13"/>
        <v>1.6898451850872291E-2</v>
      </c>
      <c r="F77" s="9">
        <f t="shared" si="14"/>
        <v>1.6898451850872291E-2</v>
      </c>
      <c r="G77">
        <f t="shared" si="17"/>
        <v>0.95552886538218018</v>
      </c>
      <c r="H77">
        <f t="shared" si="18"/>
        <v>2.1805910237314246E-2</v>
      </c>
      <c r="I77">
        <f t="shared" si="19"/>
        <v>2.2665224380504952E-2</v>
      </c>
      <c r="J77">
        <f t="shared" si="20"/>
        <v>2.2665224380505573E-2</v>
      </c>
    </row>
    <row r="78" spans="1:10" x14ac:dyDescent="0.3">
      <c r="A78" s="8">
        <f t="shared" si="15"/>
        <v>1.4615384615382538</v>
      </c>
      <c r="B78">
        <f t="shared" si="16"/>
        <v>61.461538461538254</v>
      </c>
      <c r="C78">
        <f t="shared" si="11"/>
        <v>1.7292480815150297E-2</v>
      </c>
      <c r="D78">
        <f t="shared" si="12"/>
        <v>1.7292480815150298E-3</v>
      </c>
      <c r="E78">
        <f t="shared" si="13"/>
        <v>1.6926067996641224E-2</v>
      </c>
      <c r="F78" s="9">
        <f t="shared" si="14"/>
        <v>1.6926067996641224E-2</v>
      </c>
      <c r="G78">
        <f t="shared" si="17"/>
        <v>0.95490213489359332</v>
      </c>
      <c r="H78">
        <f t="shared" si="18"/>
        <v>2.2115036021132087E-2</v>
      </c>
      <c r="I78">
        <f t="shared" si="19"/>
        <v>2.2982829085273972E-2</v>
      </c>
      <c r="J78">
        <f t="shared" si="20"/>
        <v>2.2982829085274589E-2</v>
      </c>
    </row>
    <row r="79" spans="1:10" x14ac:dyDescent="0.3">
      <c r="A79" s="8">
        <f t="shared" si="15"/>
        <v>1.4807692307690203</v>
      </c>
      <c r="B79">
        <f t="shared" si="16"/>
        <v>61.48076923076902</v>
      </c>
      <c r="C79">
        <f t="shared" si="11"/>
        <v>1.7337420885537042E-2</v>
      </c>
      <c r="D79">
        <f t="shared" si="12"/>
        <v>1.7337420885537042E-3</v>
      </c>
      <c r="E79">
        <f t="shared" si="13"/>
        <v>1.6953730649941101E-2</v>
      </c>
      <c r="F79" s="9">
        <f t="shared" si="14"/>
        <v>1.6953730649941101E-2</v>
      </c>
      <c r="G79">
        <f t="shared" si="17"/>
        <v>0.95427449791417551</v>
      </c>
      <c r="H79">
        <f t="shared" si="18"/>
        <v>2.2424652633842461E-2</v>
      </c>
      <c r="I79">
        <f t="shared" si="19"/>
        <v>2.3300849451981447E-2</v>
      </c>
      <c r="J79">
        <f t="shared" si="20"/>
        <v>2.3300849451982027E-2</v>
      </c>
    </row>
    <row r="80" spans="1:10" x14ac:dyDescent="0.3">
      <c r="A80" s="8">
        <f t="shared" si="15"/>
        <v>1.4999999999997868</v>
      </c>
      <c r="B80">
        <f t="shared" si="16"/>
        <v>61.499999999999787</v>
      </c>
      <c r="C80">
        <f t="shared" si="11"/>
        <v>1.7382480512663143E-2</v>
      </c>
      <c r="D80">
        <f t="shared" si="12"/>
        <v>1.7382480512663145E-3</v>
      </c>
      <c r="E80">
        <f t="shared" si="13"/>
        <v>1.6981439889093904E-2</v>
      </c>
      <c r="F80" s="9">
        <f t="shared" si="14"/>
        <v>1.6981439889093904E-2</v>
      </c>
      <c r="G80">
        <f t="shared" si="17"/>
        <v>0.95364595382090001</v>
      </c>
      <c r="H80">
        <f t="shared" si="18"/>
        <v>2.273476029780222E-2</v>
      </c>
      <c r="I80">
        <f t="shared" si="19"/>
        <v>2.3619285881297167E-2</v>
      </c>
      <c r="J80">
        <f t="shared" si="20"/>
        <v>2.3619285881297775E-2</v>
      </c>
    </row>
    <row r="81" spans="1:10" x14ac:dyDescent="0.3">
      <c r="A81" s="8">
        <f t="shared" si="15"/>
        <v>1.5192307692305533</v>
      </c>
      <c r="B81">
        <f t="shared" si="16"/>
        <v>61.519230769230553</v>
      </c>
      <c r="C81">
        <f t="shared" si="11"/>
        <v>1.7427660014592523E-2</v>
      </c>
      <c r="D81">
        <f t="shared" si="12"/>
        <v>1.7427660014592524E-3</v>
      </c>
      <c r="E81">
        <f t="shared" si="13"/>
        <v>1.7009195792553465E-2</v>
      </c>
      <c r="F81" s="9">
        <f t="shared" si="14"/>
        <v>1.7009195792553465E-2</v>
      </c>
      <c r="G81">
        <f t="shared" si="17"/>
        <v>0.95301650199405818</v>
      </c>
      <c r="H81">
        <f t="shared" si="18"/>
        <v>2.3045359232227183E-2</v>
      </c>
      <c r="I81">
        <f t="shared" si="19"/>
        <v>2.3938138773714038E-2</v>
      </c>
      <c r="J81">
        <f t="shared" si="20"/>
        <v>2.3938138773714632E-2</v>
      </c>
    </row>
    <row r="82" spans="1:10" x14ac:dyDescent="0.3">
      <c r="A82" s="8">
        <f t="shared" si="15"/>
        <v>1.5384615384613198</v>
      </c>
      <c r="B82">
        <f t="shared" si="16"/>
        <v>61.53846153846132</v>
      </c>
      <c r="C82">
        <f t="shared" si="11"/>
        <v>1.747295971023528E-2</v>
      </c>
      <c r="D82">
        <f t="shared" si="12"/>
        <v>1.7472959710235281E-3</v>
      </c>
      <c r="E82">
        <f t="shared" si="13"/>
        <v>1.7036998438905764E-2</v>
      </c>
      <c r="F82" s="9">
        <f t="shared" si="14"/>
        <v>1.7036998438905764E-2</v>
      </c>
      <c r="G82">
        <f t="shared" si="17"/>
        <v>0.95238614181728054</v>
      </c>
      <c r="H82">
        <f t="shared" si="18"/>
        <v>2.3356449653173274E-2</v>
      </c>
      <c r="I82">
        <f t="shared" si="19"/>
        <v>2.4257408529545617E-2</v>
      </c>
      <c r="J82">
        <f t="shared" si="20"/>
        <v>2.4257408529546186E-2</v>
      </c>
    </row>
    <row r="83" spans="1:10" x14ac:dyDescent="0.3">
      <c r="A83" s="8">
        <f t="shared" si="15"/>
        <v>1.5576923076920863</v>
      </c>
      <c r="B83">
        <f t="shared" si="16"/>
        <v>61.557692307692086</v>
      </c>
      <c r="C83">
        <f t="shared" si="11"/>
        <v>1.7518379919349826E-2</v>
      </c>
      <c r="D83">
        <f t="shared" si="12"/>
        <v>1.7518379919349827E-3</v>
      </c>
      <c r="E83">
        <f t="shared" si="13"/>
        <v>1.7064847906869098E-2</v>
      </c>
      <c r="F83" s="9">
        <f t="shared" si="14"/>
        <v>1.7064847906869098E-2</v>
      </c>
      <c r="G83">
        <f t="shared" si="17"/>
        <v>0.95175487267755821</v>
      </c>
      <c r="H83">
        <f t="shared" si="18"/>
        <v>2.3668031773517579E-2</v>
      </c>
      <c r="I83">
        <f t="shared" si="19"/>
        <v>2.4577095548923615E-2</v>
      </c>
      <c r="J83">
        <f t="shared" si="20"/>
        <v>2.4577095548924215E-2</v>
      </c>
    </row>
    <row r="84" spans="1:10" x14ac:dyDescent="0.3">
      <c r="A84" s="8">
        <f t="shared" si="15"/>
        <v>1.5769230769228528</v>
      </c>
      <c r="B84">
        <f t="shared" si="16"/>
        <v>61.576923076922853</v>
      </c>
      <c r="C84">
        <f t="shared" si="11"/>
        <v>1.756392096254537E-2</v>
      </c>
      <c r="D84">
        <f t="shared" si="12"/>
        <v>1.7563920962545372E-3</v>
      </c>
      <c r="E84">
        <f t="shared" si="13"/>
        <v>1.7092744275294388E-2</v>
      </c>
      <c r="F84" s="9">
        <f t="shared" si="14"/>
        <v>1.7092744275294388E-2</v>
      </c>
      <c r="G84">
        <f t="shared" si="17"/>
        <v>0.95112269396526461</v>
      </c>
      <c r="H84">
        <f t="shared" si="18"/>
        <v>2.3980105802939362E-2</v>
      </c>
      <c r="I84">
        <f t="shared" si="19"/>
        <v>2.4897200231795424E-2</v>
      </c>
      <c r="J84">
        <f t="shared" si="20"/>
        <v>2.4897200231796028E-2</v>
      </c>
    </row>
    <row r="85" spans="1:10" x14ac:dyDescent="0.3">
      <c r="A85" s="8">
        <f t="shared" si="15"/>
        <v>1.5961538461536193</v>
      </c>
      <c r="B85">
        <f t="shared" si="16"/>
        <v>61.596153846153619</v>
      </c>
      <c r="C85">
        <f t="shared" si="11"/>
        <v>1.7609583161283936E-2</v>
      </c>
      <c r="D85">
        <f t="shared" si="12"/>
        <v>1.7609583161283936E-3</v>
      </c>
      <c r="E85">
        <f t="shared" si="13"/>
        <v>1.7120687623165286E-2</v>
      </c>
      <c r="F85" s="9">
        <f t="shared" si="14"/>
        <v>1.7120687623165286E-2</v>
      </c>
      <c r="G85">
        <f t="shared" si="17"/>
        <v>0.95048960507417679</v>
      </c>
      <c r="H85">
        <f t="shared" si="18"/>
        <v>2.4292671947901003E-2</v>
      </c>
      <c r="I85">
        <f t="shared" si="19"/>
        <v>2.5217722977921606E-2</v>
      </c>
      <c r="J85">
        <f t="shared" si="20"/>
        <v>2.5217722977922206E-2</v>
      </c>
    </row>
    <row r="86" spans="1:10" x14ac:dyDescent="0.3">
      <c r="A86" s="8">
        <f t="shared" si="15"/>
        <v>1.6153846153843858</v>
      </c>
      <c r="B86">
        <f t="shared" si="16"/>
        <v>61.615384615384386</v>
      </c>
      <c r="C86">
        <f t="shared" si="11"/>
        <v>1.7655366837882876E-2</v>
      </c>
      <c r="D86">
        <f t="shared" si="12"/>
        <v>1.7655366837882878E-3</v>
      </c>
      <c r="E86">
        <f t="shared" si="13"/>
        <v>1.7148678029598491E-2</v>
      </c>
      <c r="F86" s="9">
        <f t="shared" si="14"/>
        <v>1.7148678029598491E-2</v>
      </c>
      <c r="G86">
        <f t="shared" si="17"/>
        <v>0.94985560540149716</v>
      </c>
      <c r="H86">
        <f t="shared" si="18"/>
        <v>2.4605730411628886E-2</v>
      </c>
      <c r="I86">
        <f t="shared" si="19"/>
        <v>2.5538664186873391E-2</v>
      </c>
      <c r="J86">
        <f t="shared" si="20"/>
        <v>2.5538664186873953E-2</v>
      </c>
    </row>
    <row r="87" spans="1:10" x14ac:dyDescent="0.3">
      <c r="A87" s="8">
        <f t="shared" si="15"/>
        <v>1.6346153846151523</v>
      </c>
      <c r="B87">
        <f t="shared" si="16"/>
        <v>61.634615384615152</v>
      </c>
      <c r="C87">
        <f t="shared" si="11"/>
        <v>1.7701272315516905E-2</v>
      </c>
      <c r="D87">
        <f t="shared" si="12"/>
        <v>1.7701272315516906E-3</v>
      </c>
      <c r="E87">
        <f t="shared" si="13"/>
        <v>1.7176715573843905E-2</v>
      </c>
      <c r="F87" s="9">
        <f t="shared" si="14"/>
        <v>1.7176715573843905E-2</v>
      </c>
      <c r="G87">
        <f t="shared" si="17"/>
        <v>0.94922069434787504</v>
      </c>
      <c r="H87">
        <f t="shared" si="18"/>
        <v>2.4919281394094224E-2</v>
      </c>
      <c r="I87">
        <f t="shared" si="19"/>
        <v>2.5860024258030155E-2</v>
      </c>
      <c r="J87">
        <f t="shared" si="20"/>
        <v>2.5860024258030738E-2</v>
      </c>
    </row>
    <row r="88" spans="1:10" x14ac:dyDescent="0.3">
      <c r="A88" s="8">
        <f t="shared" si="15"/>
        <v>1.6538461538459188</v>
      </c>
      <c r="B88">
        <f t="shared" si="16"/>
        <v>61.653846153845919</v>
      </c>
      <c r="C88">
        <f t="shared" si="11"/>
        <v>1.7747299918220574E-2</v>
      </c>
      <c r="D88">
        <f t="shared" si="12"/>
        <v>1.7747299918220575E-3</v>
      </c>
      <c r="E88">
        <f t="shared" si="13"/>
        <v>1.7204800335284955E-2</v>
      </c>
      <c r="F88" s="9">
        <f t="shared" si="14"/>
        <v>1.7204800335284955E-2</v>
      </c>
      <c r="G88">
        <f t="shared" si="17"/>
        <v>0.94858487131742875</v>
      </c>
      <c r="H88">
        <f t="shared" si="18"/>
        <v>2.5233325091993809E-2</v>
      </c>
      <c r="I88">
        <f t="shared" si="19"/>
        <v>2.6181803590576907E-2</v>
      </c>
      <c r="J88">
        <f t="shared" si="20"/>
        <v>2.6181803590577445E-2</v>
      </c>
    </row>
    <row r="89" spans="1:10" x14ac:dyDescent="0.3">
      <c r="A89" s="8">
        <f t="shared" si="15"/>
        <v>1.6730769230766853</v>
      </c>
      <c r="B89">
        <f t="shared" si="16"/>
        <v>61.673076923076685</v>
      </c>
      <c r="C89">
        <f t="shared" si="11"/>
        <v>1.7793449970890496E-2</v>
      </c>
      <c r="D89">
        <f t="shared" si="12"/>
        <v>1.7793449970890498E-3</v>
      </c>
      <c r="E89">
        <f t="shared" si="13"/>
        <v>1.7232932393438698E-2</v>
      </c>
      <c r="F89" s="9">
        <f t="shared" si="14"/>
        <v>1.7232932393438698E-2</v>
      </c>
      <c r="G89">
        <f t="shared" si="17"/>
        <v>0.94794813571776704</v>
      </c>
      <c r="H89">
        <f t="shared" si="18"/>
        <v>2.5547861698730728E-2</v>
      </c>
      <c r="I89">
        <f t="shared" si="19"/>
        <v>2.6504002583501742E-2</v>
      </c>
      <c r="J89">
        <f t="shared" si="20"/>
        <v>2.6504002583502235E-2</v>
      </c>
    </row>
    <row r="90" spans="1:10" x14ac:dyDescent="0.3">
      <c r="A90" s="8">
        <f t="shared" si="15"/>
        <v>1.6923076923074518</v>
      </c>
      <c r="B90">
        <f t="shared" si="16"/>
        <v>61.692307692307452</v>
      </c>
      <c r="C90">
        <f t="shared" si="11"/>
        <v>1.7839722799287531E-2</v>
      </c>
      <c r="D90">
        <f t="shared" si="12"/>
        <v>1.7839722799287531E-3</v>
      </c>
      <c r="E90">
        <f t="shared" si="13"/>
        <v>1.7261111827956116E-2</v>
      </c>
      <c r="F90" s="9">
        <f t="shared" si="14"/>
        <v>1.7261111827956116E-2</v>
      </c>
      <c r="G90">
        <f t="shared" si="17"/>
        <v>0.94731048696001119</v>
      </c>
      <c r="H90">
        <f t="shared" si="18"/>
        <v>2.5862891404394996E-2</v>
      </c>
      <c r="I90">
        <f t="shared" si="19"/>
        <v>2.6826621635593313E-2</v>
      </c>
      <c r="J90">
        <f t="shared" si="20"/>
        <v>2.6826621635593816E-2</v>
      </c>
    </row>
    <row r="91" spans="1:10" x14ac:dyDescent="0.3">
      <c r="A91" s="8">
        <f t="shared" si="15"/>
        <v>1.7115384615382183</v>
      </c>
      <c r="B91">
        <f t="shared" si="16"/>
        <v>61.711538461538218</v>
      </c>
      <c r="C91">
        <f t="shared" si="11"/>
        <v>1.7886118730039306E-2</v>
      </c>
      <c r="D91">
        <f t="shared" si="12"/>
        <v>1.7886118730039307E-3</v>
      </c>
      <c r="E91">
        <f t="shared" si="13"/>
        <v>1.7289338718622354E-2</v>
      </c>
      <c r="F91" s="9">
        <f t="shared" si="14"/>
        <v>1.7289338718622354E-2</v>
      </c>
      <c r="G91">
        <f t="shared" si="17"/>
        <v>0.94667192445881709</v>
      </c>
      <c r="H91">
        <f t="shared" si="18"/>
        <v>2.6178414395744129E-2</v>
      </c>
      <c r="I91">
        <f t="shared" si="19"/>
        <v>2.7149661145438271E-2</v>
      </c>
      <c r="J91">
        <f t="shared" si="20"/>
        <v>2.7149661145438778E-2</v>
      </c>
    </row>
    <row r="92" spans="1:10" x14ac:dyDescent="0.3">
      <c r="A92" s="8">
        <f t="shared" si="15"/>
        <v>1.7307692307689848</v>
      </c>
      <c r="B92">
        <f t="shared" si="16"/>
        <v>61.730769230768985</v>
      </c>
      <c r="C92">
        <f t="shared" si="11"/>
        <v>1.7932638090642258E-2</v>
      </c>
      <c r="D92">
        <f t="shared" si="12"/>
        <v>1.793263809064226E-3</v>
      </c>
      <c r="E92">
        <f t="shared" si="13"/>
        <v>1.7317613145356903E-2</v>
      </c>
      <c r="F92" s="9">
        <f t="shared" si="14"/>
        <v>1.7317613145356903E-2</v>
      </c>
      <c r="G92">
        <f t="shared" si="17"/>
        <v>0.94603244763239713</v>
      </c>
      <c r="H92">
        <f t="shared" si="18"/>
        <v>2.6494430856183668E-2</v>
      </c>
      <c r="I92">
        <f t="shared" si="19"/>
        <v>2.7473121511418713E-2</v>
      </c>
      <c r="J92">
        <f t="shared" si="20"/>
        <v>2.7473121511419198E-2</v>
      </c>
    </row>
    <row r="93" spans="1:10" x14ac:dyDescent="0.3">
      <c r="A93" s="8">
        <f t="shared" si="15"/>
        <v>1.7499999999997513</v>
      </c>
      <c r="B93">
        <f t="shared" si="16"/>
        <v>61.749999999999751</v>
      </c>
      <c r="C93">
        <f t="shared" si="11"/>
        <v>1.7979281209464223E-2</v>
      </c>
      <c r="D93">
        <f t="shared" si="12"/>
        <v>1.7979281209464224E-3</v>
      </c>
      <c r="E93">
        <f t="shared" si="13"/>
        <v>1.734593518821383E-2</v>
      </c>
      <c r="F93" s="9">
        <f t="shared" si="14"/>
        <v>1.734593518821383E-2</v>
      </c>
      <c r="G93">
        <f t="shared" si="17"/>
        <v>0.94539205590254227</v>
      </c>
      <c r="H93">
        <f t="shared" si="18"/>
        <v>2.6810940965747636E-2</v>
      </c>
      <c r="I93">
        <f t="shared" si="19"/>
        <v>2.7797003131709613E-2</v>
      </c>
      <c r="J93">
        <f t="shared" si="20"/>
        <v>2.7797003131710091E-2</v>
      </c>
    </row>
    <row r="94" spans="1:10" x14ac:dyDescent="0.3">
      <c r="A94" s="8">
        <f t="shared" si="15"/>
        <v>1.7692307692305178</v>
      </c>
      <c r="B94">
        <f t="shared" si="16"/>
        <v>61.769230769230518</v>
      </c>
      <c r="C94">
        <f t="shared" si="11"/>
        <v>1.8026048415746482E-2</v>
      </c>
      <c r="D94">
        <f t="shared" si="12"/>
        <v>1.8026048415746483E-3</v>
      </c>
      <c r="E94">
        <f t="shared" si="13"/>
        <v>1.7374304927382022E-2</v>
      </c>
      <c r="F94" s="9">
        <f t="shared" si="14"/>
        <v>1.7374304927382022E-2</v>
      </c>
      <c r="G94">
        <f t="shared" si="17"/>
        <v>0.94475074869464437</v>
      </c>
      <c r="H94">
        <f t="shared" si="18"/>
        <v>2.7127944901078928E-2</v>
      </c>
      <c r="I94">
        <f t="shared" si="19"/>
        <v>2.812130640427624E-2</v>
      </c>
      <c r="J94">
        <f t="shared" si="20"/>
        <v>2.8121306404276701E-2</v>
      </c>
    </row>
    <row r="95" spans="1:10" x14ac:dyDescent="0.3">
      <c r="A95" s="8">
        <f t="shared" si="15"/>
        <v>1.7884615384612843</v>
      </c>
      <c r="B95">
        <f t="shared" si="16"/>
        <v>61.788461538461284</v>
      </c>
      <c r="C95">
        <f t="shared" si="11"/>
        <v>1.8072940039606303E-2</v>
      </c>
      <c r="D95">
        <f t="shared" si="12"/>
        <v>1.8072940039606305E-3</v>
      </c>
      <c r="E95">
        <f t="shared" si="13"/>
        <v>1.7402722443185456E-2</v>
      </c>
      <c r="F95" s="9">
        <f t="shared" si="14"/>
        <v>1.7402722443185456E-2</v>
      </c>
      <c r="G95">
        <f t="shared" si="17"/>
        <v>0.94410852543771828</v>
      </c>
      <c r="H95">
        <f t="shared" si="18"/>
        <v>2.7445442835409641E-2</v>
      </c>
      <c r="I95">
        <f t="shared" si="19"/>
        <v>2.844603172687158E-2</v>
      </c>
      <c r="J95">
        <f t="shared" si="20"/>
        <v>2.8446031726872077E-2</v>
      </c>
    </row>
    <row r="96" spans="1:10" x14ac:dyDescent="0.3">
      <c r="A96" s="8">
        <f t="shared" si="15"/>
        <v>1.8076923076920508</v>
      </c>
      <c r="B96">
        <f t="shared" si="16"/>
        <v>61.807692307692051</v>
      </c>
      <c r="C96">
        <f t="shared" si="11"/>
        <v>1.8119956412039204E-2</v>
      </c>
      <c r="D96">
        <f t="shared" si="12"/>
        <v>1.8119956412039205E-3</v>
      </c>
      <c r="E96">
        <f t="shared" si="13"/>
        <v>1.7431187816083323E-2</v>
      </c>
      <c r="F96" s="9">
        <f t="shared" si="14"/>
        <v>1.7431187816083323E-2</v>
      </c>
      <c r="G96">
        <f t="shared" si="17"/>
        <v>0.94346538556442439</v>
      </c>
      <c r="H96">
        <f t="shared" si="18"/>
        <v>2.7763434938541363E-2</v>
      </c>
      <c r="I96">
        <f t="shared" si="19"/>
        <v>2.8771179497033748E-2</v>
      </c>
      <c r="J96">
        <f t="shared" si="20"/>
        <v>2.8771179497034251E-2</v>
      </c>
    </row>
    <row r="97" spans="1:10" x14ac:dyDescent="0.3">
      <c r="A97" s="8">
        <f t="shared" si="15"/>
        <v>1.8269230769228173</v>
      </c>
      <c r="B97">
        <f t="shared" si="16"/>
        <v>61.826923076922817</v>
      </c>
      <c r="C97">
        <f t="shared" si="11"/>
        <v>1.8167097864921149E-2</v>
      </c>
      <c r="D97">
        <f t="shared" si="12"/>
        <v>1.816709786492115E-3</v>
      </c>
      <c r="E97">
        <f t="shared" si="13"/>
        <v>1.7459701126670335E-2</v>
      </c>
      <c r="F97" s="9">
        <f t="shared" si="14"/>
        <v>1.7459701126670335E-2</v>
      </c>
      <c r="G97">
        <f t="shared" si="17"/>
        <v>0.94282132851109079</v>
      </c>
      <c r="H97">
        <f t="shared" si="18"/>
        <v>2.8081921376825369E-2</v>
      </c>
      <c r="I97">
        <f t="shared" si="19"/>
        <v>2.9096750112083368E-2</v>
      </c>
      <c r="J97">
        <f t="shared" si="20"/>
        <v>2.9096750112083836E-2</v>
      </c>
    </row>
    <row r="98" spans="1:10" x14ac:dyDescent="0.3">
      <c r="A98" s="8">
        <f t="shared" si="15"/>
        <v>1.8461538461535838</v>
      </c>
      <c r="B98">
        <f t="shared" si="16"/>
        <v>61.846153846153584</v>
      </c>
      <c r="C98">
        <f t="shared" si="11"/>
        <v>1.8214364731011158E-2</v>
      </c>
      <c r="D98">
        <f t="shared" si="12"/>
        <v>1.8214364731011159E-3</v>
      </c>
      <c r="E98">
        <f t="shared" si="13"/>
        <v>1.7488262455676921E-2</v>
      </c>
      <c r="F98" s="9">
        <f t="shared" si="14"/>
        <v>1.7488262455676921E-2</v>
      </c>
      <c r="G98">
        <f t="shared" si="17"/>
        <v>0.94217635371773578</v>
      </c>
      <c r="H98">
        <f t="shared" si="18"/>
        <v>2.8400902313142774E-2</v>
      </c>
      <c r="I98">
        <f t="shared" si="19"/>
        <v>2.9422743969120983E-2</v>
      </c>
      <c r="J98">
        <f t="shared" si="20"/>
        <v>2.9422743969121444E-2</v>
      </c>
    </row>
    <row r="99" spans="1:10" x14ac:dyDescent="0.3">
      <c r="A99" s="8">
        <f t="shared" si="15"/>
        <v>1.8653846153843503</v>
      </c>
      <c r="B99">
        <f t="shared" si="16"/>
        <v>61.86538461538435</v>
      </c>
      <c r="C99">
        <f t="shared" si="11"/>
        <v>1.826175734395338E-2</v>
      </c>
      <c r="D99">
        <f t="shared" si="12"/>
        <v>1.8261757343953381E-3</v>
      </c>
      <c r="E99">
        <f t="shared" si="13"/>
        <v>1.7516871883969498E-2</v>
      </c>
      <c r="F99" s="9">
        <f t="shared" si="14"/>
        <v>1.7516871883969498E-2</v>
      </c>
      <c r="G99">
        <f t="shared" si="17"/>
        <v>0.94153046062809054</v>
      </c>
      <c r="H99">
        <f t="shared" si="18"/>
        <v>2.8720377906884632E-2</v>
      </c>
      <c r="I99">
        <f t="shared" si="19"/>
        <v>2.9749161465024421E-2</v>
      </c>
      <c r="J99">
        <f t="shared" si="20"/>
        <v>2.9749161465024831E-2</v>
      </c>
    </row>
    <row r="100" spans="1:10" x14ac:dyDescent="0.3">
      <c r="A100" s="8">
        <f t="shared" si="15"/>
        <v>1.8846153846151168</v>
      </c>
      <c r="B100">
        <f t="shared" si="16"/>
        <v>61.884615384615117</v>
      </c>
      <c r="C100">
        <f t="shared" si="11"/>
        <v>1.8309276038279695E-2</v>
      </c>
      <c r="D100">
        <f t="shared" si="12"/>
        <v>1.8309276038279696E-3</v>
      </c>
      <c r="E100">
        <f t="shared" si="13"/>
        <v>1.754552949255064E-2</v>
      </c>
      <c r="F100" s="9">
        <f t="shared" si="14"/>
        <v>1.754552949255064E-2</v>
      </c>
      <c r="G100">
        <f t="shared" si="17"/>
        <v>0.94088364868962149</v>
      </c>
      <c r="H100">
        <f t="shared" si="18"/>
        <v>2.904034831393195E-2</v>
      </c>
      <c r="I100">
        <f t="shared" si="19"/>
        <v>3.0076002996446173E-2</v>
      </c>
      <c r="J100">
        <f t="shared" si="20"/>
        <v>3.0076002996446562E-2</v>
      </c>
    </row>
    <row r="101" spans="1:10" x14ac:dyDescent="0.3">
      <c r="A101" s="8">
        <f t="shared" si="15"/>
        <v>1.9038461538458833</v>
      </c>
      <c r="B101">
        <f t="shared" si="16"/>
        <v>61.903846153845883</v>
      </c>
      <c r="C101">
        <f t="shared" si="11"/>
        <v>1.8356921149411839E-2</v>
      </c>
      <c r="D101">
        <f t="shared" si="12"/>
        <v>1.8356921149411841E-3</v>
      </c>
      <c r="E101">
        <f t="shared" si="13"/>
        <v>1.7574235362559327E-2</v>
      </c>
      <c r="F101" s="9">
        <f t="shared" si="14"/>
        <v>1.7574235362559327E-2</v>
      </c>
      <c r="G101">
        <f t="shared" si="17"/>
        <v>0.94023591735355316</v>
      </c>
      <c r="H101">
        <f t="shared" si="18"/>
        <v>2.9360813686635668E-2</v>
      </c>
      <c r="I101">
        <f t="shared" si="19"/>
        <v>3.0403268959810759E-2</v>
      </c>
      <c r="J101">
        <f t="shared" si="20"/>
        <v>3.0403268959811169E-2</v>
      </c>
    </row>
    <row r="102" spans="1:10" x14ac:dyDescent="0.3">
      <c r="A102" s="8">
        <f t="shared" si="15"/>
        <v>1.9230769230766498</v>
      </c>
      <c r="B102">
        <f t="shared" si="16"/>
        <v>61.92307692307665</v>
      </c>
      <c r="C102">
        <f t="shared" si="11"/>
        <v>1.8404693013663979E-2</v>
      </c>
      <c r="D102">
        <f t="shared" si="12"/>
        <v>1.8404693013663979E-3</v>
      </c>
      <c r="E102">
        <f t="shared" si="13"/>
        <v>1.7602989575271191E-2</v>
      </c>
      <c r="F102" s="9">
        <f t="shared" si="14"/>
        <v>1.7602989575271191E-2</v>
      </c>
      <c r="G102">
        <f t="shared" si="17"/>
        <v>0.93958726607489096</v>
      </c>
      <c r="H102">
        <f t="shared" si="18"/>
        <v>2.9681774173796555E-2</v>
      </c>
      <c r="I102">
        <f t="shared" si="19"/>
        <v>3.0730959751312074E-2</v>
      </c>
      <c r="J102">
        <f t="shared" si="20"/>
        <v>3.0730959751312487E-2</v>
      </c>
    </row>
    <row r="103" spans="1:10" x14ac:dyDescent="0.3">
      <c r="A103" s="8">
        <f t="shared" si="15"/>
        <v>1.9423076923074163</v>
      </c>
      <c r="B103">
        <f t="shared" si="16"/>
        <v>61.942307692307416</v>
      </c>
      <c r="C103">
        <f t="shared" si="11"/>
        <v>1.8452591968245013E-2</v>
      </c>
      <c r="D103">
        <f t="shared" si="12"/>
        <v>1.8452591968245013E-3</v>
      </c>
      <c r="E103">
        <f t="shared" si="13"/>
        <v>1.7631792212098769E-2</v>
      </c>
      <c r="F103" s="9">
        <f t="shared" si="14"/>
        <v>1.7631792212098769E-2</v>
      </c>
      <c r="G103">
        <f t="shared" si="17"/>
        <v>0.93893769431244378</v>
      </c>
      <c r="H103">
        <f t="shared" si="18"/>
        <v>3.000322992064506E-2</v>
      </c>
      <c r="I103">
        <f t="shared" si="19"/>
        <v>3.1059075766910742E-2</v>
      </c>
      <c r="J103">
        <f t="shared" si="20"/>
        <v>3.1059075766911158E-2</v>
      </c>
    </row>
    <row r="104" spans="1:10" x14ac:dyDescent="0.3">
      <c r="A104" s="8">
        <f t="shared" si="15"/>
        <v>1.9615384615381828</v>
      </c>
      <c r="B104">
        <f t="shared" si="16"/>
        <v>61.961538461538183</v>
      </c>
      <c r="C104">
        <f t="shared" si="11"/>
        <v>1.8500618351260822E-2</v>
      </c>
      <c r="D104">
        <f t="shared" si="12"/>
        <v>1.8500618351260823E-3</v>
      </c>
      <c r="E104">
        <f t="shared" si="13"/>
        <v>1.7660643354591665E-2</v>
      </c>
      <c r="F104" s="9">
        <f t="shared" si="14"/>
        <v>1.7660643354591665E-2</v>
      </c>
      <c r="G104">
        <f t="shared" si="17"/>
        <v>0.93828720152884704</v>
      </c>
      <c r="H104">
        <f t="shared" si="18"/>
        <v>3.0325181068821101E-2</v>
      </c>
      <c r="I104">
        <f t="shared" si="19"/>
        <v>3.1387617402331446E-2</v>
      </c>
      <c r="J104">
        <f t="shared" si="20"/>
        <v>3.1387617402331862E-2</v>
      </c>
    </row>
    <row r="105" spans="1:10" x14ac:dyDescent="0.3">
      <c r="A105" s="8">
        <f t="shared" si="15"/>
        <v>1.9807692307689493</v>
      </c>
      <c r="B105">
        <f t="shared" si="16"/>
        <v>61.980769230768949</v>
      </c>
      <c r="C105">
        <f t="shared" si="11"/>
        <v>1.8548772501716909E-2</v>
      </c>
      <c r="D105">
        <f t="shared" si="12"/>
        <v>1.8548772501716911E-3</v>
      </c>
      <c r="E105">
        <f t="shared" si="13"/>
        <v>1.7689543084436807E-2</v>
      </c>
      <c r="F105" s="9">
        <f t="shared" si="14"/>
        <v>1.7689543084436807E-2</v>
      </c>
      <c r="G105">
        <f t="shared" si="17"/>
        <v>0.93763578719058549</v>
      </c>
      <c r="H105">
        <f t="shared" si="18"/>
        <v>3.0647627756353778E-2</v>
      </c>
      <c r="I105">
        <f t="shared" si="19"/>
        <v>3.171658505306027E-2</v>
      </c>
      <c r="J105">
        <f t="shared" si="20"/>
        <v>3.1716585053060728E-2</v>
      </c>
    </row>
    <row r="106" spans="1:10" x14ac:dyDescent="0.3">
      <c r="A106" s="8">
        <f t="shared" si="15"/>
        <v>1.9999999999997158</v>
      </c>
      <c r="B106">
        <f t="shared" si="16"/>
        <v>61.999999999999716</v>
      </c>
      <c r="C106">
        <f t="shared" si="11"/>
        <v>1.8597054759520521E-2</v>
      </c>
      <c r="D106">
        <f t="shared" si="12"/>
        <v>1.8597054759520522E-3</v>
      </c>
      <c r="E106">
        <f t="shared" si="13"/>
        <v>1.7718491483458748E-2</v>
      </c>
      <c r="F106" s="9">
        <f t="shared" si="14"/>
        <v>1.7718491483458748E-2</v>
      </c>
      <c r="G106">
        <f t="shared" si="17"/>
        <v>0.93698345076801648</v>
      </c>
      <c r="H106">
        <f t="shared" si="18"/>
        <v>3.0970570117641042E-2</v>
      </c>
      <c r="I106">
        <f t="shared" si="19"/>
        <v>3.2045979114341989E-2</v>
      </c>
      <c r="J106">
        <f t="shared" si="20"/>
        <v>3.2045979114342482E-2</v>
      </c>
    </row>
    <row r="107" spans="1:10" x14ac:dyDescent="0.3">
      <c r="A107" s="8">
        <f t="shared" si="15"/>
        <v>2.0192307692304823</v>
      </c>
      <c r="B107">
        <f t="shared" si="16"/>
        <v>62.019230769230482</v>
      </c>
      <c r="C107">
        <f t="shared" si="11"/>
        <v>1.8645465465483315E-2</v>
      </c>
      <c r="D107">
        <f t="shared" si="12"/>
        <v>1.8645465465483317E-3</v>
      </c>
      <c r="E107">
        <f t="shared" si="13"/>
        <v>1.7747488633619787E-2</v>
      </c>
      <c r="F107" s="9">
        <f t="shared" si="14"/>
        <v>1.7747488633619787E-2</v>
      </c>
      <c r="G107">
        <f t="shared" si="17"/>
        <v>0.93633019173539278</v>
      </c>
      <c r="H107">
        <f t="shared" si="18"/>
        <v>3.1294008283429292E-2</v>
      </c>
      <c r="I107">
        <f t="shared" si="19"/>
        <v>3.2375799981177414E-2</v>
      </c>
      <c r="J107">
        <f t="shared" si="20"/>
        <v>3.2375799981177927E-2</v>
      </c>
    </row>
    <row r="108" spans="1:10" x14ac:dyDescent="0.3">
      <c r="A108" s="8">
        <f t="shared" si="15"/>
        <v>2.0384615384612488</v>
      </c>
      <c r="B108">
        <f t="shared" si="16"/>
        <v>62.038461538461249</v>
      </c>
      <c r="C108">
        <f t="shared" si="11"/>
        <v>1.869400496132349E-2</v>
      </c>
      <c r="D108">
        <f t="shared" si="12"/>
        <v>1.869400496132349E-3</v>
      </c>
      <c r="E108">
        <f t="shared" si="13"/>
        <v>1.7776534617020268E-2</v>
      </c>
      <c r="F108" s="9">
        <f t="shared" si="14"/>
        <v>1.7776534617020268E-2</v>
      </c>
      <c r="G108">
        <f t="shared" si="17"/>
        <v>0.93567600957088592</v>
      </c>
      <c r="H108">
        <f t="shared" si="18"/>
        <v>3.1617942380792921E-2</v>
      </c>
      <c r="I108">
        <f t="shared" si="19"/>
        <v>3.2706048048320675E-2</v>
      </c>
      <c r="J108">
        <f t="shared" si="20"/>
        <v>3.2706048048321154E-2</v>
      </c>
    </row>
    <row r="109" spans="1:10" x14ac:dyDescent="0.3">
      <c r="A109" s="8">
        <f t="shared" si="15"/>
        <v>2.0576923076920153</v>
      </c>
      <c r="B109">
        <f t="shared" si="16"/>
        <v>62.057692307692015</v>
      </c>
      <c r="C109">
        <f t="shared" si="11"/>
        <v>1.8742673589668444E-2</v>
      </c>
      <c r="D109">
        <f t="shared" si="12"/>
        <v>1.8742673589668445E-3</v>
      </c>
      <c r="E109">
        <f t="shared" si="13"/>
        <v>1.7805629515898785E-2</v>
      </c>
      <c r="F109" s="9">
        <f t="shared" si="14"/>
        <v>1.7805629515898785E-2</v>
      </c>
      <c r="G109">
        <f t="shared" si="17"/>
        <v>0.93502090375660918</v>
      </c>
      <c r="H109">
        <f t="shared" si="18"/>
        <v>3.1942372533113786E-2</v>
      </c>
      <c r="I109">
        <f t="shared" si="19"/>
        <v>3.3036723710276508E-2</v>
      </c>
      <c r="J109">
        <f t="shared" si="20"/>
        <v>3.3036723710277036E-2</v>
      </c>
    </row>
    <row r="110" spans="1:10" x14ac:dyDescent="0.3">
      <c r="A110" s="8">
        <f t="shared" si="15"/>
        <v>2.0769230769227818</v>
      </c>
      <c r="B110">
        <f t="shared" si="16"/>
        <v>62.076923076922782</v>
      </c>
      <c r="C110">
        <f t="shared" si="11"/>
        <v>1.8791471694057087E-2</v>
      </c>
      <c r="D110">
        <f t="shared" si="12"/>
        <v>1.8791471694057087E-3</v>
      </c>
      <c r="E110">
        <f t="shared" si="13"/>
        <v>1.7834773412632475E-2</v>
      </c>
      <c r="F110" s="9">
        <f t="shared" si="14"/>
        <v>1.7834773412632475E-2</v>
      </c>
      <c r="G110">
        <f t="shared" si="17"/>
        <v>0.9343648737786413</v>
      </c>
      <c r="H110">
        <f t="shared" si="18"/>
        <v>3.2267298860060648E-2</v>
      </c>
      <c r="I110">
        <f t="shared" si="19"/>
        <v>3.3367827361297557E-2</v>
      </c>
      <c r="J110">
        <f t="shared" si="20"/>
        <v>3.336782736129805E-2</v>
      </c>
    </row>
    <row r="111" spans="1:10" x14ac:dyDescent="0.3">
      <c r="A111" s="8">
        <f t="shared" si="15"/>
        <v>2.0961538461535483</v>
      </c>
      <c r="B111">
        <f t="shared" si="16"/>
        <v>62.096153846153548</v>
      </c>
      <c r="C111">
        <f t="shared" si="11"/>
        <v>1.8840399618942162E-2</v>
      </c>
      <c r="D111">
        <f t="shared" si="12"/>
        <v>1.8840399618942163E-3</v>
      </c>
      <c r="E111">
        <f t="shared" si="13"/>
        <v>1.7863966389737151E-2</v>
      </c>
      <c r="F111" s="9">
        <f t="shared" si="14"/>
        <v>1.7863966389737151E-2</v>
      </c>
      <c r="G111">
        <f t="shared" si="17"/>
        <v>0.93370791912704942</v>
      </c>
      <c r="H111">
        <f t="shared" si="18"/>
        <v>3.2592721477568504E-2</v>
      </c>
      <c r="I111">
        <f t="shared" si="19"/>
        <v>3.3699359395381628E-2</v>
      </c>
      <c r="J111">
        <f t="shared" si="20"/>
        <v>3.3699359395382072E-2</v>
      </c>
    </row>
    <row r="112" spans="1:10" x14ac:dyDescent="0.3">
      <c r="A112" s="8">
        <f t="shared" si="15"/>
        <v>2.1153846153843148</v>
      </c>
      <c r="B112">
        <f t="shared" si="16"/>
        <v>62.115384615384315</v>
      </c>
      <c r="C112">
        <f t="shared" si="11"/>
        <v>1.8889457709692914E-2</v>
      </c>
      <c r="D112">
        <f t="shared" si="12"/>
        <v>1.8889457709692914E-3</v>
      </c>
      <c r="E112">
        <f t="shared" si="13"/>
        <v>1.7893208529867612E-2</v>
      </c>
      <c r="F112" s="9">
        <f t="shared" si="14"/>
        <v>1.7893208529867612E-2</v>
      </c>
      <c r="G112">
        <f t="shared" si="17"/>
        <v>0.93305003929591268</v>
      </c>
      <c r="H112">
        <f t="shared" si="18"/>
        <v>3.2918640497817897E-2</v>
      </c>
      <c r="I112">
        <f t="shared" si="19"/>
        <v>3.4031320206268985E-2</v>
      </c>
      <c r="J112">
        <f t="shared" si="20"/>
        <v>3.4031320206269422E-2</v>
      </c>
    </row>
    <row r="113" spans="1:10" x14ac:dyDescent="0.3">
      <c r="A113" s="8">
        <f t="shared" si="15"/>
        <v>2.1346153846150813</v>
      </c>
      <c r="B113">
        <f t="shared" si="16"/>
        <v>62.134615384615081</v>
      </c>
      <c r="C113">
        <f t="shared" si="11"/>
        <v>1.8938646312597267E-2</v>
      </c>
      <c r="D113">
        <f t="shared" si="12"/>
        <v>1.8938646312597269E-3</v>
      </c>
      <c r="E113">
        <f t="shared" si="13"/>
        <v>1.7922499915817833E-2</v>
      </c>
      <c r="F113" s="9">
        <f t="shared" si="14"/>
        <v>1.7922499915817833E-2</v>
      </c>
      <c r="G113">
        <f t="shared" si="17"/>
        <v>0.93239123378334587</v>
      </c>
      <c r="H113">
        <f t="shared" si="18"/>
        <v>3.3245056029214161E-2</v>
      </c>
      <c r="I113">
        <f t="shared" si="19"/>
        <v>3.4363710187439563E-2</v>
      </c>
      <c r="J113">
        <f t="shared" si="20"/>
        <v>3.4363710187439965E-2</v>
      </c>
    </row>
    <row r="114" spans="1:10" x14ac:dyDescent="0.3">
      <c r="A114" s="8">
        <f t="shared" si="15"/>
        <v>2.1538461538458478</v>
      </c>
      <c r="B114">
        <f t="shared" si="16"/>
        <v>62.153846153845848</v>
      </c>
      <c r="C114">
        <f t="shared" si="11"/>
        <v>1.8987965774864522E-2</v>
      </c>
      <c r="D114">
        <f t="shared" si="12"/>
        <v>1.8987965774864522E-3</v>
      </c>
      <c r="E114">
        <f t="shared" si="13"/>
        <v>1.7951840630521264E-2</v>
      </c>
      <c r="F114" s="9">
        <f t="shared" si="14"/>
        <v>1.7951840630521264E-2</v>
      </c>
      <c r="G114">
        <f t="shared" si="17"/>
        <v>0.93173150209152278</v>
      </c>
      <c r="H114">
        <f t="shared" si="18"/>
        <v>3.3571968176366582E-2</v>
      </c>
      <c r="I114">
        <f t="shared" si="19"/>
        <v>3.4696529732110258E-2</v>
      </c>
      <c r="J114">
        <f t="shared" si="20"/>
        <v>3.469652973211064E-2</v>
      </c>
    </row>
    <row r="115" spans="1:10" x14ac:dyDescent="0.3">
      <c r="A115" s="8">
        <f t="shared" si="15"/>
        <v>2.1730769230766143</v>
      </c>
      <c r="B115">
        <f t="shared" si="16"/>
        <v>62.173076923076614</v>
      </c>
      <c r="C115">
        <f t="shared" si="11"/>
        <v>1.9037416444627552E-2</v>
      </c>
      <c r="D115">
        <f t="shared" si="12"/>
        <v>1.9037416444627553E-3</v>
      </c>
      <c r="E115">
        <f t="shared" si="13"/>
        <v>1.7981230757050982E-2</v>
      </c>
      <c r="F115" s="9">
        <f t="shared" si="14"/>
        <v>1.7981230757050982E-2</v>
      </c>
      <c r="G115">
        <f t="shared" si="17"/>
        <v>0.9310708437266999</v>
      </c>
      <c r="H115">
        <f t="shared" si="18"/>
        <v>3.3899377040067527E-2</v>
      </c>
      <c r="I115">
        <f t="shared" si="19"/>
        <v>3.5029779233232146E-2</v>
      </c>
      <c r="J115">
        <f t="shared" si="20"/>
        <v>3.5029779233232569E-2</v>
      </c>
    </row>
    <row r="116" spans="1:10" x14ac:dyDescent="0.3">
      <c r="A116" s="8">
        <f t="shared" si="15"/>
        <v>2.1923076923073808</v>
      </c>
      <c r="B116">
        <f t="shared" si="16"/>
        <v>62.192307692307381</v>
      </c>
      <c r="C116">
        <f t="shared" si="11"/>
        <v>1.9086998670945484E-2</v>
      </c>
      <c r="D116">
        <f t="shared" si="12"/>
        <v>1.9086998670945485E-3</v>
      </c>
      <c r="E116">
        <f t="shared" si="13"/>
        <v>1.8010670378619961E-2</v>
      </c>
      <c r="F116" s="9">
        <f t="shared" si="14"/>
        <v>1.8010670378619961E-2</v>
      </c>
      <c r="G116">
        <f t="shared" si="17"/>
        <v>0.93040925819924036</v>
      </c>
      <c r="H116">
        <f t="shared" si="18"/>
        <v>3.4227282717271483E-2</v>
      </c>
      <c r="I116">
        <f t="shared" si="19"/>
        <v>3.5363459083487717E-2</v>
      </c>
      <c r="J116">
        <f t="shared" si="20"/>
        <v>3.5363459083488154E-2</v>
      </c>
    </row>
    <row r="117" spans="1:10" x14ac:dyDescent="0.3">
      <c r="A117" s="8">
        <f t="shared" si="15"/>
        <v>2.2115384615381473</v>
      </c>
      <c r="B117">
        <f t="shared" si="16"/>
        <v>62.211538461538147</v>
      </c>
      <c r="C117">
        <f t="shared" si="11"/>
        <v>1.9136712803806074E-2</v>
      </c>
      <c r="D117">
        <f t="shared" si="12"/>
        <v>1.9136712803806074E-3</v>
      </c>
      <c r="E117">
        <f t="shared" si="13"/>
        <v>1.8040159578581356E-2</v>
      </c>
      <c r="F117" s="9">
        <f t="shared" si="14"/>
        <v>1.8040159578581356E-2</v>
      </c>
      <c r="G117">
        <f t="shared" si="17"/>
        <v>0.92974674502363741</v>
      </c>
      <c r="H117">
        <f t="shared" si="18"/>
        <v>3.4555685301074064E-2</v>
      </c>
      <c r="I117">
        <f t="shared" si="19"/>
        <v>3.5697569675288088E-2</v>
      </c>
      <c r="J117">
        <f t="shared" si="20"/>
        <v>3.5697569675288525E-2</v>
      </c>
    </row>
    <row r="118" spans="1:10" x14ac:dyDescent="0.3">
      <c r="A118" s="8">
        <f t="shared" si="15"/>
        <v>2.2307692307689138</v>
      </c>
      <c r="B118">
        <f t="shared" si="16"/>
        <v>62.230769230768914</v>
      </c>
      <c r="C118">
        <f t="shared" si="11"/>
        <v>1.9186559194128067E-2</v>
      </c>
      <c r="D118">
        <f t="shared" si="12"/>
        <v>1.9186559194128068E-3</v>
      </c>
      <c r="E118">
        <f t="shared" si="13"/>
        <v>1.8069698440428651E-2</v>
      </c>
      <c r="F118" s="9">
        <f t="shared" si="14"/>
        <v>1.8069698440428651E-2</v>
      </c>
      <c r="G118">
        <f t="shared" si="17"/>
        <v>0.92908330371853842</v>
      </c>
      <c r="H118">
        <f t="shared" si="18"/>
        <v>3.488458488069094E-2</v>
      </c>
      <c r="I118">
        <f t="shared" si="19"/>
        <v>3.6032111400770235E-2</v>
      </c>
      <c r="J118">
        <f t="shared" si="20"/>
        <v>3.6032111400770638E-2</v>
      </c>
    </row>
    <row r="119" spans="1:10" x14ac:dyDescent="0.3">
      <c r="A119" s="8">
        <f t="shared" si="15"/>
        <v>2.2499999999996803</v>
      </c>
      <c r="B119">
        <f t="shared" si="16"/>
        <v>62.24999999999968</v>
      </c>
      <c r="C119">
        <f t="shared" si="11"/>
        <v>1.9236538193763912E-2</v>
      </c>
      <c r="D119">
        <f t="shared" si="12"/>
        <v>1.9236538193763914E-3</v>
      </c>
      <c r="E119">
        <f t="shared" si="13"/>
        <v>1.809928704779595E-2</v>
      </c>
      <c r="F119" s="9">
        <f t="shared" si="14"/>
        <v>1.809928704779595E-2</v>
      </c>
      <c r="G119">
        <f t="shared" si="17"/>
        <v>0.92841893380676865</v>
      </c>
      <c r="H119">
        <f t="shared" si="18"/>
        <v>3.521398154143672E-2</v>
      </c>
      <c r="I119">
        <f t="shared" si="19"/>
        <v>3.6367084651794175E-2</v>
      </c>
      <c r="J119">
        <f t="shared" si="20"/>
        <v>3.6367084651794626E-2</v>
      </c>
    </row>
    <row r="120" spans="1:10" x14ac:dyDescent="0.3">
      <c r="A120" s="8">
        <f t="shared" si="15"/>
        <v>2.2692307692304468</v>
      </c>
      <c r="B120">
        <f t="shared" si="16"/>
        <v>62.269230769230447</v>
      </c>
      <c r="C120">
        <f t="shared" si="11"/>
        <v>1.9286650155501978E-2</v>
      </c>
      <c r="D120">
        <f t="shared" si="12"/>
        <v>1.9286650155501978E-3</v>
      </c>
      <c r="E120">
        <f t="shared" si="13"/>
        <v>1.8128925484458196E-2</v>
      </c>
      <c r="F120" s="9">
        <f t="shared" si="14"/>
        <v>1.8128925484458196E-2</v>
      </c>
      <c r="G120">
        <f t="shared" si="17"/>
        <v>0.92775363481535567</v>
      </c>
      <c r="H120">
        <f t="shared" si="18"/>
        <v>3.5543875364703749E-2</v>
      </c>
      <c r="I120">
        <f t="shared" si="19"/>
        <v>3.6702489819940169E-2</v>
      </c>
      <c r="J120">
        <f t="shared" si="20"/>
        <v>3.6702489819940586E-2</v>
      </c>
    </row>
    <row r="121" spans="1:10" x14ac:dyDescent="0.3">
      <c r="A121" s="8">
        <f t="shared" si="15"/>
        <v>2.2884615384612133</v>
      </c>
      <c r="B121">
        <f t="shared" si="16"/>
        <v>62.288461538461213</v>
      </c>
      <c r="C121">
        <f t="shared" si="11"/>
        <v>1.9336895433069313E-2</v>
      </c>
      <c r="D121">
        <f t="shared" si="12"/>
        <v>1.9336895433069313E-3</v>
      </c>
      <c r="E121">
        <f t="shared" si="13"/>
        <v>1.8158613834331452E-2</v>
      </c>
      <c r="F121" s="9">
        <f t="shared" si="14"/>
        <v>1.8158613834331452E-2</v>
      </c>
      <c r="G121">
        <f t="shared" si="17"/>
        <v>0.92708740627555275</v>
      </c>
      <c r="H121">
        <f t="shared" si="18"/>
        <v>3.5874266427940872E-2</v>
      </c>
      <c r="I121">
        <f t="shared" si="19"/>
        <v>3.7038327296505906E-2</v>
      </c>
      <c r="J121">
        <f t="shared" si="20"/>
        <v>3.7038327296506378E-2</v>
      </c>
    </row>
    <row r="122" spans="1:10" x14ac:dyDescent="0.3">
      <c r="A122" s="8">
        <f t="shared" si="15"/>
        <v>2.3076923076919797</v>
      </c>
      <c r="B122">
        <f t="shared" si="16"/>
        <v>62.30769230769198</v>
      </c>
      <c r="C122">
        <f t="shared" si="11"/>
        <v>1.9387274381133874E-2</v>
      </c>
      <c r="D122">
        <f t="shared" si="12"/>
        <v>1.9387274381133875E-3</v>
      </c>
      <c r="E122">
        <f t="shared" si="13"/>
        <v>1.818835218147306E-2</v>
      </c>
      <c r="F122" s="9">
        <f t="shared" si="14"/>
        <v>1.818835218147306E-2</v>
      </c>
      <c r="G122">
        <f t="shared" si="17"/>
        <v>0.92642024772286369</v>
      </c>
      <c r="H122">
        <f t="shared" si="18"/>
        <v>3.6205154804632128E-2</v>
      </c>
      <c r="I122">
        <f t="shared" si="19"/>
        <v>3.7374597472503684E-2</v>
      </c>
      <c r="J122">
        <f t="shared" si="20"/>
        <v>3.7374597472504184E-2</v>
      </c>
    </row>
    <row r="123" spans="1:10" x14ac:dyDescent="0.3">
      <c r="A123" s="8">
        <f t="shared" si="15"/>
        <v>2.3269230769227462</v>
      </c>
      <c r="B123">
        <f t="shared" si="16"/>
        <v>62.326923076922746</v>
      </c>
      <c r="C123">
        <f t="shared" si="11"/>
        <v>1.9437787355307257E-2</v>
      </c>
      <c r="D123">
        <f t="shared" si="12"/>
        <v>1.9437787355307259E-3</v>
      </c>
      <c r="E123">
        <f t="shared" si="13"/>
        <v>1.8218140610081934E-2</v>
      </c>
      <c r="F123" s="9">
        <f t="shared" si="14"/>
        <v>1.8218140610081934E-2</v>
      </c>
      <c r="G123">
        <f t="shared" si="17"/>
        <v>0.92575215869706651</v>
      </c>
      <c r="H123">
        <f t="shared" si="18"/>
        <v>3.6536540564275376E-2</v>
      </c>
      <c r="I123">
        <f t="shared" si="19"/>
        <v>3.7711300738657576E-2</v>
      </c>
      <c r="J123">
        <f t="shared" si="20"/>
        <v>3.7711300738658117E-2</v>
      </c>
    </row>
    <row r="124" spans="1:10" x14ac:dyDescent="0.3">
      <c r="A124" s="8">
        <f t="shared" si="15"/>
        <v>2.3461538461535127</v>
      </c>
      <c r="B124">
        <f t="shared" si="16"/>
        <v>62.346153846153513</v>
      </c>
      <c r="C124">
        <f t="shared" si="11"/>
        <v>1.9488434712147121E-2</v>
      </c>
      <c r="D124">
        <f t="shared" si="12"/>
        <v>1.9488434712147122E-3</v>
      </c>
      <c r="E124">
        <f t="shared" si="13"/>
        <v>1.824797920449877E-2</v>
      </c>
      <c r="F124" s="9">
        <f t="shared" si="14"/>
        <v>1.824797920449877E-2</v>
      </c>
      <c r="G124">
        <f t="shared" si="17"/>
        <v>0.92508313874223802</v>
      </c>
      <c r="H124">
        <f t="shared" si="18"/>
        <v>3.6868423772360867E-2</v>
      </c>
      <c r="I124">
        <f t="shared" si="19"/>
        <v>3.8048437485400578E-2</v>
      </c>
      <c r="J124">
        <f t="shared" si="20"/>
        <v>3.8048437485401113E-2</v>
      </c>
    </row>
    <row r="125" spans="1:10" x14ac:dyDescent="0.3">
      <c r="A125" s="8">
        <f t="shared" si="15"/>
        <v>2.3653846153842792</v>
      </c>
      <c r="B125">
        <f t="shared" si="16"/>
        <v>62.365384615384279</v>
      </c>
      <c r="C125">
        <f t="shared" si="11"/>
        <v>1.9539216809159585E-2</v>
      </c>
      <c r="D125">
        <f t="shared" si="12"/>
        <v>1.9539216809159586E-3</v>
      </c>
      <c r="E125">
        <f t="shared" si="13"/>
        <v>1.8277868049206347E-2</v>
      </c>
      <c r="F125" s="9">
        <f t="shared" si="14"/>
        <v>1.8277868049206347E-2</v>
      </c>
      <c r="G125">
        <f t="shared" si="17"/>
        <v>0.92441318740677791</v>
      </c>
      <c r="H125">
        <f t="shared" si="18"/>
        <v>3.7200804490349765E-2</v>
      </c>
      <c r="I125">
        <f t="shared" si="19"/>
        <v>3.8386008102871759E-2</v>
      </c>
      <c r="J125">
        <f t="shared" si="20"/>
        <v>3.8386008102872321E-2</v>
      </c>
    </row>
    <row r="126" spans="1:10" x14ac:dyDescent="0.3">
      <c r="A126" s="8">
        <f t="shared" si="15"/>
        <v>2.3846153846150457</v>
      </c>
      <c r="B126">
        <f t="shared" si="16"/>
        <v>62.384615384615046</v>
      </c>
      <c r="C126">
        <f t="shared" si="11"/>
        <v>1.9590134004802005E-2</v>
      </c>
      <c r="D126">
        <f t="shared" si="12"/>
        <v>1.9590134004802006E-3</v>
      </c>
      <c r="E126">
        <f t="shared" si="13"/>
        <v>1.8307807228829673E-2</v>
      </c>
      <c r="F126" s="9">
        <f t="shared" si="14"/>
        <v>1.8307807228829673E-2</v>
      </c>
      <c r="G126">
        <f t="shared" si="17"/>
        <v>0.9237423042434334</v>
      </c>
      <c r="H126">
        <f t="shared" si="18"/>
        <v>3.7533682775652596E-2</v>
      </c>
      <c r="I126">
        <f t="shared" si="19"/>
        <v>3.8724012980913415E-2</v>
      </c>
      <c r="J126">
        <f t="shared" si="20"/>
        <v>3.8724012980914005E-2</v>
      </c>
    </row>
    <row r="127" spans="1:10" x14ac:dyDescent="0.3">
      <c r="A127" s="8">
        <f t="shared" si="15"/>
        <v>2.4038461538458122</v>
      </c>
      <c r="B127">
        <f t="shared" si="16"/>
        <v>62.403846153845812</v>
      </c>
      <c r="C127">
        <f t="shared" si="11"/>
        <v>1.9641186658485226E-2</v>
      </c>
      <c r="D127">
        <f t="shared" si="12"/>
        <v>1.9641186658485225E-3</v>
      </c>
      <c r="E127">
        <f t="shared" si="13"/>
        <v>1.8337796828136264E-2</v>
      </c>
      <c r="F127" s="9">
        <f t="shared" si="14"/>
        <v>1.8337796828136264E-2</v>
      </c>
      <c r="G127">
        <f t="shared" si="17"/>
        <v>0.92307048880932363</v>
      </c>
      <c r="H127">
        <f t="shared" si="18"/>
        <v>3.7867058681607633E-2</v>
      </c>
      <c r="I127">
        <f t="shared" si="19"/>
        <v>3.9062452509068195E-2</v>
      </c>
      <c r="J127">
        <f t="shared" si="20"/>
        <v>3.9062452509068736E-2</v>
      </c>
    </row>
    <row r="128" spans="1:10" x14ac:dyDescent="0.3">
      <c r="A128" s="8">
        <f t="shared" si="15"/>
        <v>2.4230769230765787</v>
      </c>
      <c r="B128">
        <f t="shared" si="16"/>
        <v>62.423076923076579</v>
      </c>
      <c r="C128">
        <f t="shared" si="11"/>
        <v>1.9692375130576392E-2</v>
      </c>
      <c r="D128">
        <f t="shared" si="12"/>
        <v>1.9692375130576393E-3</v>
      </c>
      <c r="E128">
        <f t="shared" si="13"/>
        <v>1.8367836932036453E-2</v>
      </c>
      <c r="F128" s="9">
        <f t="shared" si="14"/>
        <v>1.8367836932036453E-2</v>
      </c>
      <c r="G128">
        <f t="shared" si="17"/>
        <v>0.92239774066596403</v>
      </c>
      <c r="H128">
        <f t="shared" si="18"/>
        <v>3.8200932257459234E-2</v>
      </c>
      <c r="I128">
        <f t="shared" si="19"/>
        <v>3.9401327076576197E-2</v>
      </c>
      <c r="J128">
        <f t="shared" si="20"/>
        <v>3.9401327076576738E-2</v>
      </c>
    </row>
    <row r="129" spans="1:10" x14ac:dyDescent="0.3">
      <c r="A129" s="8">
        <f t="shared" si="15"/>
        <v>2.4423076923073452</v>
      </c>
      <c r="B129">
        <f t="shared" si="16"/>
        <v>62.442307692307345</v>
      </c>
      <c r="C129">
        <f t="shared" si="11"/>
        <v>1.974369978240121E-2</v>
      </c>
      <c r="D129">
        <f t="shared" si="12"/>
        <v>1.974369978240121E-3</v>
      </c>
      <c r="E129">
        <f t="shared" si="13"/>
        <v>1.83979276255835E-2</v>
      </c>
      <c r="F129" s="9">
        <f t="shared" si="14"/>
        <v>1.83979276255835E-2</v>
      </c>
      <c r="G129">
        <f t="shared" si="17"/>
        <v>0.92172405937929125</v>
      </c>
      <c r="H129">
        <f t="shared" si="18"/>
        <v>3.8535303548336126E-2</v>
      </c>
      <c r="I129">
        <f t="shared" si="19"/>
        <v>3.9740637072372118E-2</v>
      </c>
      <c r="J129">
        <f t="shared" si="20"/>
        <v>3.9740637072372624E-2</v>
      </c>
    </row>
    <row r="130" spans="1:10" x14ac:dyDescent="0.3">
      <c r="A130" s="8">
        <f t="shared" si="15"/>
        <v>2.4615384615381117</v>
      </c>
      <c r="B130">
        <f t="shared" si="16"/>
        <v>62.461538461538112</v>
      </c>
      <c r="C130">
        <f t="shared" si="11"/>
        <v>1.9795160976246756E-2</v>
      </c>
      <c r="D130">
        <f t="shared" si="12"/>
        <v>1.9795160976246759E-3</v>
      </c>
      <c r="E130">
        <f t="shared" si="13"/>
        <v>1.8428068993973933E-2</v>
      </c>
      <c r="F130" s="9">
        <f t="shared" si="14"/>
        <v>1.8428068993973933E-2</v>
      </c>
      <c r="G130">
        <f t="shared" si="17"/>
        <v>0.92104944451968751</v>
      </c>
      <c r="H130">
        <f t="shared" si="18"/>
        <v>3.8870172595229596E-2</v>
      </c>
      <c r="I130">
        <f t="shared" si="19"/>
        <v>4.0080382885082338E-2</v>
      </c>
      <c r="J130">
        <f t="shared" si="20"/>
        <v>4.0080382885082894E-2</v>
      </c>
    </row>
    <row r="131" spans="1:10" x14ac:dyDescent="0.3">
      <c r="A131" s="8">
        <f t="shared" si="15"/>
        <v>2.4807692307688782</v>
      </c>
      <c r="B131">
        <f t="shared" si="16"/>
        <v>62.480769230768878</v>
      </c>
      <c r="C131">
        <f t="shared" ref="C131:C194" si="21">$L$1 +$L$3 * EXP($L$5*B131)</f>
        <v>1.9846759075363919E-2</v>
      </c>
      <c r="D131">
        <f t="shared" ref="D131:D194" si="22">0.1 *C131</f>
        <v>1.9846759075363919E-3</v>
      </c>
      <c r="E131">
        <f t="shared" ref="E131:E194" si="23">$L$2 + $L$4 * EXP($L$6 *B131)</f>
        <v>1.8458261122547732E-2</v>
      </c>
      <c r="F131" s="9">
        <f t="shared" ref="F131:F194" si="24">E131</f>
        <v>1.8458261122547732E-2</v>
      </c>
      <c r="G131">
        <f t="shared" si="17"/>
        <v>0.92037389566200578</v>
      </c>
      <c r="H131">
        <f t="shared" si="18"/>
        <v>3.9205539434971667E-2</v>
      </c>
      <c r="I131">
        <f t="shared" si="19"/>
        <v>4.0420564903022004E-2</v>
      </c>
      <c r="J131">
        <f t="shared" si="20"/>
        <v>4.0420564903022552E-2</v>
      </c>
    </row>
    <row r="132" spans="1:10" x14ac:dyDescent="0.3">
      <c r="A132" s="8">
        <f t="shared" ref="A132:A195" si="25">B132-60</f>
        <v>2.4999999999996447</v>
      </c>
      <c r="B132">
        <f t="shared" ref="B132:B195" si="26">B131+$L$7</f>
        <v>62.499999999999645</v>
      </c>
      <c r="C132">
        <f t="shared" si="21"/>
        <v>1.9898494443969846E-2</v>
      </c>
      <c r="D132">
        <f t="shared" si="22"/>
        <v>1.9898494443969846E-3</v>
      </c>
      <c r="E132">
        <f t="shared" si="23"/>
        <v>1.8488504096788646E-2</v>
      </c>
      <c r="F132" s="9">
        <f t="shared" si="24"/>
        <v>1.8488504096788646E-2</v>
      </c>
      <c r="G132">
        <f t="shared" ref="G132:G195" si="27">$L$7*(G131*(-C131-E131)+H131*D131)+G131</f>
        <v>0.9196974123855941</v>
      </c>
      <c r="H132">
        <f t="shared" ref="H132:H195" si="28">$L$7*(G131*C131+H131*(-D131-F131))+H131</f>
        <v>3.9541404100213173E-2</v>
      </c>
      <c r="I132">
        <f t="shared" ref="I132:I195" si="29">$L$7*(G131*E131+H131*F131)+I131</f>
        <v>4.0761183514192133E-2</v>
      </c>
      <c r="J132">
        <f t="shared" ref="J132:J195" si="30">1-G132-H132</f>
        <v>4.0761183514192723E-2</v>
      </c>
    </row>
    <row r="133" spans="1:10" x14ac:dyDescent="0.3">
      <c r="A133" s="8">
        <f t="shared" si="25"/>
        <v>2.5192307692304112</v>
      </c>
      <c r="B133">
        <f t="shared" si="26"/>
        <v>62.519230769230411</v>
      </c>
      <c r="C133">
        <f t="shared" si="21"/>
        <v>1.9950367447250789E-2</v>
      </c>
      <c r="D133">
        <f t="shared" si="22"/>
        <v>1.9950367447250789E-3</v>
      </c>
      <c r="E133">
        <f t="shared" si="23"/>
        <v>1.8518798002324338E-2</v>
      </c>
      <c r="F133" s="9">
        <f t="shared" si="24"/>
        <v>1.8518798002324338E-2</v>
      </c>
      <c r="G133">
        <f t="shared" si="27"/>
        <v>0.91901999427432091</v>
      </c>
      <c r="H133">
        <f t="shared" si="28"/>
        <v>3.987776661940181E-2</v>
      </c>
      <c r="I133">
        <f t="shared" si="29"/>
        <v>4.1102239106276681E-2</v>
      </c>
      <c r="J133">
        <f t="shared" si="30"/>
        <v>4.1102239106277284E-2</v>
      </c>
    </row>
    <row r="134" spans="1:10" x14ac:dyDescent="0.3">
      <c r="A134" s="8">
        <f t="shared" si="25"/>
        <v>2.5384615384611777</v>
      </c>
      <c r="B134">
        <f t="shared" si="26"/>
        <v>62.538461538461178</v>
      </c>
      <c r="C134">
        <f t="shared" si="21"/>
        <v>2.0002378451364388E-2</v>
      </c>
      <c r="D134">
        <f t="shared" si="22"/>
        <v>2.0002378451364389E-3</v>
      </c>
      <c r="E134">
        <f t="shared" si="23"/>
        <v>1.8549142924926692E-2</v>
      </c>
      <c r="F134" s="9">
        <f t="shared" si="24"/>
        <v>1.8549142924926692E-2</v>
      </c>
      <c r="G134">
        <f t="shared" si="27"/>
        <v>0.91834164091659964</v>
      </c>
      <c r="H134">
        <f t="shared" si="28"/>
        <v>4.0214627016760103E-2</v>
      </c>
      <c r="I134">
        <f t="shared" si="29"/>
        <v>4.1443732066639601E-2</v>
      </c>
      <c r="J134">
        <f t="shared" si="30"/>
        <v>4.1443732066640253E-2</v>
      </c>
    </row>
    <row r="135" spans="1:10" x14ac:dyDescent="0.3">
      <c r="A135" s="8">
        <f t="shared" si="25"/>
        <v>2.5576923076919442</v>
      </c>
      <c r="B135">
        <f t="shared" si="26"/>
        <v>62.557692307691944</v>
      </c>
      <c r="C135">
        <f t="shared" si="21"/>
        <v>2.0054527823442522E-2</v>
      </c>
      <c r="D135">
        <f t="shared" si="22"/>
        <v>2.0054527823442523E-3</v>
      </c>
      <c r="E135">
        <f t="shared" si="23"/>
        <v>1.8579538950512012E-2</v>
      </c>
      <c r="F135" s="9">
        <f t="shared" si="24"/>
        <v>1.8579538950512012E-2</v>
      </c>
      <c r="G135">
        <f t="shared" si="27"/>
        <v>0.91766235190541412</v>
      </c>
      <c r="H135">
        <f t="shared" si="28"/>
        <v>4.0551985312263318E-2</v>
      </c>
      <c r="I135">
        <f t="shared" si="29"/>
        <v>4.178566278232191E-2</v>
      </c>
      <c r="J135">
        <f t="shared" si="30"/>
        <v>4.1785662782322562E-2</v>
      </c>
    </row>
    <row r="136" spans="1:10" x14ac:dyDescent="0.3">
      <c r="A136" s="8">
        <f t="shared" si="25"/>
        <v>2.5769230769227107</v>
      </c>
      <c r="B136">
        <f t="shared" si="26"/>
        <v>62.576923076922711</v>
      </c>
      <c r="C136">
        <f t="shared" si="21"/>
        <v>2.0106815931593636E-2</v>
      </c>
      <c r="D136">
        <f t="shared" si="22"/>
        <v>2.0106815931593635E-3</v>
      </c>
      <c r="E136">
        <f t="shared" si="23"/>
        <v>1.8609986165141354E-2</v>
      </c>
      <c r="F136" s="9">
        <f t="shared" si="24"/>
        <v>1.8609986165141354E-2</v>
      </c>
      <c r="G136">
        <f t="shared" si="27"/>
        <v>0.91698212683834324</v>
      </c>
      <c r="H136">
        <f t="shared" si="28"/>
        <v>4.0889841521617336E-2</v>
      </c>
      <c r="I136">
        <f t="shared" si="29"/>
        <v>4.2128031640038734E-2</v>
      </c>
      <c r="J136">
        <f t="shared" si="30"/>
        <v>4.2128031640039428E-2</v>
      </c>
    </row>
    <row r="137" spans="1:10" x14ac:dyDescent="0.3">
      <c r="A137" s="8">
        <f t="shared" si="25"/>
        <v>2.5961538461534772</v>
      </c>
      <c r="B137">
        <f t="shared" si="26"/>
        <v>62.596153846153477</v>
      </c>
      <c r="C137">
        <f t="shared" si="21"/>
        <v>2.0159243144905584E-2</v>
      </c>
      <c r="D137">
        <f t="shared" si="22"/>
        <v>2.0159243144905587E-3</v>
      </c>
      <c r="E137">
        <f t="shared" si="23"/>
        <v>1.8640484655020648E-2</v>
      </c>
      <c r="F137" s="9">
        <f t="shared" si="24"/>
        <v>1.8640484655020648E-2</v>
      </c>
      <c r="G137">
        <f t="shared" si="27"/>
        <v>0.91630096531758654</v>
      </c>
      <c r="H137">
        <f t="shared" si="28"/>
        <v>4.1228195656236429E-2</v>
      </c>
      <c r="I137">
        <f t="shared" si="29"/>
        <v>4.2470839026176342E-2</v>
      </c>
      <c r="J137">
        <f t="shared" si="30"/>
        <v>4.2470839026177036E-2</v>
      </c>
    </row>
    <row r="138" spans="1:10" x14ac:dyDescent="0.3">
      <c r="A138" s="8">
        <f t="shared" si="25"/>
        <v>2.6153846153842437</v>
      </c>
      <c r="B138">
        <f t="shared" si="26"/>
        <v>62.615384615384244</v>
      </c>
      <c r="C138">
        <f t="shared" si="21"/>
        <v>2.0211809833448127E-2</v>
      </c>
      <c r="D138">
        <f t="shared" si="22"/>
        <v>2.0211809833448127E-3</v>
      </c>
      <c r="E138">
        <f t="shared" si="23"/>
        <v>1.8671034506500997E-2</v>
      </c>
      <c r="F138" s="9">
        <f t="shared" si="24"/>
        <v>1.8671034506500997E-2</v>
      </c>
      <c r="G138">
        <f t="shared" si="27"/>
        <v>0.91561886694998906</v>
      </c>
      <c r="H138">
        <f t="shared" si="28"/>
        <v>4.1567047723221021E-2</v>
      </c>
      <c r="I138">
        <f t="shared" si="29"/>
        <v>4.2814085326789174E-2</v>
      </c>
      <c r="J138">
        <f t="shared" si="30"/>
        <v>4.2814085326789916E-2</v>
      </c>
    </row>
    <row r="139" spans="1:10" x14ac:dyDescent="0.3">
      <c r="A139" s="8">
        <f t="shared" si="25"/>
        <v>2.6346153846150102</v>
      </c>
      <c r="B139">
        <f t="shared" si="26"/>
        <v>62.63461538461501</v>
      </c>
      <c r="C139">
        <f t="shared" si="21"/>
        <v>2.0264516368275438E-2</v>
      </c>
      <c r="D139">
        <f t="shared" si="22"/>
        <v>2.0264516368275437E-3</v>
      </c>
      <c r="E139">
        <f t="shared" si="23"/>
        <v>1.8701635806078989E-2</v>
      </c>
      <c r="F139" s="9">
        <f t="shared" si="24"/>
        <v>1.8701635806078989E-2</v>
      </c>
      <c r="G139">
        <f t="shared" si="27"/>
        <v>0.91493583134706702</v>
      </c>
      <c r="H139">
        <f t="shared" si="28"/>
        <v>4.1906397725335345E-2</v>
      </c>
      <c r="I139">
        <f t="shared" si="29"/>
        <v>4.3157770927596872E-2</v>
      </c>
      <c r="J139">
        <f t="shared" si="30"/>
        <v>4.3157770927597636E-2</v>
      </c>
    </row>
    <row r="140" spans="1:10" x14ac:dyDescent="0.3">
      <c r="A140" s="8">
        <f t="shared" si="25"/>
        <v>2.6538461538457767</v>
      </c>
      <c r="B140">
        <f t="shared" si="26"/>
        <v>62.653846153845777</v>
      </c>
      <c r="C140">
        <f t="shared" si="21"/>
        <v>2.0317363121428969E-2</v>
      </c>
      <c r="D140">
        <f t="shared" si="22"/>
        <v>2.0317363121428972E-3</v>
      </c>
      <c r="E140">
        <f t="shared" si="23"/>
        <v>1.8732288640396819E-2</v>
      </c>
      <c r="F140" s="9">
        <f t="shared" si="24"/>
        <v>1.8732288640396819E-2</v>
      </c>
      <c r="G140">
        <f t="shared" si="27"/>
        <v>0.91425185812503285</v>
      </c>
      <c r="H140">
        <f t="shared" si="28"/>
        <v>4.2246245660985081E-2</v>
      </c>
      <c r="I140">
        <f t="shared" si="29"/>
        <v>4.3501896213981275E-2</v>
      </c>
      <c r="J140">
        <f t="shared" si="30"/>
        <v>4.3501896213982073E-2</v>
      </c>
    </row>
    <row r="141" spans="1:10" x14ac:dyDescent="0.3">
      <c r="A141" s="8">
        <f t="shared" si="25"/>
        <v>2.6730769230765432</v>
      </c>
      <c r="B141">
        <f t="shared" si="26"/>
        <v>62.673076923076543</v>
      </c>
      <c r="C141">
        <f t="shared" si="21"/>
        <v>2.0370350465939793E-2</v>
      </c>
      <c r="D141">
        <f t="shared" si="22"/>
        <v>2.0370350465939795E-3</v>
      </c>
      <c r="E141">
        <f t="shared" si="23"/>
        <v>1.876299309624261E-2</v>
      </c>
      <c r="F141" s="9">
        <f t="shared" si="24"/>
        <v>1.876299309624261E-2</v>
      </c>
      <c r="G141">
        <f t="shared" si="27"/>
        <v>0.91356694690482088</v>
      </c>
      <c r="H141">
        <f t="shared" si="28"/>
        <v>4.2586591524194917E-2</v>
      </c>
      <c r="I141">
        <f t="shared" si="29"/>
        <v>4.384646157098343E-2</v>
      </c>
      <c r="J141">
        <f t="shared" si="30"/>
        <v>4.3846461570984208E-2</v>
      </c>
    </row>
    <row r="142" spans="1:10" x14ac:dyDescent="0.3">
      <c r="A142" s="8">
        <f t="shared" si="25"/>
        <v>2.6923076923073097</v>
      </c>
      <c r="B142">
        <f t="shared" si="26"/>
        <v>62.69230769230731</v>
      </c>
      <c r="C142">
        <f t="shared" si="21"/>
        <v>2.0423478775831519E-2</v>
      </c>
      <c r="D142">
        <f t="shared" si="22"/>
        <v>2.0423478775831519E-3</v>
      </c>
      <c r="E142">
        <f t="shared" si="23"/>
        <v>1.8793749260550628E-2</v>
      </c>
      <c r="F142" s="9">
        <f t="shared" si="24"/>
        <v>1.8793749260550628E-2</v>
      </c>
      <c r="G142">
        <f t="shared" si="27"/>
        <v>0.91288109731211264</v>
      </c>
      <c r="H142">
        <f t="shared" si="28"/>
        <v>4.2927435304586051E-2</v>
      </c>
      <c r="I142">
        <f t="shared" si="29"/>
        <v>4.4191467383300577E-2</v>
      </c>
      <c r="J142">
        <f t="shared" si="30"/>
        <v>4.4191467383301306E-2</v>
      </c>
    </row>
    <row r="143" spans="1:10" x14ac:dyDescent="0.3">
      <c r="A143" s="8">
        <f t="shared" si="25"/>
        <v>2.7115384615380762</v>
      </c>
      <c r="B143">
        <f t="shared" si="26"/>
        <v>62.711538461538076</v>
      </c>
      <c r="C143">
        <f t="shared" si="21"/>
        <v>2.0476748426122654E-2</v>
      </c>
      <c r="D143">
        <f t="shared" si="22"/>
        <v>2.0476748426122653E-3</v>
      </c>
      <c r="E143">
        <f t="shared" si="23"/>
        <v>1.8824557220401595E-2</v>
      </c>
      <c r="F143" s="9">
        <f t="shared" si="24"/>
        <v>1.8824557220401595E-2</v>
      </c>
      <c r="G143">
        <f t="shared" si="27"/>
        <v>0.91219430897736253</v>
      </c>
      <c r="H143">
        <f t="shared" si="28"/>
        <v>4.3268776987353638E-2</v>
      </c>
      <c r="I143">
        <f t="shared" si="29"/>
        <v>4.4536914035283134E-2</v>
      </c>
      <c r="J143">
        <f t="shared" si="30"/>
        <v>4.4536914035283828E-2</v>
      </c>
    </row>
    <row r="144" spans="1:10" x14ac:dyDescent="0.3">
      <c r="A144" s="8">
        <f t="shared" si="25"/>
        <v>2.7307692307688427</v>
      </c>
      <c r="B144">
        <f t="shared" si="26"/>
        <v>62.730769230768843</v>
      </c>
      <c r="C144">
        <f t="shared" si="21"/>
        <v>2.0530159792829503E-2</v>
      </c>
      <c r="D144">
        <f t="shared" si="22"/>
        <v>2.0530159792829504E-3</v>
      </c>
      <c r="E144">
        <f t="shared" si="23"/>
        <v>1.8855417063022822E-2</v>
      </c>
      <c r="F144" s="9">
        <f t="shared" si="24"/>
        <v>1.8855417063022822E-2</v>
      </c>
      <c r="G144">
        <f t="shared" si="27"/>
        <v>0.91150658153582342</v>
      </c>
      <c r="H144">
        <f t="shared" si="28"/>
        <v>4.3610616553244164E-2</v>
      </c>
      <c r="I144">
        <f t="shared" si="29"/>
        <v>4.4882801910931677E-2</v>
      </c>
      <c r="J144">
        <f t="shared" si="30"/>
        <v>4.4882801910932413E-2</v>
      </c>
    </row>
    <row r="145" spans="1:10" x14ac:dyDescent="0.3">
      <c r="A145" s="8">
        <f t="shared" si="25"/>
        <v>2.7499999999996092</v>
      </c>
      <c r="B145">
        <f t="shared" si="26"/>
        <v>62.749999999999609</v>
      </c>
      <c r="C145">
        <f t="shared" si="21"/>
        <v>2.0583713252968695E-2</v>
      </c>
      <c r="D145">
        <f t="shared" si="22"/>
        <v>2.0583713252968695E-3</v>
      </c>
      <c r="E145">
        <f t="shared" si="23"/>
        <v>1.888632887578855E-2</v>
      </c>
      <c r="F145" s="9">
        <f t="shared" si="24"/>
        <v>1.888632887578855E-2</v>
      </c>
      <c r="G145">
        <f t="shared" si="27"/>
        <v>0.91081791462757256</v>
      </c>
      <c r="H145">
        <f t="shared" si="28"/>
        <v>4.3952953978532799E-2</v>
      </c>
      <c r="I145">
        <f t="shared" si="29"/>
        <v>4.5229131393893889E-2</v>
      </c>
      <c r="J145">
        <f t="shared" si="30"/>
        <v>4.5229131393894645E-2</v>
      </c>
    </row>
    <row r="146" spans="1:10" x14ac:dyDescent="0.3">
      <c r="A146" s="8">
        <f t="shared" si="25"/>
        <v>2.7692307692303757</v>
      </c>
      <c r="B146">
        <f t="shared" si="26"/>
        <v>62.769230769230376</v>
      </c>
      <c r="C146">
        <f t="shared" si="21"/>
        <v>2.0637409184559762E-2</v>
      </c>
      <c r="D146">
        <f t="shared" si="22"/>
        <v>2.0637409184559763E-3</v>
      </c>
      <c r="E146">
        <f t="shared" si="23"/>
        <v>1.891729274622014E-2</v>
      </c>
      <c r="F146" s="9">
        <f t="shared" si="24"/>
        <v>1.891729274622014E-2</v>
      </c>
      <c r="G146">
        <f t="shared" si="27"/>
        <v>0.91012830789753707</v>
      </c>
      <c r="H146">
        <f t="shared" si="28"/>
        <v>4.4295789235000653E-2</v>
      </c>
      <c r="I146">
        <f t="shared" si="29"/>
        <v>4.5575902867461528E-2</v>
      </c>
      <c r="J146">
        <f t="shared" si="30"/>
        <v>4.5575902867462277E-2</v>
      </c>
    </row>
    <row r="147" spans="1:10" x14ac:dyDescent="0.3">
      <c r="A147" s="8">
        <f t="shared" si="25"/>
        <v>2.7884615384611422</v>
      </c>
      <c r="B147">
        <f t="shared" si="26"/>
        <v>62.788461538461142</v>
      </c>
      <c r="C147">
        <f t="shared" si="21"/>
        <v>2.0691247966628044E-2</v>
      </c>
      <c r="D147">
        <f t="shared" si="22"/>
        <v>2.0691247966628046E-3</v>
      </c>
      <c r="E147">
        <f t="shared" si="23"/>
        <v>1.8948308761986388E-2</v>
      </c>
      <c r="F147" s="9">
        <f t="shared" si="24"/>
        <v>1.8948308761986388E-2</v>
      </c>
      <c r="G147">
        <f t="shared" si="27"/>
        <v>0.90943776099551987</v>
      </c>
      <c r="H147">
        <f t="shared" si="28"/>
        <v>4.4639122289911987E-2</v>
      </c>
      <c r="I147">
        <f t="shared" si="29"/>
        <v>4.5923116714567357E-2</v>
      </c>
      <c r="J147">
        <f t="shared" si="30"/>
        <v>4.5923116714568141E-2</v>
      </c>
    </row>
    <row r="148" spans="1:10" x14ac:dyDescent="0.3">
      <c r="A148" s="8">
        <f t="shared" si="25"/>
        <v>2.8076923076919087</v>
      </c>
      <c r="B148">
        <f t="shared" si="26"/>
        <v>62.807692307691909</v>
      </c>
      <c r="C148">
        <f t="shared" si="21"/>
        <v>2.0745229979207084E-2</v>
      </c>
      <c r="D148">
        <f t="shared" si="22"/>
        <v>2.0745229979207084E-3</v>
      </c>
      <c r="E148">
        <f t="shared" si="23"/>
        <v>1.8979377010903686E-2</v>
      </c>
      <c r="F148" s="9">
        <f t="shared" si="24"/>
        <v>1.8979377010903686E-2</v>
      </c>
      <c r="G148">
        <f t="shared" si="27"/>
        <v>0.90874627357622573</v>
      </c>
      <c r="H148">
        <f t="shared" si="28"/>
        <v>4.4982953105991381E-2</v>
      </c>
      <c r="I148">
        <f t="shared" si="29"/>
        <v>4.6270773317782087E-2</v>
      </c>
      <c r="J148">
        <f t="shared" si="30"/>
        <v>4.6270773317782891E-2</v>
      </c>
    </row>
    <row r="149" spans="1:10" x14ac:dyDescent="0.3">
      <c r="A149" s="8">
        <f t="shared" si="25"/>
        <v>2.8269230769226752</v>
      </c>
      <c r="B149">
        <f t="shared" si="26"/>
        <v>62.826923076922675</v>
      </c>
      <c r="C149">
        <f t="shared" si="21"/>
        <v>2.0799355603341584E-2</v>
      </c>
      <c r="D149">
        <f t="shared" si="22"/>
        <v>2.0799355603341586E-3</v>
      </c>
      <c r="E149">
        <f t="shared" si="23"/>
        <v>1.9010497580936342E-2</v>
      </c>
      <c r="F149" s="9">
        <f t="shared" si="24"/>
        <v>1.9010497580936342E-2</v>
      </c>
      <c r="G149">
        <f t="shared" si="27"/>
        <v>0.90805384529928701</v>
      </c>
      <c r="H149">
        <f t="shared" si="28"/>
        <v>4.5327281641400825E-2</v>
      </c>
      <c r="I149">
        <f t="shared" si="29"/>
        <v>4.6618873059311304E-2</v>
      </c>
      <c r="J149">
        <f t="shared" si="30"/>
        <v>4.6618873059312164E-2</v>
      </c>
    </row>
    <row r="150" spans="1:10" x14ac:dyDescent="0.3">
      <c r="A150" s="8">
        <f t="shared" si="25"/>
        <v>2.8461538461534417</v>
      </c>
      <c r="B150">
        <f t="shared" si="26"/>
        <v>62.846153846153442</v>
      </c>
      <c r="C150">
        <f t="shared" si="21"/>
        <v>2.0853625221089835E-2</v>
      </c>
      <c r="D150">
        <f t="shared" si="22"/>
        <v>2.0853625221089835E-3</v>
      </c>
      <c r="E150">
        <f t="shared" si="23"/>
        <v>1.9041670560196764E-2</v>
      </c>
      <c r="F150" s="9">
        <f t="shared" si="24"/>
        <v>1.9041670560196764E-2</v>
      </c>
      <c r="G150">
        <f t="shared" si="27"/>
        <v>0.90736047582929003</v>
      </c>
      <c r="H150">
        <f t="shared" si="28"/>
        <v>4.5672107849716752E-2</v>
      </c>
      <c r="I150">
        <f t="shared" si="29"/>
        <v>4.696741632099239E-2</v>
      </c>
      <c r="J150">
        <f t="shared" si="30"/>
        <v>4.6967416320993223E-2</v>
      </c>
    </row>
    <row r="151" spans="1:10" x14ac:dyDescent="0.3">
      <c r="A151" s="8">
        <f t="shared" si="25"/>
        <v>2.8653846153842082</v>
      </c>
      <c r="B151">
        <f t="shared" si="26"/>
        <v>62.865384615384208</v>
      </c>
      <c r="C151">
        <f t="shared" si="21"/>
        <v>2.0908039215526631E-2</v>
      </c>
      <c r="D151">
        <f t="shared" si="22"/>
        <v>2.0908039215526632E-3</v>
      </c>
      <c r="E151">
        <f t="shared" si="23"/>
        <v>1.907289603694582E-2</v>
      </c>
      <c r="F151" s="9">
        <f t="shared" si="24"/>
        <v>1.907289603694582E-2</v>
      </c>
      <c r="G151">
        <f t="shared" si="27"/>
        <v>0.90666616483580076</v>
      </c>
      <c r="H151">
        <f t="shared" si="28"/>
        <v>4.6017431679907024E-2</v>
      </c>
      <c r="I151">
        <f t="shared" si="29"/>
        <v>4.7316403484291406E-2</v>
      </c>
      <c r="J151">
        <f t="shared" si="30"/>
        <v>4.7316403484292217E-2</v>
      </c>
    </row>
    <row r="152" spans="1:10" x14ac:dyDescent="0.3">
      <c r="A152" s="8">
        <f t="shared" si="25"/>
        <v>2.8846153846149747</v>
      </c>
      <c r="B152">
        <f t="shared" si="26"/>
        <v>62.884615384614975</v>
      </c>
      <c r="C152">
        <f t="shared" si="21"/>
        <v>2.09625979707459E-2</v>
      </c>
      <c r="D152">
        <f t="shared" si="22"/>
        <v>2.09625979707459E-3</v>
      </c>
      <c r="E152">
        <f t="shared" si="23"/>
        <v>1.910417409959295E-2</v>
      </c>
      <c r="F152" s="9">
        <f t="shared" si="24"/>
        <v>1.910417409959295E-2</v>
      </c>
      <c r="G152">
        <f t="shared" si="27"/>
        <v>0.9059709119933913</v>
      </c>
      <c r="H152">
        <f t="shared" si="28"/>
        <v>4.636325307630787E-2</v>
      </c>
      <c r="I152">
        <f t="shared" si="29"/>
        <v>4.7665834930300015E-2</v>
      </c>
      <c r="J152">
        <f t="shared" si="30"/>
        <v>4.7665834930300827E-2</v>
      </c>
    </row>
    <row r="153" spans="1:10" x14ac:dyDescent="0.3">
      <c r="A153" s="8">
        <f t="shared" si="25"/>
        <v>2.9038461538457412</v>
      </c>
      <c r="B153">
        <f t="shared" si="26"/>
        <v>62.903846153845741</v>
      </c>
      <c r="C153">
        <f t="shared" si="21"/>
        <v>2.1017301871863268E-2</v>
      </c>
      <c r="D153">
        <f t="shared" si="22"/>
        <v>2.1017301871863268E-3</v>
      </c>
      <c r="E153">
        <f t="shared" si="23"/>
        <v>1.9135504836696484E-2</v>
      </c>
      <c r="F153" s="9">
        <f t="shared" si="24"/>
        <v>1.9135504836696484E-2</v>
      </c>
      <c r="G153">
        <f t="shared" si="27"/>
        <v>0.90527471698166606</v>
      </c>
      <c r="H153">
        <f t="shared" si="28"/>
        <v>4.6709571978600734E-2</v>
      </c>
      <c r="I153">
        <f t="shared" si="29"/>
        <v>4.8015711039732359E-2</v>
      </c>
      <c r="J153">
        <f t="shared" si="30"/>
        <v>4.8015711039733205E-2</v>
      </c>
    </row>
    <row r="154" spans="1:10" x14ac:dyDescent="0.3">
      <c r="A154" s="8">
        <f t="shared" si="25"/>
        <v>2.9230769230765077</v>
      </c>
      <c r="B154">
        <f t="shared" si="26"/>
        <v>62.923076923076508</v>
      </c>
      <c r="C154">
        <f t="shared" si="21"/>
        <v>2.1072151305019077E-2</v>
      </c>
      <c r="D154">
        <f t="shared" si="22"/>
        <v>2.1072151305019078E-3</v>
      </c>
      <c r="E154">
        <f t="shared" si="23"/>
        <v>1.916688833696395E-2</v>
      </c>
      <c r="F154" s="9">
        <f t="shared" si="24"/>
        <v>1.916688833696395E-2</v>
      </c>
      <c r="G154">
        <f t="shared" si="27"/>
        <v>0.90457757948528816</v>
      </c>
      <c r="H154">
        <f t="shared" si="28"/>
        <v>4.7056388321789093E-2</v>
      </c>
      <c r="I154">
        <f t="shared" si="29"/>
        <v>4.8366032192921939E-2</v>
      </c>
      <c r="J154">
        <f t="shared" si="30"/>
        <v>4.8366032192922744E-2</v>
      </c>
    </row>
    <row r="155" spans="1:10" x14ac:dyDescent="0.3">
      <c r="A155" s="8">
        <f t="shared" si="25"/>
        <v>2.9423076923072742</v>
      </c>
      <c r="B155">
        <f t="shared" si="26"/>
        <v>62.942307692307274</v>
      </c>
      <c r="C155">
        <f t="shared" si="21"/>
        <v>2.1127146657380778E-2</v>
      </c>
      <c r="D155">
        <f t="shared" si="22"/>
        <v>2.1127146657380779E-3</v>
      </c>
      <c r="E155">
        <f t="shared" si="23"/>
        <v>1.91983246892522E-2</v>
      </c>
      <c r="F155" s="9">
        <f t="shared" si="24"/>
        <v>1.91983246892522E-2</v>
      </c>
      <c r="G155">
        <f t="shared" si="27"/>
        <v>0.90387949919400545</v>
      </c>
      <c r="H155">
        <f t="shared" si="28"/>
        <v>4.7403702036175228E-2</v>
      </c>
      <c r="I155">
        <f t="shared" si="29"/>
        <v>4.8716798769818478E-2</v>
      </c>
      <c r="J155">
        <f t="shared" si="30"/>
        <v>4.8716798769819318E-2</v>
      </c>
    </row>
    <row r="156" spans="1:10" x14ac:dyDescent="0.3">
      <c r="A156" s="8">
        <f t="shared" si="25"/>
        <v>2.9615384615380407</v>
      </c>
      <c r="B156">
        <f t="shared" si="26"/>
        <v>62.961538461538041</v>
      </c>
      <c r="C156">
        <f t="shared" si="21"/>
        <v>2.1182288317145973E-2</v>
      </c>
      <c r="D156">
        <f t="shared" si="22"/>
        <v>2.1182288317145976E-3</v>
      </c>
      <c r="E156">
        <f t="shared" si="23"/>
        <v>1.9229813982567762E-2</v>
      </c>
      <c r="F156" s="9">
        <f t="shared" si="24"/>
        <v>1.9229813982567762E-2</v>
      </c>
      <c r="G156">
        <f t="shared" si="27"/>
        <v>0.90318047580267746</v>
      </c>
      <c r="H156">
        <f t="shared" si="28"/>
        <v>4.7751513047336894E-2</v>
      </c>
      <c r="I156">
        <f t="shared" si="29"/>
        <v>4.906801114998479E-2</v>
      </c>
      <c r="J156">
        <f t="shared" si="30"/>
        <v>4.9068011149985644E-2</v>
      </c>
    </row>
    <row r="157" spans="1:10" x14ac:dyDescent="0.3">
      <c r="A157" s="8">
        <f t="shared" si="25"/>
        <v>2.9807692307688072</v>
      </c>
      <c r="B157">
        <f t="shared" si="26"/>
        <v>62.980769230768807</v>
      </c>
      <c r="C157">
        <f t="shared" si="21"/>
        <v>2.1237576673544874E-2</v>
      </c>
      <c r="D157">
        <f t="shared" si="22"/>
        <v>2.1237576673544876E-3</v>
      </c>
      <c r="E157">
        <f t="shared" si="23"/>
        <v>1.9261356306067023E-2</v>
      </c>
      <c r="F157" s="9">
        <f t="shared" si="24"/>
        <v>1.9261356306067023E-2</v>
      </c>
      <c r="G157">
        <f t="shared" si="27"/>
        <v>0.90248050901130161</v>
      </c>
      <c r="H157">
        <f t="shared" si="28"/>
        <v>4.8099821276103974E-2</v>
      </c>
      <c r="I157">
        <f t="shared" si="29"/>
        <v>4.9419669712593615E-2</v>
      </c>
      <c r="J157">
        <f t="shared" si="30"/>
        <v>4.9419669712594413E-2</v>
      </c>
    </row>
    <row r="158" spans="1:10" x14ac:dyDescent="0.3">
      <c r="A158" s="8">
        <f t="shared" si="25"/>
        <v>2.9999999999995737</v>
      </c>
      <c r="B158">
        <f t="shared" si="26"/>
        <v>62.999999999999574</v>
      </c>
      <c r="C158">
        <f t="shared" si="21"/>
        <v>2.1293012116843282E-2</v>
      </c>
      <c r="D158">
        <f t="shared" si="22"/>
        <v>2.1293012116843282E-3</v>
      </c>
      <c r="E158">
        <f t="shared" si="23"/>
        <v>1.929295174905658E-2</v>
      </c>
      <c r="F158" s="9">
        <f t="shared" si="24"/>
        <v>1.929295174905658E-2</v>
      </c>
      <c r="G158">
        <f t="shared" si="27"/>
        <v>0.90177959852503964</v>
      </c>
      <c r="H158">
        <f t="shared" si="28"/>
        <v>4.844862663853506E-2</v>
      </c>
      <c r="I158">
        <f t="shared" si="29"/>
        <v>4.9771774836424476E-2</v>
      </c>
      <c r="J158">
        <f t="shared" si="30"/>
        <v>4.9771774836425302E-2</v>
      </c>
    </row>
    <row r="159" spans="1:10" x14ac:dyDescent="0.3">
      <c r="A159" s="8">
        <f t="shared" si="25"/>
        <v>3.0192307692303402</v>
      </c>
      <c r="B159">
        <f t="shared" si="26"/>
        <v>63.01923076923034</v>
      </c>
      <c r="C159">
        <f t="shared" si="21"/>
        <v>2.1348595038345252E-2</v>
      </c>
      <c r="D159">
        <f t="shared" si="22"/>
        <v>2.1348595038345251E-3</v>
      </c>
      <c r="E159">
        <f t="shared" si="23"/>
        <v>1.9324600400993368E-2</v>
      </c>
      <c r="F159" s="9">
        <f t="shared" si="24"/>
        <v>1.9324600400993368E-2</v>
      </c>
      <c r="G159">
        <f t="shared" si="27"/>
        <v>0.90107774405424468</v>
      </c>
      <c r="H159">
        <f t="shared" si="28"/>
        <v>4.8797929045893994E-2</v>
      </c>
      <c r="I159">
        <f t="shared" si="29"/>
        <v>5.0124326899860489E-2</v>
      </c>
      <c r="J159">
        <f t="shared" si="30"/>
        <v>5.0124326899861328E-2</v>
      </c>
    </row>
    <row r="160" spans="1:10" x14ac:dyDescent="0.3">
      <c r="A160" s="8">
        <f t="shared" si="25"/>
        <v>3.0384615384611067</v>
      </c>
      <c r="B160">
        <f t="shared" si="26"/>
        <v>63.038461538461107</v>
      </c>
      <c r="C160">
        <f t="shared" si="21"/>
        <v>2.1404325830395747E-2</v>
      </c>
      <c r="D160">
        <f t="shared" si="22"/>
        <v>2.1404325830395748E-3</v>
      </c>
      <c r="E160">
        <f t="shared" si="23"/>
        <v>1.9356302351484996E-2</v>
      </c>
      <c r="F160" s="9">
        <f t="shared" si="24"/>
        <v>1.9356302351484996E-2</v>
      </c>
      <c r="G160">
        <f t="shared" si="27"/>
        <v>0.9003749453144877</v>
      </c>
      <c r="H160">
        <f t="shared" si="28"/>
        <v>4.9147728404626313E-2</v>
      </c>
      <c r="I160">
        <f t="shared" si="29"/>
        <v>5.0477326280885193E-2</v>
      </c>
      <c r="J160">
        <f t="shared" si="30"/>
        <v>5.0477326280885991E-2</v>
      </c>
    </row>
    <row r="161" spans="1:10" x14ac:dyDescent="0.3">
      <c r="A161" s="8">
        <f t="shared" si="25"/>
        <v>3.0576923076918732</v>
      </c>
      <c r="B161">
        <f t="shared" si="26"/>
        <v>63.057692307691873</v>
      </c>
      <c r="C161">
        <f t="shared" si="21"/>
        <v>2.1460204886383637E-2</v>
      </c>
      <c r="D161">
        <f t="shared" si="22"/>
        <v>2.1460204886383639E-3</v>
      </c>
      <c r="E161">
        <f t="shared" si="23"/>
        <v>1.9388057690289964E-2</v>
      </c>
      <c r="F161" s="9">
        <f t="shared" si="24"/>
        <v>1.9388057690289964E-2</v>
      </c>
      <c r="G161">
        <f t="shared" si="27"/>
        <v>0.89967120202658413</v>
      </c>
      <c r="H161">
        <f t="shared" si="28"/>
        <v>4.9498024616335692E-2</v>
      </c>
      <c r="I161">
        <f t="shared" si="29"/>
        <v>5.0830773357079376E-2</v>
      </c>
      <c r="J161">
        <f t="shared" si="30"/>
        <v>5.0830773357080181E-2</v>
      </c>
    </row>
    <row r="162" spans="1:10" x14ac:dyDescent="0.3">
      <c r="A162" s="8">
        <f t="shared" si="25"/>
        <v>3.0769230769226397</v>
      </c>
      <c r="B162">
        <f t="shared" si="26"/>
        <v>63.07692307692264</v>
      </c>
      <c r="C162">
        <f t="shared" si="21"/>
        <v>2.1516232600744215E-2</v>
      </c>
      <c r="D162">
        <f t="shared" si="22"/>
        <v>2.1516232600744217E-3</v>
      </c>
      <c r="E162">
        <f t="shared" si="23"/>
        <v>1.9419866507317973E-2</v>
      </c>
      <c r="F162" s="9">
        <f t="shared" si="24"/>
        <v>1.9419866507317973E-2</v>
      </c>
      <c r="G162">
        <f t="shared" si="27"/>
        <v>0.89896651391662108</v>
      </c>
      <c r="H162">
        <f t="shared" si="28"/>
        <v>4.9848817577760288E-2</v>
      </c>
      <c r="I162">
        <f t="shared" si="29"/>
        <v>5.1184668505617856E-2</v>
      </c>
      <c r="J162">
        <f t="shared" si="30"/>
        <v>5.1184668505618633E-2</v>
      </c>
    </row>
    <row r="163" spans="1:10" x14ac:dyDescent="0.3">
      <c r="A163" s="8">
        <f t="shared" si="25"/>
        <v>3.0961538461534062</v>
      </c>
      <c r="B163">
        <f t="shared" si="26"/>
        <v>63.096153846153406</v>
      </c>
      <c r="C163">
        <f t="shared" si="21"/>
        <v>2.1572409368962254E-2</v>
      </c>
      <c r="D163">
        <f t="shared" si="22"/>
        <v>2.1572409368962255E-3</v>
      </c>
      <c r="E163">
        <f t="shared" si="23"/>
        <v>1.94517288926301E-2</v>
      </c>
      <c r="F163" s="9">
        <f t="shared" si="24"/>
        <v>1.94517288926301E-2</v>
      </c>
      <c r="G163">
        <f t="shared" si="27"/>
        <v>0.89826088071598387</v>
      </c>
      <c r="H163">
        <f t="shared" si="28"/>
        <v>5.0200107180749035E-2</v>
      </c>
      <c r="I163">
        <f t="shared" si="29"/>
        <v>5.1539012103266273E-2</v>
      </c>
      <c r="J163">
        <f t="shared" si="30"/>
        <v>5.1539012103267098E-2</v>
      </c>
    </row>
    <row r="164" spans="1:10" x14ac:dyDescent="0.3">
      <c r="A164" s="8">
        <f t="shared" si="25"/>
        <v>3.1153846153841727</v>
      </c>
      <c r="B164">
        <f t="shared" si="26"/>
        <v>63.115384615384173</v>
      </c>
      <c r="C164">
        <f t="shared" si="21"/>
        <v>2.1628735587574513E-2</v>
      </c>
      <c r="D164">
        <f t="shared" si="22"/>
        <v>2.1628735587574514E-3</v>
      </c>
      <c r="E164">
        <f t="shared" si="23"/>
        <v>1.9483644936439077E-2</v>
      </c>
      <c r="F164" s="9">
        <f t="shared" si="24"/>
        <v>1.9483644936439077E-2</v>
      </c>
      <c r="G164">
        <f t="shared" si="27"/>
        <v>0.89755430216138343</v>
      </c>
      <c r="H164">
        <f t="shared" si="28"/>
        <v>5.0551893312237917E-2</v>
      </c>
      <c r="I164">
        <f t="shared" si="29"/>
        <v>5.1893804526377874E-2</v>
      </c>
      <c r="J164">
        <f t="shared" si="30"/>
        <v>5.1893804526378651E-2</v>
      </c>
    </row>
    <row r="165" spans="1:10" x14ac:dyDescent="0.3">
      <c r="A165" s="8">
        <f t="shared" si="25"/>
        <v>3.1346153846149392</v>
      </c>
      <c r="B165">
        <f t="shared" si="26"/>
        <v>63.134615384614939</v>
      </c>
      <c r="C165">
        <f t="shared" si="21"/>
        <v>2.1685211654172795E-2</v>
      </c>
      <c r="D165">
        <f t="shared" si="22"/>
        <v>2.1685211654172798E-3</v>
      </c>
      <c r="E165">
        <f t="shared" si="23"/>
        <v>1.9515614729109624E-2</v>
      </c>
      <c r="F165" s="9">
        <f t="shared" si="24"/>
        <v>1.9515614729109624E-2</v>
      </c>
      <c r="G165">
        <f t="shared" si="27"/>
        <v>0.89684677799488277</v>
      </c>
      <c r="H165">
        <f t="shared" si="28"/>
        <v>5.0904175854226144E-2</v>
      </c>
      <c r="I165">
        <f t="shared" si="29"/>
        <v>5.2249046150890301E-2</v>
      </c>
      <c r="J165">
        <f t="shared" si="30"/>
        <v>5.2249046150891085E-2</v>
      </c>
    </row>
    <row r="166" spans="1:10" x14ac:dyDescent="0.3">
      <c r="A166" s="8">
        <f t="shared" si="25"/>
        <v>3.1538461538457057</v>
      </c>
      <c r="B166">
        <f t="shared" si="26"/>
        <v>63.153846153845706</v>
      </c>
      <c r="C166">
        <f t="shared" si="21"/>
        <v>2.1741837967406634E-2</v>
      </c>
      <c r="D166">
        <f t="shared" si="22"/>
        <v>2.1741837967406636E-3</v>
      </c>
      <c r="E166">
        <f t="shared" si="23"/>
        <v>1.9547638361158588E-2</v>
      </c>
      <c r="F166" s="9">
        <f t="shared" si="24"/>
        <v>1.9547638361158588E-2</v>
      </c>
      <c r="G166">
        <f t="shared" si="27"/>
        <v>0.89613830796392457</v>
      </c>
      <c r="H166">
        <f t="shared" si="28"/>
        <v>5.1256954683752298E-2</v>
      </c>
      <c r="I166">
        <f t="shared" si="29"/>
        <v>5.260473735232233E-2</v>
      </c>
      <c r="J166">
        <f t="shared" si="30"/>
        <v>5.2604737352323128E-2</v>
      </c>
    </row>
    <row r="167" spans="1:10" x14ac:dyDescent="0.3">
      <c r="A167" s="8">
        <f t="shared" si="25"/>
        <v>3.1730769230764722</v>
      </c>
      <c r="B167">
        <f t="shared" si="26"/>
        <v>63.173076923076472</v>
      </c>
      <c r="C167">
        <f t="shared" si="21"/>
        <v>2.179861492698601E-2</v>
      </c>
      <c r="D167">
        <f t="shared" si="22"/>
        <v>2.1798614926986011E-3</v>
      </c>
      <c r="E167">
        <f t="shared" si="23"/>
        <v>1.9579715923255258E-2</v>
      </c>
      <c r="F167" s="9">
        <f t="shared" si="24"/>
        <v>1.9579715923255258E-2</v>
      </c>
      <c r="G167">
        <f t="shared" si="27"/>
        <v>0.89542889182135821</v>
      </c>
      <c r="H167">
        <f t="shared" si="28"/>
        <v>5.1610229672870406E-2</v>
      </c>
      <c r="I167">
        <f t="shared" si="29"/>
        <v>5.296087850577063E-2</v>
      </c>
      <c r="J167">
        <f t="shared" si="30"/>
        <v>5.2960878505771386E-2</v>
      </c>
    </row>
    <row r="168" spans="1:10" x14ac:dyDescent="0.3">
      <c r="A168" s="8">
        <f t="shared" si="25"/>
        <v>3.1923076923072387</v>
      </c>
      <c r="B168">
        <f t="shared" si="26"/>
        <v>63.192307692307239</v>
      </c>
      <c r="C168">
        <f t="shared" si="21"/>
        <v>2.185554293368442E-2</v>
      </c>
      <c r="D168">
        <f t="shared" si="22"/>
        <v>2.1855542933684421E-3</v>
      </c>
      <c r="E168">
        <f t="shared" si="23"/>
        <v>1.9611847506221618E-2</v>
      </c>
      <c r="F168" s="9">
        <f t="shared" si="24"/>
        <v>1.9611847506221618E-2</v>
      </c>
      <c r="G168">
        <f t="shared" si="27"/>
        <v>0.8947185293254668</v>
      </c>
      <c r="H168">
        <f t="shared" si="28"/>
        <v>5.1964000688625972E-2</v>
      </c>
      <c r="I168">
        <f t="shared" si="29"/>
        <v>5.3317469985906515E-2</v>
      </c>
      <c r="J168">
        <f t="shared" si="30"/>
        <v>5.3317469985907223E-2</v>
      </c>
    </row>
    <row r="169" spans="1:10" x14ac:dyDescent="0.3">
      <c r="A169" s="8">
        <f t="shared" si="25"/>
        <v>3.2115384615380052</v>
      </c>
      <c r="B169">
        <f t="shared" si="26"/>
        <v>63.211538461538005</v>
      </c>
      <c r="C169">
        <f t="shared" si="21"/>
        <v>2.1912622389341416E-2</v>
      </c>
      <c r="D169">
        <f t="shared" si="22"/>
        <v>2.1912622389341418E-3</v>
      </c>
      <c r="E169">
        <f t="shared" si="23"/>
        <v>1.964403320103264E-2</v>
      </c>
      <c r="F169" s="9">
        <f t="shared" si="24"/>
        <v>1.964403320103264E-2</v>
      </c>
      <c r="G169">
        <f t="shared" si="27"/>
        <v>0.89400722023999468</v>
      </c>
      <c r="H169">
        <f t="shared" si="28"/>
        <v>5.2318267593031965E-2</v>
      </c>
      <c r="I169">
        <f t="shared" si="29"/>
        <v>5.3674512166972679E-2</v>
      </c>
      <c r="J169">
        <f t="shared" si="30"/>
        <v>5.3674512166973352E-2</v>
      </c>
    </row>
    <row r="170" spans="1:10" x14ac:dyDescent="0.3">
      <c r="A170" s="8">
        <f t="shared" si="25"/>
        <v>3.2307692307687716</v>
      </c>
      <c r="B170">
        <f t="shared" si="26"/>
        <v>63.230769230768772</v>
      </c>
      <c r="C170">
        <f t="shared" si="21"/>
        <v>2.1969853696865733E-2</v>
      </c>
      <c r="D170">
        <f t="shared" si="22"/>
        <v>2.1969853696865733E-3</v>
      </c>
      <c r="E170">
        <f t="shared" si="23"/>
        <v>1.9676273098816456E-2</v>
      </c>
      <c r="F170" s="9">
        <f t="shared" si="24"/>
        <v>1.9676273098816456E-2</v>
      </c>
      <c r="G170">
        <f t="shared" si="27"/>
        <v>0.89329496433417477</v>
      </c>
      <c r="H170">
        <f t="shared" si="28"/>
        <v>5.2673030243044712E-2</v>
      </c>
      <c r="I170">
        <f t="shared" si="29"/>
        <v>5.4032005422779895E-2</v>
      </c>
      <c r="J170">
        <f t="shared" si="30"/>
        <v>5.403200542278052E-2</v>
      </c>
    </row>
    <row r="171" spans="1:10" x14ac:dyDescent="0.3">
      <c r="A171" s="8">
        <f t="shared" si="25"/>
        <v>3.2499999999995381</v>
      </c>
      <c r="B171">
        <f t="shared" si="26"/>
        <v>63.249999999999538</v>
      </c>
      <c r="C171">
        <f t="shared" si="21"/>
        <v>2.2027237260237847E-2</v>
      </c>
      <c r="D171">
        <f t="shared" si="22"/>
        <v>2.2027237260237847E-3</v>
      </c>
      <c r="E171">
        <f t="shared" si="23"/>
        <v>1.9708567290854687E-2</v>
      </c>
      <c r="F171" s="9">
        <f t="shared" si="24"/>
        <v>1.9708567290854687E-2</v>
      </c>
      <c r="G171">
        <f t="shared" si="27"/>
        <v>0.8925817613827558</v>
      </c>
      <c r="H171">
        <f t="shared" si="28"/>
        <v>5.3028288490539775E-2</v>
      </c>
      <c r="I171">
        <f t="shared" si="29"/>
        <v>5.4389950126703765E-2</v>
      </c>
      <c r="J171">
        <f t="shared" si="30"/>
        <v>5.4389950126704424E-2</v>
      </c>
    </row>
    <row r="172" spans="1:10" x14ac:dyDescent="0.3">
      <c r="A172" s="8">
        <f t="shared" si="25"/>
        <v>3.2692307692303046</v>
      </c>
      <c r="B172">
        <f t="shared" si="26"/>
        <v>63.269230769230305</v>
      </c>
      <c r="C172">
        <f t="shared" si="21"/>
        <v>2.2084773484513064E-2</v>
      </c>
      <c r="D172">
        <f t="shared" si="22"/>
        <v>2.2084773484513064E-3</v>
      </c>
      <c r="E172">
        <f t="shared" si="23"/>
        <v>1.9740915868582655E-2</v>
      </c>
      <c r="F172" s="9">
        <f t="shared" si="24"/>
        <v>1.9740915868582655E-2</v>
      </c>
      <c r="G172">
        <f t="shared" si="27"/>
        <v>0.89186761116603019</v>
      </c>
      <c r="H172">
        <f t="shared" si="28"/>
        <v>5.3384042182287768E-2</v>
      </c>
      <c r="I172">
        <f t="shared" si="29"/>
        <v>5.4748346651681386E-2</v>
      </c>
      <c r="J172">
        <f t="shared" si="30"/>
        <v>5.4748346651682038E-2</v>
      </c>
    </row>
    <row r="173" spans="1:10" x14ac:dyDescent="0.3">
      <c r="A173" s="8">
        <f t="shared" si="25"/>
        <v>3.2884615384610711</v>
      </c>
      <c r="B173">
        <f t="shared" si="26"/>
        <v>63.288461538461071</v>
      </c>
      <c r="C173">
        <f t="shared" si="21"/>
        <v>2.2142462775824299E-2</v>
      </c>
      <c r="D173">
        <f t="shared" si="22"/>
        <v>2.2142462775824301E-3</v>
      </c>
      <c r="E173">
        <f t="shared" si="23"/>
        <v>1.977331892358972E-2</v>
      </c>
      <c r="F173" s="9">
        <f t="shared" si="24"/>
        <v>1.977331892358972E-2</v>
      </c>
      <c r="G173">
        <f t="shared" si="27"/>
        <v>0.89115251346986113</v>
      </c>
      <c r="H173">
        <f t="shared" si="28"/>
        <v>5.3740291159930106E-2</v>
      </c>
      <c r="I173">
        <f t="shared" si="29"/>
        <v>5.5107195370208077E-2</v>
      </c>
      <c r="J173">
        <f t="shared" si="30"/>
        <v>5.5107195370208764E-2</v>
      </c>
    </row>
    <row r="174" spans="1:10" x14ac:dyDescent="0.3">
      <c r="A174" s="8">
        <f t="shared" si="25"/>
        <v>3.3076923076918376</v>
      </c>
      <c r="B174">
        <f t="shared" si="26"/>
        <v>63.307692307691838</v>
      </c>
      <c r="C174">
        <f t="shared" si="21"/>
        <v>2.2200305541384809E-2</v>
      </c>
      <c r="D174">
        <f t="shared" si="22"/>
        <v>2.2200305541384808E-3</v>
      </c>
      <c r="E174">
        <f t="shared" si="23"/>
        <v>1.9805776547619437E-2</v>
      </c>
      <c r="F174" s="9">
        <f t="shared" si="24"/>
        <v>1.9805776547619437E-2</v>
      </c>
      <c r="G174">
        <f t="shared" si="27"/>
        <v>0.89043646808571053</v>
      </c>
      <c r="H174">
        <f t="shared" si="28"/>
        <v>5.4097035259954719E-2</v>
      </c>
      <c r="I174">
        <f t="shared" si="29"/>
        <v>5.5466496654334042E-2</v>
      </c>
      <c r="J174">
        <f t="shared" si="30"/>
        <v>5.546649665433475E-2</v>
      </c>
    </row>
    <row r="175" spans="1:10" x14ac:dyDescent="0.3">
      <c r="A175" s="8">
        <f t="shared" si="25"/>
        <v>3.3269230769226041</v>
      </c>
      <c r="B175">
        <f t="shared" si="26"/>
        <v>63.326923076922604</v>
      </c>
      <c r="C175">
        <f t="shared" si="21"/>
        <v>2.225830218949133E-2</v>
      </c>
      <c r="D175">
        <f t="shared" si="22"/>
        <v>2.225830218949133E-3</v>
      </c>
      <c r="E175">
        <f t="shared" si="23"/>
        <v>1.9838288832569849E-2</v>
      </c>
      <c r="F175" s="9">
        <f t="shared" si="24"/>
        <v>1.9838288832569849E-2</v>
      </c>
      <c r="G175">
        <f t="shared" si="27"/>
        <v>0.8897194748106666</v>
      </c>
      <c r="H175">
        <f t="shared" si="28"/>
        <v>5.4454274313671669E-2</v>
      </c>
      <c r="I175">
        <f t="shared" si="29"/>
        <v>5.5826250875661051E-2</v>
      </c>
      <c r="J175">
        <f t="shared" si="30"/>
        <v>5.5826250875661731E-2</v>
      </c>
    </row>
    <row r="176" spans="1:10" x14ac:dyDescent="0.3">
      <c r="A176" s="8">
        <f t="shared" si="25"/>
        <v>3.3461538461533706</v>
      </c>
      <c r="B176">
        <f t="shared" si="26"/>
        <v>63.346153846153371</v>
      </c>
      <c r="C176">
        <f t="shared" si="21"/>
        <v>2.2316453129526667E-2</v>
      </c>
      <c r="D176">
        <f t="shared" si="22"/>
        <v>2.2316453129526668E-3</v>
      </c>
      <c r="E176">
        <f t="shared" si="23"/>
        <v>1.9870855870493833E-2</v>
      </c>
      <c r="F176" s="9">
        <f t="shared" si="24"/>
        <v>1.9870855870493833E-2</v>
      </c>
      <c r="G176">
        <f t="shared" si="27"/>
        <v>0.88900153344747146</v>
      </c>
      <c r="H176">
        <f t="shared" si="28"/>
        <v>5.4812008147188791E-2</v>
      </c>
      <c r="I176">
        <f t="shared" si="29"/>
        <v>5.6186458405339111E-2</v>
      </c>
      <c r="J176">
        <f t="shared" si="30"/>
        <v>5.618645840533975E-2</v>
      </c>
    </row>
    <row r="177" spans="1:10" x14ac:dyDescent="0.3">
      <c r="A177" s="8">
        <f t="shared" si="25"/>
        <v>3.3653846153841371</v>
      </c>
      <c r="B177">
        <f t="shared" si="26"/>
        <v>63.365384615384137</v>
      </c>
      <c r="C177">
        <f t="shared" si="21"/>
        <v>2.2374758771962881E-2</v>
      </c>
      <c r="D177">
        <f t="shared" si="22"/>
        <v>2.2374758771962883E-3</v>
      </c>
      <c r="E177">
        <f t="shared" si="23"/>
        <v>1.9903477753599221E-2</v>
      </c>
      <c r="F177" s="9">
        <f t="shared" si="24"/>
        <v>1.9903477753599221E-2</v>
      </c>
      <c r="G177">
        <f t="shared" si="27"/>
        <v>0.88828264380454902</v>
      </c>
      <c r="H177">
        <f t="shared" si="28"/>
        <v>5.5170236581387207E-2</v>
      </c>
      <c r="I177">
        <f t="shared" si="29"/>
        <v>5.6547119614063106E-2</v>
      </c>
      <c r="J177">
        <f t="shared" si="30"/>
        <v>5.6547119614063772E-2</v>
      </c>
    </row>
    <row r="178" spans="1:10" x14ac:dyDescent="0.3">
      <c r="A178" s="8">
        <f t="shared" si="25"/>
        <v>3.3846153846149036</v>
      </c>
      <c r="B178">
        <f t="shared" si="26"/>
        <v>63.384615384614904</v>
      </c>
      <c r="C178">
        <f t="shared" si="21"/>
        <v>2.2433219528363885E-2</v>
      </c>
      <c r="D178">
        <f t="shared" si="22"/>
        <v>2.2433219528363887E-3</v>
      </c>
      <c r="E178">
        <f t="shared" si="23"/>
        <v>1.9936154574249163E-2</v>
      </c>
      <c r="F178" s="9">
        <f t="shared" si="24"/>
        <v>1.9936154574249163E-2</v>
      </c>
      <c r="G178">
        <f t="shared" si="27"/>
        <v>0.88756280569603307</v>
      </c>
      <c r="H178">
        <f t="shared" si="28"/>
        <v>5.552895943189682E-2</v>
      </c>
      <c r="I178">
        <f t="shared" si="29"/>
        <v>5.690823487206946E-2</v>
      </c>
      <c r="J178">
        <f t="shared" si="30"/>
        <v>5.6908234872070106E-2</v>
      </c>
    </row>
    <row r="179" spans="1:10" x14ac:dyDescent="0.3">
      <c r="A179" s="8">
        <f t="shared" si="25"/>
        <v>3.4038461538456701</v>
      </c>
      <c r="B179">
        <f t="shared" si="26"/>
        <v>63.40384615384567</v>
      </c>
      <c r="C179">
        <f t="shared" si="21"/>
        <v>2.2491835811388614E-2</v>
      </c>
      <c r="D179">
        <f t="shared" si="22"/>
        <v>2.2491835811388615E-3</v>
      </c>
      <c r="E179">
        <f t="shared" si="23"/>
        <v>1.9968886424962317E-2</v>
      </c>
      <c r="F179" s="9">
        <f t="shared" si="24"/>
        <v>1.9968886424962317E-2</v>
      </c>
      <c r="G179">
        <f t="shared" si="27"/>
        <v>0.88684201894179482</v>
      </c>
      <c r="H179">
        <f t="shared" si="28"/>
        <v>5.5888176509071755E-2</v>
      </c>
      <c r="I179">
        <f t="shared" si="29"/>
        <v>5.7269804549132768E-2</v>
      </c>
      <c r="J179">
        <f t="shared" si="30"/>
        <v>5.7269804549133427E-2</v>
      </c>
    </row>
    <row r="180" spans="1:10" x14ac:dyDescent="0.3">
      <c r="A180" s="8">
        <f t="shared" si="25"/>
        <v>3.4230769230764366</v>
      </c>
      <c r="B180">
        <f t="shared" si="26"/>
        <v>63.423076923076437</v>
      </c>
      <c r="C180">
        <f t="shared" si="21"/>
        <v>2.2550608034793827E-2</v>
      </c>
      <c r="D180">
        <f t="shared" si="22"/>
        <v>2.255060803479383E-3</v>
      </c>
      <c r="E180">
        <f t="shared" si="23"/>
        <v>2.0001673398413224E-2</v>
      </c>
      <c r="F180" s="9">
        <f t="shared" si="24"/>
        <v>2.0001673398413224E-2</v>
      </c>
      <c r="G180">
        <f t="shared" si="27"/>
        <v>0.88612028336747117</v>
      </c>
      <c r="H180">
        <f t="shared" si="28"/>
        <v>5.6247887617965744E-2</v>
      </c>
      <c r="I180">
        <f t="shared" si="29"/>
        <v>5.7631829014562402E-2</v>
      </c>
      <c r="J180">
        <f t="shared" si="30"/>
        <v>5.7631829014563082E-2</v>
      </c>
    </row>
    <row r="181" spans="1:10" x14ac:dyDescent="0.3">
      <c r="A181" s="8">
        <f t="shared" si="25"/>
        <v>3.4423076923072031</v>
      </c>
      <c r="B181">
        <f t="shared" si="26"/>
        <v>63.442307692307203</v>
      </c>
      <c r="C181">
        <f t="shared" si="21"/>
        <v>2.2609536613436898E-2</v>
      </c>
      <c r="D181">
        <f t="shared" si="22"/>
        <v>2.2609536613436899E-3</v>
      </c>
      <c r="E181">
        <f t="shared" si="23"/>
        <v>2.0034515587432432E-2</v>
      </c>
      <c r="F181" s="9">
        <f t="shared" si="24"/>
        <v>2.0034515587432432E-2</v>
      </c>
      <c r="G181">
        <f t="shared" si="27"/>
        <v>0.88539759880449276</v>
      </c>
      <c r="H181">
        <f t="shared" si="28"/>
        <v>5.6608092558307462E-2</v>
      </c>
      <c r="I181">
        <f t="shared" si="29"/>
        <v>5.7994308637199149E-2</v>
      </c>
      <c r="J181">
        <f t="shared" si="30"/>
        <v>5.799430863719978E-2</v>
      </c>
    </row>
    <row r="182" spans="1:10" x14ac:dyDescent="0.3">
      <c r="A182" s="8">
        <f t="shared" si="25"/>
        <v>3.4615384615379696</v>
      </c>
      <c r="B182">
        <f t="shared" si="26"/>
        <v>63.46153846153797</v>
      </c>
      <c r="C182">
        <f t="shared" si="21"/>
        <v>2.2668621963279047E-2</v>
      </c>
      <c r="D182">
        <f t="shared" si="22"/>
        <v>2.2668621963279046E-3</v>
      </c>
      <c r="E182">
        <f t="shared" si="23"/>
        <v>2.0067413085006831E-2</v>
      </c>
      <c r="F182" s="9">
        <f t="shared" si="24"/>
        <v>2.0067413085006831E-2</v>
      </c>
      <c r="G182">
        <f t="shared" si="27"/>
        <v>0.88467396509011176</v>
      </c>
      <c r="H182">
        <f t="shared" si="28"/>
        <v>5.6968791124475802E-2</v>
      </c>
      <c r="I182">
        <f t="shared" si="29"/>
        <v>5.8357243785411801E-2</v>
      </c>
      <c r="J182">
        <f t="shared" si="30"/>
        <v>5.835724378541244E-2</v>
      </c>
    </row>
    <row r="183" spans="1:10" x14ac:dyDescent="0.3">
      <c r="A183" s="8">
        <f t="shared" si="25"/>
        <v>3.4807692307687361</v>
      </c>
      <c r="B183">
        <f t="shared" si="26"/>
        <v>63.480769230768736</v>
      </c>
      <c r="C183">
        <f t="shared" si="21"/>
        <v>2.2727864501387918E-2</v>
      </c>
      <c r="D183">
        <f t="shared" si="22"/>
        <v>2.2727864501387919E-3</v>
      </c>
      <c r="E183">
        <f t="shared" si="23"/>
        <v>2.010036598427991E-2</v>
      </c>
      <c r="F183" s="9">
        <f t="shared" si="24"/>
        <v>2.010036598427991E-2</v>
      </c>
      <c r="G183">
        <f t="shared" si="27"/>
        <v>0.88394938206743046</v>
      </c>
      <c r="H183">
        <f t="shared" si="28"/>
        <v>5.7329983105475109E-2</v>
      </c>
      <c r="I183">
        <f t="shared" si="29"/>
        <v>5.8720634827093769E-2</v>
      </c>
      <c r="J183">
        <f t="shared" si="30"/>
        <v>5.8720634827094435E-2</v>
      </c>
    </row>
    <row r="184" spans="1:10" x14ac:dyDescent="0.3">
      <c r="A184" s="8">
        <f t="shared" si="25"/>
        <v>3.4999999999995026</v>
      </c>
      <c r="B184">
        <f t="shared" si="26"/>
        <v>63.499999999999503</v>
      </c>
      <c r="C184">
        <f t="shared" si="21"/>
        <v>2.2787264645940886E-2</v>
      </c>
      <c r="D184">
        <f t="shared" si="22"/>
        <v>2.2787264645940885E-3</v>
      </c>
      <c r="E184">
        <f t="shared" si="23"/>
        <v>2.0133374378552046E-2</v>
      </c>
      <c r="F184" s="9">
        <f t="shared" si="24"/>
        <v>2.0133374378552046E-2</v>
      </c>
      <c r="G184">
        <f t="shared" si="27"/>
        <v>0.88322384958542932</v>
      </c>
      <c r="H184">
        <f t="shared" si="28"/>
        <v>5.7691668284910354E-2</v>
      </c>
      <c r="I184">
        <f t="shared" si="29"/>
        <v>5.9084482129659652E-2</v>
      </c>
      <c r="J184">
        <f t="shared" si="30"/>
        <v>5.9084482129660325E-2</v>
      </c>
    </row>
    <row r="185" spans="1:10" x14ac:dyDescent="0.3">
      <c r="A185" s="8">
        <f t="shared" si="25"/>
        <v>3.5192307692302691</v>
      </c>
      <c r="B185">
        <f t="shared" si="26"/>
        <v>63.519230769230269</v>
      </c>
      <c r="C185">
        <f t="shared" si="21"/>
        <v>2.2846822816227654E-2</v>
      </c>
      <c r="D185">
        <f t="shared" si="22"/>
        <v>2.2846822816227656E-3</v>
      </c>
      <c r="E185">
        <f t="shared" si="23"/>
        <v>2.0166438361280712E-2</v>
      </c>
      <c r="F185" s="9">
        <f t="shared" si="24"/>
        <v>2.0166438361280712E-2</v>
      </c>
      <c r="G185">
        <f t="shared" si="27"/>
        <v>0.88249736749899521</v>
      </c>
      <c r="H185">
        <f t="shared" si="28"/>
        <v>5.8053846440962259E-2</v>
      </c>
      <c r="I185">
        <f t="shared" si="29"/>
        <v>5.9448786060041822E-2</v>
      </c>
      <c r="J185">
        <f t="shared" si="30"/>
        <v>5.944878606004253E-2</v>
      </c>
    </row>
    <row r="186" spans="1:10" x14ac:dyDescent="0.3">
      <c r="A186" s="8">
        <f t="shared" si="25"/>
        <v>3.5384615384610356</v>
      </c>
      <c r="B186">
        <f t="shared" si="26"/>
        <v>63.538461538461036</v>
      </c>
      <c r="C186">
        <f t="shared" si="21"/>
        <v>2.2906539432653507E-2</v>
      </c>
      <c r="D186">
        <f t="shared" si="22"/>
        <v>2.2906539432653509E-3</v>
      </c>
      <c r="E186">
        <f t="shared" si="23"/>
        <v>2.0199558026080758E-2</v>
      </c>
      <c r="F186" s="9">
        <f t="shared" si="24"/>
        <v>2.0199558026080758E-2</v>
      </c>
      <c r="G186">
        <f t="shared" si="27"/>
        <v>0.8817699356689499</v>
      </c>
      <c r="H186">
        <f t="shared" si="28"/>
        <v>5.8416517346362377E-2</v>
      </c>
      <c r="I186">
        <f t="shared" si="29"/>
        <v>5.9813546984686973E-2</v>
      </c>
      <c r="J186">
        <f t="shared" si="30"/>
        <v>5.9813546984687722E-2</v>
      </c>
    </row>
    <row r="187" spans="1:10" x14ac:dyDescent="0.3">
      <c r="A187" s="8">
        <f t="shared" si="25"/>
        <v>3.5576923076918021</v>
      </c>
      <c r="B187">
        <f t="shared" si="26"/>
        <v>63.557692307691802</v>
      </c>
      <c r="C187">
        <f t="shared" si="21"/>
        <v>2.2966414916742169E-2</v>
      </c>
      <c r="D187">
        <f t="shared" si="22"/>
        <v>2.2966414916742168E-3</v>
      </c>
      <c r="E187">
        <f t="shared" si="23"/>
        <v>2.0232733466724735E-2</v>
      </c>
      <c r="F187" s="9">
        <f t="shared" si="24"/>
        <v>2.0232733466724735E-2</v>
      </c>
      <c r="G187">
        <f t="shared" si="27"/>
        <v>0.88104155396207839</v>
      </c>
      <c r="H187">
        <f t="shared" si="28"/>
        <v>5.877968076836812E-2</v>
      </c>
      <c r="I187">
        <f t="shared" si="29"/>
        <v>6.0178765269552702E-2</v>
      </c>
      <c r="J187">
        <f t="shared" si="30"/>
        <v>6.0178765269553486E-2</v>
      </c>
    </row>
    <row r="188" spans="1:10" x14ac:dyDescent="0.3">
      <c r="A188" s="8">
        <f t="shared" si="25"/>
        <v>3.5769230769225686</v>
      </c>
      <c r="B188">
        <f t="shared" si="26"/>
        <v>63.576923076922569</v>
      </c>
      <c r="C188">
        <f t="shared" si="21"/>
        <v>2.3026449691138637E-2</v>
      </c>
      <c r="D188">
        <f t="shared" si="22"/>
        <v>2.3026449691138638E-3</v>
      </c>
      <c r="E188">
        <f t="shared" si="23"/>
        <v>2.0265964777143073E-2</v>
      </c>
      <c r="F188" s="9">
        <f t="shared" si="24"/>
        <v>2.0265964777143073E-2</v>
      </c>
      <c r="G188">
        <f t="shared" si="27"/>
        <v>0.88031222225115746</v>
      </c>
      <c r="H188">
        <f t="shared" si="28"/>
        <v>5.9143336468737713E-2</v>
      </c>
      <c r="I188">
        <f t="shared" si="29"/>
        <v>6.0544441280104035E-2</v>
      </c>
      <c r="J188">
        <f t="shared" si="30"/>
        <v>6.0544441280104826E-2</v>
      </c>
    </row>
    <row r="189" spans="1:10" x14ac:dyDescent="0.3">
      <c r="A189" s="8">
        <f t="shared" si="25"/>
        <v>3.5961538461533351</v>
      </c>
      <c r="B189">
        <f t="shared" si="26"/>
        <v>63.596153846153335</v>
      </c>
      <c r="C189">
        <f t="shared" si="21"/>
        <v>2.3086644179612467E-2</v>
      </c>
      <c r="D189">
        <f t="shared" si="22"/>
        <v>2.308664417961247E-3</v>
      </c>
      <c r="E189">
        <f t="shared" si="23"/>
        <v>2.0299252051424407E-2</v>
      </c>
      <c r="F189" s="9">
        <f t="shared" si="24"/>
        <v>2.0299252051424407E-2</v>
      </c>
      <c r="G189">
        <f t="shared" si="27"/>
        <v>0.87958194041498405</v>
      </c>
      <c r="H189">
        <f t="shared" si="28"/>
        <v>5.9507484203705142E-2</v>
      </c>
      <c r="I189">
        <f t="shared" si="29"/>
        <v>6.0910575381309971E-2</v>
      </c>
      <c r="J189">
        <f t="shared" si="30"/>
        <v>6.0910575381310804E-2</v>
      </c>
    </row>
    <row r="190" spans="1:10" x14ac:dyDescent="0.3">
      <c r="A190" s="8">
        <f t="shared" si="25"/>
        <v>3.6153846153841016</v>
      </c>
      <c r="B190">
        <f t="shared" si="26"/>
        <v>63.615384615384102</v>
      </c>
      <c r="C190">
        <f t="shared" si="21"/>
        <v>2.3146998807060431E-2</v>
      </c>
      <c r="D190">
        <f t="shared" si="22"/>
        <v>2.3146998807060432E-3</v>
      </c>
      <c r="E190">
        <f t="shared" si="23"/>
        <v>2.0332595383815783E-2</v>
      </c>
      <c r="F190" s="9">
        <f t="shared" si="24"/>
        <v>2.0332595383815783E-2</v>
      </c>
      <c r="G190">
        <f t="shared" si="27"/>
        <v>0.87885070833840417</v>
      </c>
      <c r="H190">
        <f t="shared" si="28"/>
        <v>5.9872123723955013E-2</v>
      </c>
      <c r="I190">
        <f t="shared" si="29"/>
        <v>6.1277167937640008E-2</v>
      </c>
      <c r="J190">
        <f t="shared" si="30"/>
        <v>6.1277167937640813E-2</v>
      </c>
    </row>
    <row r="191" spans="1:10" x14ac:dyDescent="0.3">
      <c r="A191" s="8">
        <f t="shared" si="25"/>
        <v>3.6346153846148681</v>
      </c>
      <c r="B191">
        <f t="shared" si="26"/>
        <v>63.634615384614868</v>
      </c>
      <c r="C191">
        <f t="shared" si="21"/>
        <v>2.3207513999509825E-2</v>
      </c>
      <c r="D191">
        <f t="shared" si="22"/>
        <v>2.3207513999509827E-3</v>
      </c>
      <c r="E191">
        <f t="shared" si="23"/>
        <v>2.036599486872305E-2</v>
      </c>
      <c r="F191" s="9">
        <f t="shared" si="24"/>
        <v>2.036599486872305E-2</v>
      </c>
      <c r="G191">
        <f t="shared" si="27"/>
        <v>0.87811852591234119</v>
      </c>
      <c r="H191">
        <f t="shared" si="28"/>
        <v>6.0237254774597376E-2</v>
      </c>
      <c r="I191">
        <f t="shared" si="29"/>
        <v>6.1644219313060654E-2</v>
      </c>
      <c r="J191">
        <f t="shared" si="30"/>
        <v>6.1644219313061438E-2</v>
      </c>
    </row>
    <row r="192" spans="1:10" x14ac:dyDescent="0.3">
      <c r="A192" s="8">
        <f t="shared" si="25"/>
        <v>3.6538461538456346</v>
      </c>
      <c r="B192">
        <f t="shared" si="26"/>
        <v>63.653846153845635</v>
      </c>
      <c r="C192">
        <f t="shared" si="21"/>
        <v>2.3268190184121188E-2</v>
      </c>
      <c r="D192">
        <f t="shared" si="22"/>
        <v>2.326819018412119E-3</v>
      </c>
      <c r="E192">
        <f t="shared" si="23"/>
        <v>2.0399450600710963E-2</v>
      </c>
      <c r="F192" s="9">
        <f t="shared" si="24"/>
        <v>2.0399450600710963E-2</v>
      </c>
      <c r="G192">
        <f t="shared" si="27"/>
        <v>0.87738539303382479</v>
      </c>
      <c r="H192">
        <f t="shared" si="28"/>
        <v>6.0602877095142504E-2</v>
      </c>
      <c r="I192">
        <f t="shared" si="29"/>
        <v>6.2011729871031936E-2</v>
      </c>
      <c r="J192">
        <f t="shared" si="30"/>
        <v>6.2011729871032706E-2</v>
      </c>
    </row>
    <row r="193" spans="1:10" x14ac:dyDescent="0.3">
      <c r="A193" s="8">
        <f t="shared" si="25"/>
        <v>3.6730769230764011</v>
      </c>
      <c r="B193">
        <f t="shared" si="26"/>
        <v>63.673076923076401</v>
      </c>
      <c r="C193">
        <f t="shared" si="21"/>
        <v>2.3329027789191575E-2</v>
      </c>
      <c r="D193">
        <f t="shared" si="22"/>
        <v>2.3329027789191575E-3</v>
      </c>
      <c r="E193">
        <f t="shared" si="23"/>
        <v>2.0432962674503563E-2</v>
      </c>
      <c r="F193" s="9">
        <f t="shared" si="24"/>
        <v>2.0432962674503563E-2</v>
      </c>
      <c r="G193">
        <f t="shared" si="27"/>
        <v>0.87665130960601967</v>
      </c>
      <c r="H193">
        <f t="shared" si="28"/>
        <v>6.0968990419475622E-2</v>
      </c>
      <c r="I193">
        <f t="shared" si="29"/>
        <v>6.2379699974503898E-2</v>
      </c>
      <c r="J193">
        <f t="shared" si="30"/>
        <v>6.237969997450471E-2</v>
      </c>
    </row>
    <row r="194" spans="1:10" x14ac:dyDescent="0.3">
      <c r="A194" s="8">
        <f t="shared" si="25"/>
        <v>3.6923076923071676</v>
      </c>
      <c r="B194">
        <f t="shared" si="26"/>
        <v>63.692307692307168</v>
      </c>
      <c r="C194">
        <f t="shared" si="21"/>
        <v>2.3390027244157469E-2</v>
      </c>
      <c r="D194">
        <f t="shared" si="22"/>
        <v>2.3390027244157472E-3</v>
      </c>
      <c r="E194">
        <f t="shared" si="23"/>
        <v>2.0466531184984402E-2</v>
      </c>
      <c r="F194" s="9">
        <f t="shared" si="24"/>
        <v>2.0466531184984402E-2</v>
      </c>
      <c r="G194">
        <f t="shared" si="27"/>
        <v>0.87591627553825457</v>
      </c>
      <c r="H194">
        <f t="shared" si="28"/>
        <v>6.1335594475831569E-2</v>
      </c>
      <c r="I194">
        <f t="shared" si="29"/>
        <v>6.2748129985913087E-2</v>
      </c>
      <c r="J194">
        <f t="shared" si="30"/>
        <v>6.2748129985913864E-2</v>
      </c>
    </row>
    <row r="195" spans="1:10" x14ac:dyDescent="0.3">
      <c r="A195" s="8">
        <f t="shared" si="25"/>
        <v>3.7115384615379341</v>
      </c>
      <c r="B195">
        <f t="shared" si="26"/>
        <v>63.711538461537934</v>
      </c>
      <c r="C195">
        <f t="shared" ref="C195:C258" si="31">$L$1 +$L$3 * EXP($L$5*B195)</f>
        <v>2.3451188979597675E-2</v>
      </c>
      <c r="D195">
        <f t="shared" ref="D195:D258" si="32">0.1 *C195</f>
        <v>2.3451188979597675E-3</v>
      </c>
      <c r="E195">
        <f t="shared" ref="E195:E258" si="33">$L$2 + $L$4 * EXP($L$6 *B195)</f>
        <v>2.0500156227196854E-2</v>
      </c>
      <c r="F195" s="9">
        <f t="shared" ref="F195:F258" si="34">E195</f>
        <v>2.0500156227196854E-2</v>
      </c>
      <c r="G195">
        <f t="shared" si="27"/>
        <v>0.87518029074605075</v>
      </c>
      <c r="H195">
        <f t="shared" si="28"/>
        <v>6.1702688986769436E-2</v>
      </c>
      <c r="I195">
        <f t="shared" si="29"/>
        <v>6.3117020267179011E-2</v>
      </c>
      <c r="J195">
        <f t="shared" si="30"/>
        <v>6.3117020267179816E-2</v>
      </c>
    </row>
    <row r="196" spans="1:10" x14ac:dyDescent="0.3">
      <c r="A196" s="8">
        <f t="shared" ref="A196:A259" si="35">B196-60</f>
        <v>3.7307692307687006</v>
      </c>
      <c r="B196">
        <f t="shared" ref="B196:B224" si="36">B195+$L$7</f>
        <v>63.730769230768701</v>
      </c>
      <c r="C196">
        <f t="shared" si="31"/>
        <v>2.3512513427236665E-2</v>
      </c>
      <c r="D196">
        <f t="shared" si="32"/>
        <v>2.3512513427236667E-3</v>
      </c>
      <c r="E196">
        <f t="shared" si="33"/>
        <v>2.0533837896344317E-2</v>
      </c>
      <c r="F196" s="9">
        <f t="shared" si="34"/>
        <v>2.0533837896344317E-2</v>
      </c>
      <c r="G196">
        <f t="shared" ref="G196:G259" si="37">$L$7*(G195*(-C195-E195)+H195*D195)+G195</f>
        <v>0.87444335515115146</v>
      </c>
      <c r="H196">
        <f t="shared" ref="H196:H259" si="38">$L$7*(G195*C195+H195*(-D195-F195))+H195</f>
        <v>6.2070273669147129E-2</v>
      </c>
      <c r="I196">
        <f t="shared" ref="I196:I259" si="39">$L$7*(G195*E195+H195*F195)+I195</f>
        <v>6.3486371179700643E-2</v>
      </c>
      <c r="J196">
        <f t="shared" ref="J196:J259" si="40">1-G196-H196</f>
        <v>6.3486371179701406E-2</v>
      </c>
    </row>
    <row r="197" spans="1:10" x14ac:dyDescent="0.3">
      <c r="A197" s="8">
        <f t="shared" si="35"/>
        <v>3.7499999999994671</v>
      </c>
      <c r="B197">
        <f t="shared" si="36"/>
        <v>63.749999999999467</v>
      </c>
      <c r="C197">
        <f t="shared" si="31"/>
        <v>2.3574001019947291E-2</v>
      </c>
      <c r="D197">
        <f t="shared" si="32"/>
        <v>2.3574001019947294E-3</v>
      </c>
      <c r="E197">
        <f t="shared" si="33"/>
        <v>2.0567576287790528E-2</v>
      </c>
      <c r="F197" s="9">
        <f t="shared" si="34"/>
        <v>2.0567576287790528E-2</v>
      </c>
      <c r="G197">
        <f t="shared" si="37"/>
        <v>0.87370546868155052</v>
      </c>
      <c r="H197">
        <f t="shared" si="38"/>
        <v>6.2438348234095928E-2</v>
      </c>
      <c r="I197">
        <f t="shared" si="39"/>
        <v>6.3856183084352813E-2</v>
      </c>
      <c r="J197">
        <f t="shared" si="40"/>
        <v>6.3856183084353549E-2</v>
      </c>
    </row>
    <row r="198" spans="1:10" x14ac:dyDescent="0.3">
      <c r="A198" s="8">
        <f t="shared" si="35"/>
        <v>3.7692307692302336</v>
      </c>
      <c r="B198">
        <f t="shared" si="36"/>
        <v>63.769230769230234</v>
      </c>
      <c r="C198">
        <f t="shared" si="31"/>
        <v>2.3635652191754151E-2</v>
      </c>
      <c r="D198">
        <f t="shared" si="32"/>
        <v>2.3635652191754154E-3</v>
      </c>
      <c r="E198">
        <f t="shared" si="33"/>
        <v>2.060137149705981E-2</v>
      </c>
      <c r="F198" s="9">
        <f t="shared" si="34"/>
        <v>2.060137149705981E-2</v>
      </c>
      <c r="G198">
        <f t="shared" si="37"/>
        <v>0.87296663127152163</v>
      </c>
      <c r="H198">
        <f t="shared" si="38"/>
        <v>6.2806912386994942E-2</v>
      </c>
      <c r="I198">
        <f t="shared" si="39"/>
        <v>6.4226456341482732E-2</v>
      </c>
      <c r="J198">
        <f t="shared" si="40"/>
        <v>6.4226456341483426E-2</v>
      </c>
    </row>
    <row r="199" spans="1:10" x14ac:dyDescent="0.3">
      <c r="A199" s="8">
        <f t="shared" si="35"/>
        <v>3.7884615384610001</v>
      </c>
      <c r="B199">
        <f t="shared" si="36"/>
        <v>63.788461538461</v>
      </c>
      <c r="C199">
        <f t="shared" si="31"/>
        <v>2.3697467377836366E-2</v>
      </c>
      <c r="D199">
        <f t="shared" si="32"/>
        <v>2.369746737783637E-3</v>
      </c>
      <c r="E199">
        <f t="shared" si="33"/>
        <v>2.0635223619837408E-2</v>
      </c>
      <c r="F199" s="9">
        <f t="shared" si="34"/>
        <v>2.0635223619837408E-2</v>
      </c>
      <c r="G199">
        <f t="shared" si="37"/>
        <v>0.87222684286164742</v>
      </c>
      <c r="H199">
        <f t="shared" si="38"/>
        <v>6.3175965827445543E-2</v>
      </c>
      <c r="I199">
        <f t="shared" si="39"/>
        <v>6.4597191310906368E-2</v>
      </c>
      <c r="J199">
        <f t="shared" si="40"/>
        <v>6.4597191310907034E-2</v>
      </c>
    </row>
    <row r="200" spans="1:10" x14ac:dyDescent="0.3">
      <c r="A200" s="8">
        <f t="shared" si="35"/>
        <v>3.8076923076917666</v>
      </c>
      <c r="B200">
        <f t="shared" si="36"/>
        <v>63.807692307691767</v>
      </c>
      <c r="C200">
        <f t="shared" si="31"/>
        <v>2.3759447014530928E-2</v>
      </c>
      <c r="D200">
        <f t="shared" si="32"/>
        <v>2.3759447014530932E-3</v>
      </c>
      <c r="E200">
        <f t="shared" si="33"/>
        <v>2.0669132751969653E-2</v>
      </c>
      <c r="F200" s="9">
        <f t="shared" si="34"/>
        <v>2.0669132751969653E-2</v>
      </c>
      <c r="G200">
        <f t="shared" si="37"/>
        <v>0.87148610339884869</v>
      </c>
      <c r="H200">
        <f t="shared" si="38"/>
        <v>6.3545508249245791E-2</v>
      </c>
      <c r="I200">
        <f t="shared" si="39"/>
        <v>6.4968388351904896E-2</v>
      </c>
      <c r="J200">
        <f t="shared" si="40"/>
        <v>6.4968388351905521E-2</v>
      </c>
    </row>
    <row r="201" spans="1:10" x14ac:dyDescent="0.3">
      <c r="A201" s="8">
        <f t="shared" si="35"/>
        <v>3.8269230769225331</v>
      </c>
      <c r="B201">
        <f t="shared" si="36"/>
        <v>63.826923076922533</v>
      </c>
      <c r="C201">
        <f t="shared" si="31"/>
        <v>2.3821591539335499E-2</v>
      </c>
      <c r="D201">
        <f t="shared" si="32"/>
        <v>2.3821591539335499E-3</v>
      </c>
      <c r="E201">
        <f t="shared" si="33"/>
        <v>2.0703098989464284E-2</v>
      </c>
      <c r="F201" s="9">
        <f t="shared" si="34"/>
        <v>2.0703098989464284E-2</v>
      </c>
      <c r="G201">
        <f t="shared" si="37"/>
        <v>0.87074441283641357</v>
      </c>
      <c r="H201">
        <f t="shared" si="38"/>
        <v>6.3915539340364716E-2</v>
      </c>
      <c r="I201">
        <f t="shared" si="39"/>
        <v>6.5340047823221101E-2</v>
      </c>
      <c r="J201">
        <f t="shared" si="40"/>
        <v>6.5340047823221711E-2</v>
      </c>
    </row>
    <row r="202" spans="1:10" x14ac:dyDescent="0.3">
      <c r="A202" s="8">
        <f t="shared" si="35"/>
        <v>3.8461538461532996</v>
      </c>
      <c r="B202">
        <f t="shared" si="36"/>
        <v>63.8461538461533</v>
      </c>
      <c r="C202">
        <f t="shared" si="31"/>
        <v>2.3883901390911746E-2</v>
      </c>
      <c r="D202">
        <f t="shared" si="32"/>
        <v>2.388390139091175E-3</v>
      </c>
      <c r="E202">
        <f t="shared" si="33"/>
        <v>2.0737122428490792E-2</v>
      </c>
      <c r="F202" s="9">
        <f t="shared" si="34"/>
        <v>2.0737122428490792E-2</v>
      </c>
      <c r="G202">
        <f t="shared" si="37"/>
        <v>0.87000177113402699</v>
      </c>
      <c r="H202">
        <f t="shared" si="38"/>
        <v>6.4286058782916655E-2</v>
      </c>
      <c r="I202">
        <f t="shared" si="39"/>
        <v>6.5712170083055785E-2</v>
      </c>
      <c r="J202">
        <f t="shared" si="40"/>
        <v>6.5712170083056354E-2</v>
      </c>
    </row>
    <row r="203" spans="1:10" x14ac:dyDescent="0.3">
      <c r="A203" s="8">
        <f t="shared" si="35"/>
        <v>3.8653846153840661</v>
      </c>
      <c r="B203">
        <f t="shared" si="36"/>
        <v>63.865384615384066</v>
      </c>
      <c r="C203">
        <f t="shared" si="31"/>
        <v>2.3946377009088356E-2</v>
      </c>
      <c r="D203">
        <f t="shared" si="32"/>
        <v>2.394637700908836E-3</v>
      </c>
      <c r="E203">
        <f t="shared" si="33"/>
        <v>2.0771203165380548E-2</v>
      </c>
      <c r="F203" s="9">
        <f t="shared" si="34"/>
        <v>2.0771203165380548E-2</v>
      </c>
      <c r="G203">
        <f t="shared" si="37"/>
        <v>0.86925817825779972</v>
      </c>
      <c r="H203">
        <f t="shared" si="38"/>
        <v>6.4657066253135484E-2</v>
      </c>
      <c r="I203">
        <f t="shared" si="39"/>
        <v>6.6084755489064187E-2</v>
      </c>
      <c r="J203">
        <f t="shared" si="40"/>
        <v>6.6084755489064798E-2</v>
      </c>
    </row>
    <row r="204" spans="1:10" x14ac:dyDescent="0.3">
      <c r="A204" s="8">
        <f t="shared" si="35"/>
        <v>3.8846153846148326</v>
      </c>
      <c r="B204">
        <f t="shared" si="36"/>
        <v>63.884615384614833</v>
      </c>
      <c r="C204">
        <f t="shared" si="31"/>
        <v>2.4009018834863973E-2</v>
      </c>
      <c r="D204">
        <f t="shared" si="32"/>
        <v>2.4009018834863973E-3</v>
      </c>
      <c r="E204">
        <f t="shared" si="33"/>
        <v>2.0805341296627186E-2</v>
      </c>
      <c r="F204" s="9">
        <f t="shared" si="34"/>
        <v>2.0805341296627186E-2</v>
      </c>
      <c r="G204">
        <f t="shared" si="37"/>
        <v>0.86851363418029826</v>
      </c>
      <c r="H204">
        <f t="shared" si="38"/>
        <v>6.5028561421348816E-2</v>
      </c>
      <c r="I204">
        <f t="shared" si="39"/>
        <v>6.6457804398352319E-2</v>
      </c>
      <c r="J204">
        <f t="shared" si="40"/>
        <v>6.6457804398352929E-2</v>
      </c>
    </row>
    <row r="205" spans="1:10" x14ac:dyDescent="0.3">
      <c r="A205" s="8">
        <f t="shared" si="35"/>
        <v>3.9038461538455991</v>
      </c>
      <c r="B205">
        <f t="shared" si="36"/>
        <v>63.903846153845599</v>
      </c>
      <c r="C205">
        <f t="shared" si="31"/>
        <v>2.4071827310410639E-2</v>
      </c>
      <c r="D205">
        <f t="shared" si="32"/>
        <v>2.407182731041064E-3</v>
      </c>
      <c r="E205">
        <f t="shared" si="33"/>
        <v>2.0839536918886823E-2</v>
      </c>
      <c r="F205" s="9">
        <f t="shared" si="34"/>
        <v>2.0839536918886823E-2</v>
      </c>
      <c r="G205">
        <f t="shared" si="37"/>
        <v>0.8677681388805738</v>
      </c>
      <c r="H205">
        <f t="shared" si="38"/>
        <v>6.5400543951952161E-2</v>
      </c>
      <c r="I205">
        <f t="shared" si="39"/>
        <v>6.683131716747337E-2</v>
      </c>
      <c r="J205">
        <f t="shared" si="40"/>
        <v>6.6831317167474036E-2</v>
      </c>
    </row>
    <row r="206" spans="1:10" x14ac:dyDescent="0.3">
      <c r="A206" s="8">
        <f t="shared" si="35"/>
        <v>3.9230769230763656</v>
      </c>
      <c r="B206">
        <f t="shared" si="36"/>
        <v>63.923076923076366</v>
      </c>
      <c r="C206">
        <f t="shared" si="31"/>
        <v>2.4134802879076545E-2</v>
      </c>
      <c r="D206">
        <f t="shared" si="32"/>
        <v>2.4134802879076547E-3</v>
      </c>
      <c r="E206">
        <f t="shared" si="33"/>
        <v>2.0873790128978397E-2</v>
      </c>
      <c r="F206" s="9">
        <f t="shared" si="34"/>
        <v>2.0873790128978397E-2</v>
      </c>
      <c r="G206">
        <f t="shared" si="37"/>
        <v>0.86702169234419224</v>
      </c>
      <c r="H206">
        <f t="shared" si="38"/>
        <v>6.5773013503383049E-2</v>
      </c>
      <c r="I206">
        <f t="shared" si="39"/>
        <v>6.7205294152424086E-2</v>
      </c>
      <c r="J206">
        <f t="shared" si="40"/>
        <v>6.720529415242471E-2</v>
      </c>
    </row>
    <row r="207" spans="1:10" x14ac:dyDescent="0.3">
      <c r="A207" s="8">
        <f t="shared" si="35"/>
        <v>3.9423076923071321</v>
      </c>
      <c r="B207">
        <f t="shared" si="36"/>
        <v>63.942307692307132</v>
      </c>
      <c r="C207">
        <f t="shared" si="31"/>
        <v>2.4197945985389539E-2</v>
      </c>
      <c r="D207">
        <f t="shared" si="32"/>
        <v>2.4197945985389539E-3</v>
      </c>
      <c r="E207">
        <f t="shared" si="33"/>
        <v>2.0908101023883855E-2</v>
      </c>
      <c r="F207" s="9">
        <f t="shared" si="34"/>
        <v>2.0908101023883855E-2</v>
      </c>
      <c r="G207">
        <f t="shared" si="37"/>
        <v>0.86627429456326321</v>
      </c>
      <c r="H207">
        <f t="shared" si="38"/>
        <v>6.6145969728095041E-2</v>
      </c>
      <c r="I207">
        <f t="shared" si="39"/>
        <v>6.7579735708641092E-2</v>
      </c>
      <c r="J207">
        <f t="shared" si="40"/>
        <v>6.7579735708641744E-2</v>
      </c>
    </row>
    <row r="208" spans="1:10" x14ac:dyDescent="0.3">
      <c r="A208" s="8">
        <f t="shared" si="35"/>
        <v>3.9615384615378986</v>
      </c>
      <c r="B208">
        <f t="shared" si="36"/>
        <v>63.961538461537899</v>
      </c>
      <c r="C208">
        <f t="shared" si="31"/>
        <v>2.4261257075059894E-2</v>
      </c>
      <c r="D208">
        <f t="shared" si="32"/>
        <v>2.4261257075059895E-3</v>
      </c>
      <c r="E208">
        <f t="shared" si="33"/>
        <v>2.0942469700748475E-2</v>
      </c>
      <c r="F208" s="9">
        <f t="shared" si="34"/>
        <v>2.0942469700748475E-2</v>
      </c>
      <c r="G208">
        <f t="shared" si="37"/>
        <v>0.86552594553647033</v>
      </c>
      <c r="H208">
        <f t="shared" si="38"/>
        <v>6.6519412272531817E-2</v>
      </c>
      <c r="I208">
        <f t="shared" si="39"/>
        <v>6.7954642190997255E-2</v>
      </c>
      <c r="J208">
        <f t="shared" si="40"/>
        <v>6.7954642190997852E-2</v>
      </c>
    </row>
    <row r="209" spans="1:10" x14ac:dyDescent="0.3">
      <c r="A209" s="8">
        <f t="shared" si="35"/>
        <v>3.9807692307686651</v>
      </c>
      <c r="B209">
        <f t="shared" si="36"/>
        <v>63.980769230768665</v>
      </c>
      <c r="C209">
        <f t="shared" si="31"/>
        <v>2.4324736594983753E-2</v>
      </c>
      <c r="D209">
        <f t="shared" si="32"/>
        <v>2.4324736594983753E-3</v>
      </c>
      <c r="E209">
        <f t="shared" si="33"/>
        <v>2.0976896256881122E-2</v>
      </c>
      <c r="F209" s="9">
        <f t="shared" si="34"/>
        <v>2.0976896256881122E-2</v>
      </c>
      <c r="G209">
        <f t="shared" si="37"/>
        <v>0.86477664526910025</v>
      </c>
      <c r="H209">
        <f t="shared" si="38"/>
        <v>6.6893340777101101E-2</v>
      </c>
      <c r="I209">
        <f t="shared" si="39"/>
        <v>6.8330013953797994E-2</v>
      </c>
      <c r="J209">
        <f t="shared" si="40"/>
        <v>6.8330013953798646E-2</v>
      </c>
    </row>
    <row r="210" spans="1:10" x14ac:dyDescent="0.3">
      <c r="A210" s="8">
        <f t="shared" si="35"/>
        <v>3.9999999999994316</v>
      </c>
      <c r="B210">
        <f t="shared" si="36"/>
        <v>63.999999999999432</v>
      </c>
      <c r="C210">
        <f t="shared" si="31"/>
        <v>2.4388384993246172E-2</v>
      </c>
      <c r="D210">
        <f t="shared" si="32"/>
        <v>2.4388384993246173E-3</v>
      </c>
      <c r="E210">
        <f t="shared" si="33"/>
        <v>2.1011380789754588E-2</v>
      </c>
      <c r="F210" s="9">
        <f t="shared" si="34"/>
        <v>2.1011380789754588E-2</v>
      </c>
      <c r="G210">
        <f t="shared" si="37"/>
        <v>0.86402639377307311</v>
      </c>
      <c r="H210">
        <f t="shared" si="38"/>
        <v>6.7267754876148625E-2</v>
      </c>
      <c r="I210">
        <f t="shared" si="39"/>
        <v>6.8705851350777628E-2</v>
      </c>
      <c r="J210">
        <f t="shared" si="40"/>
        <v>6.8705851350778266E-2</v>
      </c>
    </row>
    <row r="211" spans="1:10" x14ac:dyDescent="0.3">
      <c r="A211" s="8">
        <f t="shared" si="35"/>
        <v>4.0192307692302052</v>
      </c>
      <c r="B211">
        <f t="shared" si="36"/>
        <v>64.019230769230205</v>
      </c>
      <c r="C211">
        <f t="shared" si="31"/>
        <v>2.4452202719124187E-2</v>
      </c>
      <c r="D211">
        <f t="shared" si="32"/>
        <v>2.4452202719124189E-3</v>
      </c>
      <c r="E211">
        <f t="shared" si="33"/>
        <v>2.1045923397005756E-2</v>
      </c>
      <c r="F211" s="9">
        <f t="shared" si="34"/>
        <v>2.1045923397005756E-2</v>
      </c>
      <c r="G211">
        <f t="shared" si="37"/>
        <v>0.8632751910669717</v>
      </c>
      <c r="H211">
        <f t="shared" si="38"/>
        <v>6.7642654197931973E-2</v>
      </c>
      <c r="I211">
        <f t="shared" si="39"/>
        <v>6.9082154735095685E-2</v>
      </c>
      <c r="J211">
        <f t="shared" si="40"/>
        <v>6.9082154735096324E-2</v>
      </c>
    </row>
    <row r="212" spans="1:10" x14ac:dyDescent="0.3">
      <c r="A212" s="8">
        <f t="shared" si="35"/>
        <v>4.0384615384609788</v>
      </c>
      <c r="B212">
        <f t="shared" si="36"/>
        <v>64.038461538460979</v>
      </c>
      <c r="C212">
        <f t="shared" si="31"/>
        <v>2.4516190223090113E-2</v>
      </c>
      <c r="D212">
        <f t="shared" si="32"/>
        <v>2.4516190223090113E-3</v>
      </c>
      <c r="E212">
        <f t="shared" si="33"/>
        <v>2.1080524176435987E-2</v>
      </c>
      <c r="F212" s="9">
        <f t="shared" si="34"/>
        <v>2.1080524176435987E-2</v>
      </c>
      <c r="G212">
        <f t="shared" si="37"/>
        <v>0.86252303717607171</v>
      </c>
      <c r="H212">
        <f t="shared" si="38"/>
        <v>6.8018038364594469E-2</v>
      </c>
      <c r="I212">
        <f t="shared" si="39"/>
        <v>6.9458924459333202E-2</v>
      </c>
      <c r="J212">
        <f t="shared" si="40"/>
        <v>6.9458924459333826E-2</v>
      </c>
    </row>
    <row r="213" spans="1:10" x14ac:dyDescent="0.3">
      <c r="A213" s="8">
        <f t="shared" si="35"/>
        <v>4.0576923076917524</v>
      </c>
      <c r="B213">
        <f t="shared" si="36"/>
        <v>64.057692307691752</v>
      </c>
      <c r="C213">
        <f t="shared" si="31"/>
        <v>2.4580347956814685E-2</v>
      </c>
      <c r="D213">
        <f t="shared" si="32"/>
        <v>2.4580347956814686E-3</v>
      </c>
      <c r="E213">
        <f t="shared" si="33"/>
        <v>2.1115183226011285E-2</v>
      </c>
      <c r="F213" s="9">
        <f t="shared" si="34"/>
        <v>2.1115183226011285E-2</v>
      </c>
      <c r="G213">
        <f t="shared" si="37"/>
        <v>0.86176993213237141</v>
      </c>
      <c r="H213">
        <f t="shared" si="38"/>
        <v>6.8393906992138945E-2</v>
      </c>
      <c r="I213">
        <f t="shared" si="39"/>
        <v>6.9836160875489009E-2</v>
      </c>
      <c r="J213">
        <f t="shared" si="40"/>
        <v>6.9836160875489647E-2</v>
      </c>
    </row>
    <row r="214" spans="1:10" x14ac:dyDescent="0.3">
      <c r="A214" s="8">
        <f t="shared" si="35"/>
        <v>4.076923076922526</v>
      </c>
      <c r="B214">
        <f t="shared" si="36"/>
        <v>64.076923076922526</v>
      </c>
      <c r="C214">
        <f t="shared" si="31"/>
        <v>2.4644676373170242E-2</v>
      </c>
      <c r="D214">
        <f t="shared" si="32"/>
        <v>2.4644676373170244E-3</v>
      </c>
      <c r="E214">
        <f t="shared" si="33"/>
        <v>2.1149900643862702E-2</v>
      </c>
      <c r="F214" s="9">
        <f t="shared" si="34"/>
        <v>2.1149900643862702E-2</v>
      </c>
      <c r="G214">
        <f t="shared" si="37"/>
        <v>0.86101587597462181</v>
      </c>
      <c r="H214">
        <f t="shared" si="38"/>
        <v>6.87702596904015E-2</v>
      </c>
      <c r="I214">
        <f t="shared" si="39"/>
        <v>7.0213864334976006E-2</v>
      </c>
      <c r="J214">
        <f t="shared" si="40"/>
        <v>7.0213864334976686E-2</v>
      </c>
    </row>
    <row r="215" spans="1:10" x14ac:dyDescent="0.3">
      <c r="A215" s="8">
        <f t="shared" si="35"/>
        <v>4.0961538461532996</v>
      </c>
      <c r="B215">
        <f t="shared" si="36"/>
        <v>64.0961538461533</v>
      </c>
      <c r="C215">
        <f t="shared" si="31"/>
        <v>2.4709175926233937E-2</v>
      </c>
      <c r="D215">
        <f t="shared" si="32"/>
        <v>2.4709175926233939E-3</v>
      </c>
      <c r="E215">
        <f t="shared" si="33"/>
        <v>2.1184676528286484E-2</v>
      </c>
      <c r="F215" s="9">
        <f t="shared" si="34"/>
        <v>2.1184676528286484E-2</v>
      </c>
      <c r="G215">
        <f t="shared" si="37"/>
        <v>0.86026086874835661</v>
      </c>
      <c r="H215">
        <f t="shared" si="38"/>
        <v>6.9147096063025243E-2</v>
      </c>
      <c r="I215">
        <f t="shared" si="39"/>
        <v>7.059203518861748E-2</v>
      </c>
      <c r="J215">
        <f t="shared" si="40"/>
        <v>7.0592035188618146E-2</v>
      </c>
    </row>
    <row r="216" spans="1:10" x14ac:dyDescent="0.3">
      <c r="A216" s="8">
        <f t="shared" si="35"/>
        <v>4.1153846153840732</v>
      </c>
      <c r="B216">
        <f t="shared" si="36"/>
        <v>64.115384615384073</v>
      </c>
      <c r="C216">
        <f t="shared" si="31"/>
        <v>2.4773847071290912E-2</v>
      </c>
      <c r="D216">
        <f t="shared" si="32"/>
        <v>2.4773847071290914E-3</v>
      </c>
      <c r="E216">
        <f t="shared" si="33"/>
        <v>2.121951097774448E-2</v>
      </c>
      <c r="F216" s="9">
        <f t="shared" si="34"/>
        <v>2.121951097774448E-2</v>
      </c>
      <c r="G216">
        <f t="shared" si="37"/>
        <v>0.85950491050592215</v>
      </c>
      <c r="H216">
        <f t="shared" si="38"/>
        <v>6.9524415707433923E-2</v>
      </c>
      <c r="I216">
        <f t="shared" si="39"/>
        <v>7.097067378664329E-2</v>
      </c>
      <c r="J216">
        <f t="shared" si="40"/>
        <v>7.0970673786643929E-2</v>
      </c>
    </row>
    <row r="217" spans="1:10" x14ac:dyDescent="0.3">
      <c r="A217" s="8">
        <f t="shared" si="35"/>
        <v>4.1346153846148468</v>
      </c>
      <c r="B217">
        <f t="shared" si="36"/>
        <v>64.134615384614847</v>
      </c>
      <c r="C217">
        <f t="shared" si="31"/>
        <v>2.4838690264837548E-2</v>
      </c>
      <c r="D217">
        <f t="shared" si="32"/>
        <v>2.483869026483755E-3</v>
      </c>
      <c r="E217">
        <f t="shared" si="33"/>
        <v>2.12544040908643E-2</v>
      </c>
      <c r="F217" s="9">
        <f t="shared" si="34"/>
        <v>2.12544040908643E-2</v>
      </c>
      <c r="G217">
        <f t="shared" si="37"/>
        <v>0.85874800130650764</v>
      </c>
      <c r="H217">
        <f t="shared" si="38"/>
        <v>6.9902218214805592E-2</v>
      </c>
      <c r="I217">
        <f t="shared" si="39"/>
        <v>7.1349780478686189E-2</v>
      </c>
      <c r="J217">
        <f t="shared" si="40"/>
        <v>7.1349780478686772E-2</v>
      </c>
    </row>
    <row r="218" spans="1:10" x14ac:dyDescent="0.3">
      <c r="A218" s="8">
        <f t="shared" si="35"/>
        <v>4.1538461538456204</v>
      </c>
      <c r="B218">
        <f t="shared" si="36"/>
        <v>64.15384615384562</v>
      </c>
      <c r="C218">
        <f t="shared" si="31"/>
        <v>2.4903705964584664E-2</v>
      </c>
      <c r="D218">
        <f t="shared" si="32"/>
        <v>2.4903705964584664E-3</v>
      </c>
      <c r="E218">
        <f t="shared" si="33"/>
        <v>2.1289355966439685E-2</v>
      </c>
      <c r="F218" s="9">
        <f t="shared" si="34"/>
        <v>2.1289355966439685E-2</v>
      </c>
      <c r="G218">
        <f t="shared" si="37"/>
        <v>0.85799014121617523</v>
      </c>
      <c r="H218">
        <f t="shared" si="38"/>
        <v>7.0280503170046152E-2</v>
      </c>
      <c r="I218">
        <f t="shared" si="39"/>
        <v>7.1729355613778037E-2</v>
      </c>
      <c r="J218">
        <f t="shared" si="40"/>
        <v>7.172935561377862E-2</v>
      </c>
    </row>
    <row r="219" spans="1:10" x14ac:dyDescent="0.3">
      <c r="A219" s="8">
        <f t="shared" si="35"/>
        <v>4.173076923076394</v>
      </c>
      <c r="B219">
        <f t="shared" si="36"/>
        <v>64.173076923076394</v>
      </c>
      <c r="C219">
        <f t="shared" si="31"/>
        <v>2.4968894629460749E-2</v>
      </c>
      <c r="D219">
        <f t="shared" si="32"/>
        <v>2.4968894629460751E-3</v>
      </c>
      <c r="E219">
        <f t="shared" si="33"/>
        <v>2.1324366703430762E-2</v>
      </c>
      <c r="F219" s="9">
        <f t="shared" si="34"/>
        <v>2.1324366703430762E-2</v>
      </c>
      <c r="G219">
        <f t="shared" si="37"/>
        <v>0.85723133030789045</v>
      </c>
      <c r="H219">
        <f t="shared" si="38"/>
        <v>7.0659270151762946E-2</v>
      </c>
      <c r="I219">
        <f t="shared" si="39"/>
        <v>7.2109399540346009E-2</v>
      </c>
      <c r="J219">
        <f t="shared" si="40"/>
        <v>7.2109399540346605E-2</v>
      </c>
    </row>
    <row r="220" spans="1:10" x14ac:dyDescent="0.3">
      <c r="A220" s="8">
        <f t="shared" si="35"/>
        <v>4.1923076923071676</v>
      </c>
      <c r="B220">
        <f t="shared" si="36"/>
        <v>64.192307692307168</v>
      </c>
      <c r="C220">
        <f t="shared" si="31"/>
        <v>2.5034256719615223E-2</v>
      </c>
      <c r="D220">
        <f t="shared" si="32"/>
        <v>2.5034256719615225E-3</v>
      </c>
      <c r="E220">
        <f t="shared" si="33"/>
        <v>2.1359436400964254E-2</v>
      </c>
      <c r="F220" s="9">
        <f t="shared" si="34"/>
        <v>2.1359436400964254E-2</v>
      </c>
      <c r="G220">
        <f t="shared" si="37"/>
        <v>0.85647156866155227</v>
      </c>
      <c r="H220">
        <f t="shared" si="38"/>
        <v>7.1038518732238251E-2</v>
      </c>
      <c r="I220">
        <f t="shared" si="39"/>
        <v>7.2489912606208864E-2</v>
      </c>
      <c r="J220">
        <f t="shared" si="40"/>
        <v>7.2489912606209475E-2</v>
      </c>
    </row>
    <row r="221" spans="1:10" x14ac:dyDescent="0.3">
      <c r="A221" s="8">
        <f t="shared" si="35"/>
        <v>4.2115384615379412</v>
      </c>
      <c r="B221">
        <f t="shared" si="36"/>
        <v>64.211538461537941</v>
      </c>
      <c r="C221">
        <f t="shared" si="31"/>
        <v>2.5099792696421649E-2</v>
      </c>
      <c r="D221">
        <f t="shared" si="32"/>
        <v>2.5099792696421652E-3</v>
      </c>
      <c r="E221">
        <f t="shared" si="33"/>
        <v>2.1394565158333895E-2</v>
      </c>
      <c r="F221" s="9">
        <f t="shared" si="34"/>
        <v>2.1394565158333895E-2</v>
      </c>
      <c r="G221">
        <f t="shared" si="37"/>
        <v>0.85571085636402355</v>
      </c>
      <c r="H221">
        <f t="shared" si="38"/>
        <v>7.1418248477402718E-2</v>
      </c>
      <c r="I221">
        <f t="shared" si="39"/>
        <v>7.2870895158573104E-2</v>
      </c>
      <c r="J221">
        <f t="shared" si="40"/>
        <v>7.2870895158573729E-2</v>
      </c>
    </row>
    <row r="222" spans="1:10" x14ac:dyDescent="0.3">
      <c r="A222" s="8">
        <f t="shared" si="35"/>
        <v>4.2307692307687148</v>
      </c>
      <c r="B222">
        <f t="shared" si="36"/>
        <v>64.230769230768715</v>
      </c>
      <c r="C222">
        <f t="shared" si="31"/>
        <v>2.5165503022481026E-2</v>
      </c>
      <c r="D222">
        <f t="shared" si="32"/>
        <v>2.5165503022481026E-3</v>
      </c>
      <c r="E222">
        <f t="shared" si="33"/>
        <v>2.1429753075000574E-2</v>
      </c>
      <c r="F222" s="9">
        <f t="shared" si="34"/>
        <v>2.1429753075000574E-2</v>
      </c>
      <c r="G222">
        <f t="shared" si="37"/>
        <v>0.85494919350916132</v>
      </c>
      <c r="H222">
        <f t="shared" si="38"/>
        <v>7.1798458946808835E-2</v>
      </c>
      <c r="I222">
        <f t="shared" si="39"/>
        <v>7.325234754402922E-2</v>
      </c>
      <c r="J222">
        <f t="shared" si="40"/>
        <v>7.3252347544029844E-2</v>
      </c>
    </row>
    <row r="223" spans="1:10" x14ac:dyDescent="0.3">
      <c r="A223" s="8">
        <f t="shared" si="35"/>
        <v>4.2499999999994884</v>
      </c>
      <c r="B223">
        <f t="shared" si="36"/>
        <v>64.249999999999488</v>
      </c>
      <c r="C223">
        <f t="shared" si="31"/>
        <v>2.5231388161625023E-2</v>
      </c>
      <c r="D223">
        <f t="shared" si="32"/>
        <v>2.5231388161625025E-3</v>
      </c>
      <c r="E223">
        <f t="shared" si="33"/>
        <v>2.1465000250592732E-2</v>
      </c>
      <c r="F223" s="9">
        <f t="shared" si="34"/>
        <v>2.1465000250592732E-2</v>
      </c>
      <c r="G223">
        <f t="shared" si="37"/>
        <v>0.85418658019784721</v>
      </c>
      <c r="H223">
        <f t="shared" si="38"/>
        <v>7.2179149693604283E-2</v>
      </c>
      <c r="I223">
        <f t="shared" si="39"/>
        <v>7.3634270108547839E-2</v>
      </c>
      <c r="J223">
        <f t="shared" si="40"/>
        <v>7.3634270108548505E-2</v>
      </c>
    </row>
    <row r="224" spans="1:10" x14ac:dyDescent="0.3">
      <c r="A224" s="8">
        <f t="shared" si="35"/>
        <v>4.269230769230262</v>
      </c>
      <c r="B224">
        <f t="shared" si="36"/>
        <v>64.269230769230262</v>
      </c>
      <c r="C224">
        <f t="shared" si="31"/>
        <v>2.5297448578919281E-2</v>
      </c>
      <c r="D224">
        <f t="shared" si="32"/>
        <v>2.5297448578919281E-3</v>
      </c>
      <c r="E224">
        <f t="shared" si="33"/>
        <v>2.1500306784906536E-2</v>
      </c>
      <c r="F224" s="9">
        <f t="shared" si="34"/>
        <v>2.1500306784906536E-2</v>
      </c>
      <c r="G224">
        <f t="shared" si="37"/>
        <v>0.85342301653801811</v>
      </c>
      <c r="H224">
        <f t="shared" si="38"/>
        <v>7.256032026450529E-2</v>
      </c>
      <c r="I224">
        <f t="shared" si="39"/>
        <v>7.4016663197475921E-2</v>
      </c>
      <c r="J224">
        <f t="shared" si="40"/>
        <v>7.4016663197476601E-2</v>
      </c>
    </row>
    <row r="225" spans="1:10" x14ac:dyDescent="0.3">
      <c r="A225" s="8">
        <f t="shared" si="35"/>
        <v>4.2884615384610356</v>
      </c>
      <c r="B225">
        <f>B224+$L$7</f>
        <v>64.288461538461036</v>
      </c>
      <c r="C225">
        <f t="shared" si="31"/>
        <v>2.5363684740666678E-2</v>
      </c>
      <c r="D225">
        <f t="shared" si="32"/>
        <v>2.5363684740666681E-3</v>
      </c>
      <c r="E225">
        <f t="shared" si="33"/>
        <v>2.1535672777906259E-2</v>
      </c>
      <c r="F225" s="9">
        <f t="shared" si="34"/>
        <v>2.1535672777906259E-2</v>
      </c>
      <c r="G225">
        <f t="shared" si="37"/>
        <v>0.85265850264469645</v>
      </c>
      <c r="H225">
        <f t="shared" si="38"/>
        <v>7.2941970199769959E-2</v>
      </c>
      <c r="I225">
        <f t="shared" si="39"/>
        <v>7.4399527155532955E-2</v>
      </c>
      <c r="J225">
        <f t="shared" si="40"/>
        <v>7.4399527155533593E-2</v>
      </c>
    </row>
    <row r="226" spans="1:10" x14ac:dyDescent="0.3">
      <c r="A226" s="8">
        <f t="shared" si="35"/>
        <v>4.3076923076918092</v>
      </c>
      <c r="B226">
        <f t="shared" ref="B226:B289" si="41">B225+$L$7</f>
        <v>64.307692307691809</v>
      </c>
      <c r="C226">
        <f t="shared" si="31"/>
        <v>2.5430097114410573E-2</v>
      </c>
      <c r="D226">
        <f t="shared" si="32"/>
        <v>2.5430097114410577E-3</v>
      </c>
      <c r="E226">
        <f t="shared" si="33"/>
        <v>2.1571098329724533E-2</v>
      </c>
      <c r="F226" s="9">
        <f t="shared" si="34"/>
        <v>2.1571098329724533E-2</v>
      </c>
      <c r="G226">
        <f t="shared" si="37"/>
        <v>0.85189303864002075</v>
      </c>
      <c r="H226">
        <f t="shared" si="38"/>
        <v>7.3324099033171497E-2</v>
      </c>
      <c r="I226">
        <f t="shared" si="39"/>
        <v>7.4782862326807059E-2</v>
      </c>
      <c r="J226">
        <f t="shared" si="40"/>
        <v>7.4782862326807753E-2</v>
      </c>
    </row>
    <row r="227" spans="1:10" x14ac:dyDescent="0.3">
      <c r="A227" s="8">
        <f t="shared" si="35"/>
        <v>4.3269230769225828</v>
      </c>
      <c r="B227">
        <f t="shared" si="41"/>
        <v>64.326923076922583</v>
      </c>
      <c r="C227">
        <f t="shared" si="31"/>
        <v>2.5496686168938305E-2</v>
      </c>
      <c r="D227">
        <f t="shared" si="32"/>
        <v>2.5496686168938309E-3</v>
      </c>
      <c r="E227">
        <f t="shared" si="33"/>
        <v>2.1606583540662548E-2</v>
      </c>
      <c r="F227" s="9">
        <f t="shared" si="34"/>
        <v>2.1606583540662548E-2</v>
      </c>
      <c r="G227">
        <f t="shared" si="37"/>
        <v>0.8511266246532766</v>
      </c>
      <c r="H227">
        <f t="shared" si="38"/>
        <v>7.3706706291971472E-2</v>
      </c>
      <c r="I227">
        <f t="shared" si="39"/>
        <v>7.5166669054751195E-2</v>
      </c>
      <c r="J227">
        <f t="shared" si="40"/>
        <v>7.5166669054751931E-2</v>
      </c>
    </row>
    <row r="228" spans="1:10" x14ac:dyDescent="0.3">
      <c r="A228" s="8">
        <f t="shared" si="35"/>
        <v>4.3461538461533564</v>
      </c>
      <c r="B228">
        <f t="shared" si="41"/>
        <v>64.346153846153356</v>
      </c>
      <c r="C228">
        <f t="shared" si="31"/>
        <v>2.5563452374284215E-2</v>
      </c>
      <c r="D228">
        <f t="shared" si="32"/>
        <v>2.5563452374284218E-3</v>
      </c>
      <c r="E228">
        <f t="shared" si="33"/>
        <v>2.164212851119051E-2</v>
      </c>
      <c r="F228" s="9">
        <f t="shared" si="34"/>
        <v>2.164212851119051E-2</v>
      </c>
      <c r="G228">
        <f t="shared" si="37"/>
        <v>0.85035926082092705</v>
      </c>
      <c r="H228">
        <f t="shared" si="38"/>
        <v>7.4089791496893015E-2</v>
      </c>
      <c r="I228">
        <f t="shared" si="39"/>
        <v>7.5550947682179223E-2</v>
      </c>
      <c r="J228">
        <f t="shared" si="40"/>
        <v>7.5550947682179931E-2</v>
      </c>
    </row>
    <row r="229" spans="1:10" x14ac:dyDescent="0.3">
      <c r="A229" s="8">
        <f t="shared" si="35"/>
        <v>4.36538461538413</v>
      </c>
      <c r="B229">
        <f t="shared" si="41"/>
        <v>64.36538461538413</v>
      </c>
      <c r="C229">
        <f t="shared" si="31"/>
        <v>2.5630396201733154E-2</v>
      </c>
      <c r="D229">
        <f t="shared" si="32"/>
        <v>2.5630396201733155E-3</v>
      </c>
      <c r="E229">
        <f t="shared" si="33"/>
        <v>2.1677733341947714E-2</v>
      </c>
      <c r="F229" s="9">
        <f t="shared" si="34"/>
        <v>2.1677733341947714E-2</v>
      </c>
      <c r="G229">
        <f t="shared" si="37"/>
        <v>0.84959094728664319</v>
      </c>
      <c r="H229">
        <f t="shared" si="38"/>
        <v>7.4473354162093955E-2</v>
      </c>
      <c r="I229">
        <f t="shared" si="39"/>
        <v>7.5935698551262115E-2</v>
      </c>
      <c r="J229">
        <f t="shared" si="40"/>
        <v>7.5935698551262851E-2</v>
      </c>
    </row>
    <row r="230" spans="1:10" x14ac:dyDescent="0.3">
      <c r="A230" s="8">
        <f t="shared" si="35"/>
        <v>4.3846153846149036</v>
      </c>
      <c r="B230">
        <f t="shared" si="41"/>
        <v>64.384615384614904</v>
      </c>
      <c r="C230">
        <f t="shared" si="31"/>
        <v>2.5697518123823752E-2</v>
      </c>
      <c r="D230">
        <f t="shared" si="32"/>
        <v>2.5697518123823752E-3</v>
      </c>
      <c r="E230">
        <f t="shared" si="33"/>
        <v>2.1713398133743043E-2</v>
      </c>
      <c r="F230" s="9">
        <f t="shared" si="34"/>
        <v>2.1713398133743043E-2</v>
      </c>
      <c r="G230">
        <f t="shared" si="37"/>
        <v>0.8488216842013353</v>
      </c>
      <c r="H230">
        <f t="shared" si="38"/>
        <v>7.4857393795139948E-2</v>
      </c>
      <c r="I230">
        <f t="shared" si="39"/>
        <v>7.6320922003524014E-2</v>
      </c>
      <c r="J230">
        <f t="shared" si="40"/>
        <v>7.6320922003524749E-2</v>
      </c>
    </row>
    <row r="231" spans="1:10" x14ac:dyDescent="0.3">
      <c r="A231" s="8">
        <f t="shared" si="35"/>
        <v>4.4038461538456772</v>
      </c>
      <c r="B231">
        <f t="shared" si="41"/>
        <v>64.403846153845677</v>
      </c>
      <c r="C231">
        <f t="shared" si="31"/>
        <v>2.5764818614351762E-2</v>
      </c>
      <c r="D231">
        <f t="shared" si="32"/>
        <v>2.5764818614351765E-3</v>
      </c>
      <c r="E231">
        <f t="shared" si="33"/>
        <v>2.1749122987555065E-2</v>
      </c>
      <c r="F231" s="9">
        <f t="shared" si="34"/>
        <v>2.1749122987555065E-2</v>
      </c>
      <c r="G231">
        <f t="shared" si="37"/>
        <v>0.8480514717231834</v>
      </c>
      <c r="H231">
        <f t="shared" si="38"/>
        <v>7.5241909896977544E-2</v>
      </c>
      <c r="I231">
        <f t="shared" si="39"/>
        <v>7.6706618379838359E-2</v>
      </c>
      <c r="J231">
        <f t="shared" si="40"/>
        <v>7.6706618379839053E-2</v>
      </c>
    </row>
    <row r="232" spans="1:10" x14ac:dyDescent="0.3">
      <c r="A232" s="8">
        <f t="shared" si="35"/>
        <v>4.4230769230764508</v>
      </c>
      <c r="B232">
        <f t="shared" si="41"/>
        <v>64.423076923076451</v>
      </c>
      <c r="C232">
        <f t="shared" si="31"/>
        <v>2.5832298148373414E-2</v>
      </c>
      <c r="D232">
        <f t="shared" si="32"/>
        <v>2.5832298148373415E-3</v>
      </c>
      <c r="E232">
        <f t="shared" si="33"/>
        <v>2.1784908004532446E-2</v>
      </c>
      <c r="F232" s="9">
        <f t="shared" si="34"/>
        <v>2.1784908004532446E-2</v>
      </c>
      <c r="G232">
        <f t="shared" si="37"/>
        <v>0.84728031001766813</v>
      </c>
      <c r="H232">
        <f t="shared" si="38"/>
        <v>7.5626901961907245E-2</v>
      </c>
      <c r="I232">
        <f t="shared" si="39"/>
        <v>7.7092788020423991E-2</v>
      </c>
      <c r="J232">
        <f t="shared" si="40"/>
        <v>7.709278802042463E-2</v>
      </c>
    </row>
    <row r="233" spans="1:10" x14ac:dyDescent="0.3">
      <c r="A233" s="8">
        <f t="shared" si="35"/>
        <v>4.4423076923072244</v>
      </c>
      <c r="B233">
        <f t="shared" si="41"/>
        <v>64.442307692307224</v>
      </c>
      <c r="C233">
        <f t="shared" si="31"/>
        <v>2.5899957202208751E-2</v>
      </c>
      <c r="D233">
        <f t="shared" si="32"/>
        <v>2.5899957202208754E-3</v>
      </c>
      <c r="E233">
        <f t="shared" si="33"/>
        <v>2.1820753285994216E-2</v>
      </c>
      <c r="F233" s="9">
        <f t="shared" si="34"/>
        <v>2.1820753285994216E-2</v>
      </c>
      <c r="G233">
        <f t="shared" si="37"/>
        <v>0.84650819925760168</v>
      </c>
      <c r="H233">
        <f t="shared" si="38"/>
        <v>7.6012369477556532E-2</v>
      </c>
      <c r="I233">
        <f t="shared" si="39"/>
        <v>7.7479431264841192E-2</v>
      </c>
      <c r="J233">
        <f t="shared" si="40"/>
        <v>7.7479431264841789E-2</v>
      </c>
    </row>
    <row r="234" spans="1:10" x14ac:dyDescent="0.3">
      <c r="A234" s="8">
        <f t="shared" si="35"/>
        <v>4.461538461537998</v>
      </c>
      <c r="B234">
        <f t="shared" si="41"/>
        <v>64.461538461537998</v>
      </c>
      <c r="C234">
        <f t="shared" si="31"/>
        <v>2.5967796253444995E-2</v>
      </c>
      <c r="D234">
        <f t="shared" si="32"/>
        <v>2.5967796253444997E-3</v>
      </c>
      <c r="E234">
        <f t="shared" si="33"/>
        <v>2.1856658933429959E-2</v>
      </c>
      <c r="F234" s="9">
        <f t="shared" si="34"/>
        <v>2.1856658933429959E-2</v>
      </c>
      <c r="G234">
        <f t="shared" si="37"/>
        <v>0.84573513962315872</v>
      </c>
      <c r="H234">
        <f t="shared" si="38"/>
        <v>7.6398311924852802E-2</v>
      </c>
      <c r="I234">
        <f t="shared" si="39"/>
        <v>7.786654845198783E-2</v>
      </c>
      <c r="J234">
        <f t="shared" si="40"/>
        <v>7.7866548451988482E-2</v>
      </c>
    </row>
    <row r="235" spans="1:10" x14ac:dyDescent="0.3">
      <c r="A235" s="8">
        <f t="shared" si="35"/>
        <v>4.4807692307687716</v>
      </c>
      <c r="B235">
        <f t="shared" si="41"/>
        <v>64.480769230768772</v>
      </c>
      <c r="C235">
        <f t="shared" si="31"/>
        <v>2.6035815780939938E-2</v>
      </c>
      <c r="D235">
        <f t="shared" si="32"/>
        <v>2.6035815780939939E-3</v>
      </c>
      <c r="E235">
        <f t="shared" si="33"/>
        <v>2.1892625048500262E-2</v>
      </c>
      <c r="F235" s="9">
        <f t="shared" si="34"/>
        <v>2.1892625048500262E-2</v>
      </c>
      <c r="G235">
        <f t="shared" si="37"/>
        <v>0.84496113130190764</v>
      </c>
      <c r="H235">
        <f t="shared" si="38"/>
        <v>7.6784728777996358E-2</v>
      </c>
      <c r="I235">
        <f t="shared" si="39"/>
        <v>7.8254139920095361E-2</v>
      </c>
      <c r="J235">
        <f t="shared" si="40"/>
        <v>7.8254139920096E-2</v>
      </c>
    </row>
    <row r="236" spans="1:10" x14ac:dyDescent="0.3">
      <c r="A236" s="8">
        <f t="shared" si="35"/>
        <v>4.4999999999995453</v>
      </c>
      <c r="B236">
        <f t="shared" si="41"/>
        <v>64.499999999999545</v>
      </c>
      <c r="C236">
        <f t="shared" si="31"/>
        <v>2.610401626482528E-2</v>
      </c>
      <c r="D236">
        <f t="shared" si="32"/>
        <v>2.6104016264825282E-3</v>
      </c>
      <c r="E236">
        <f t="shared" si="33"/>
        <v>2.192865173303683E-2</v>
      </c>
      <c r="F236" s="9">
        <f t="shared" si="34"/>
        <v>2.192865173303683E-2</v>
      </c>
      <c r="G236">
        <f t="shared" si="37"/>
        <v>0.84418617448884115</v>
      </c>
      <c r="H236">
        <f t="shared" si="38"/>
        <v>7.7171619504433242E-2</v>
      </c>
      <c r="I236">
        <f t="shared" si="39"/>
        <v>7.8642206006724918E-2</v>
      </c>
      <c r="J236">
        <f t="shared" si="40"/>
        <v>7.8642206006725612E-2</v>
      </c>
    </row>
    <row r="237" spans="1:10" x14ac:dyDescent="0.3">
      <c r="A237" s="8">
        <f t="shared" si="35"/>
        <v>4.5192307692303189</v>
      </c>
      <c r="B237">
        <f t="shared" si="41"/>
        <v>64.519230769230319</v>
      </c>
      <c r="C237">
        <f t="shared" si="31"/>
        <v>2.6172398186510064E-2</v>
      </c>
      <c r="D237">
        <f t="shared" si="32"/>
        <v>2.6172398186510067E-3</v>
      </c>
      <c r="E237">
        <f t="shared" si="33"/>
        <v>2.196473908904294E-2</v>
      </c>
      <c r="F237" s="9">
        <f t="shared" si="34"/>
        <v>2.196473908904294E-2</v>
      </c>
      <c r="G237">
        <f t="shared" si="37"/>
        <v>0.84341026938640773</v>
      </c>
      <c r="H237">
        <f t="shared" si="38"/>
        <v>7.7558983564828196E-2</v>
      </c>
      <c r="I237">
        <f t="shared" si="39"/>
        <v>7.9030747048763339E-2</v>
      </c>
      <c r="J237">
        <f t="shared" si="40"/>
        <v>7.9030747048764075E-2</v>
      </c>
    </row>
    <row r="238" spans="1:10" x14ac:dyDescent="0.3">
      <c r="A238" s="8">
        <f t="shared" si="35"/>
        <v>4.5384615384610925</v>
      </c>
      <c r="B238">
        <f t="shared" si="41"/>
        <v>64.538461538461092</v>
      </c>
      <c r="C238">
        <f t="shared" si="31"/>
        <v>2.6240962028684051E-2</v>
      </c>
      <c r="D238">
        <f t="shared" si="32"/>
        <v>2.6240962028684055E-3</v>
      </c>
      <c r="E238">
        <f t="shared" si="33"/>
        <v>2.2000887218693581E-2</v>
      </c>
      <c r="F238" s="9">
        <f t="shared" si="34"/>
        <v>2.2000887218693581E-2</v>
      </c>
      <c r="G238">
        <f t="shared" si="37"/>
        <v>0.84263341620454268</v>
      </c>
      <c r="H238">
        <f t="shared" si="38"/>
        <v>7.7946820413037424E-2</v>
      </c>
      <c r="I238">
        <f t="shared" si="39"/>
        <v>7.9419763382419198E-2</v>
      </c>
      <c r="J238">
        <f t="shared" si="40"/>
        <v>7.9419763382419892E-2</v>
      </c>
    </row>
    <row r="239" spans="1:10" x14ac:dyDescent="0.3">
      <c r="A239" s="8">
        <f t="shared" si="35"/>
        <v>4.5576923076918661</v>
      </c>
      <c r="B239">
        <f t="shared" si="41"/>
        <v>64.557692307691866</v>
      </c>
      <c r="C239">
        <f t="shared" si="31"/>
        <v>2.6309708275321121E-2</v>
      </c>
      <c r="D239">
        <f t="shared" si="32"/>
        <v>2.6309708275321121E-3</v>
      </c>
      <c r="E239">
        <f t="shared" si="33"/>
        <v>2.2037096224335855E-2</v>
      </c>
      <c r="F239" s="9">
        <f t="shared" si="34"/>
        <v>2.2037096224335855E-2</v>
      </c>
      <c r="G239">
        <f t="shared" si="37"/>
        <v>0.84185561516069907</v>
      </c>
      <c r="H239">
        <f t="shared" si="38"/>
        <v>7.8335129496081443E-2</v>
      </c>
      <c r="I239">
        <f t="shared" si="39"/>
        <v>7.9809255343218838E-2</v>
      </c>
      <c r="J239">
        <f t="shared" si="40"/>
        <v>7.980925534321949E-2</v>
      </c>
    </row>
    <row r="240" spans="1:10" x14ac:dyDescent="0.3">
      <c r="A240" s="8">
        <f t="shared" si="35"/>
        <v>4.5769230769226397</v>
      </c>
      <c r="B240">
        <f t="shared" si="41"/>
        <v>64.57692307692264</v>
      </c>
      <c r="C240">
        <f t="shared" si="31"/>
        <v>2.6378637411682712E-2</v>
      </c>
      <c r="D240">
        <f t="shared" si="32"/>
        <v>2.6378637411682716E-3</v>
      </c>
      <c r="E240">
        <f t="shared" si="33"/>
        <v>2.2073366208489233E-2</v>
      </c>
      <c r="F240" s="9">
        <f t="shared" si="34"/>
        <v>2.2073366208489233E-2</v>
      </c>
      <c r="G240">
        <f t="shared" si="37"/>
        <v>0.84107686647987911</v>
      </c>
      <c r="H240">
        <f t="shared" si="38"/>
        <v>7.8723910254117846E-2</v>
      </c>
      <c r="I240">
        <f t="shared" si="39"/>
        <v>8.0199223266002387E-2</v>
      </c>
      <c r="J240">
        <f t="shared" si="40"/>
        <v>8.0199223266003039E-2</v>
      </c>
    </row>
    <row r="241" spans="1:10" x14ac:dyDescent="0.3">
      <c r="A241" s="8">
        <f t="shared" si="35"/>
        <v>4.5961538461534133</v>
      </c>
      <c r="B241">
        <f t="shared" si="41"/>
        <v>64.596153846153413</v>
      </c>
      <c r="C241">
        <f t="shared" si="31"/>
        <v>2.6447749924321216E-2</v>
      </c>
      <c r="D241">
        <f t="shared" si="32"/>
        <v>2.6447749924321216E-3</v>
      </c>
      <c r="E241">
        <f t="shared" si="33"/>
        <v>2.2109697273845777E-2</v>
      </c>
      <c r="F241" s="9">
        <f t="shared" si="34"/>
        <v>2.2109697273845777E-2</v>
      </c>
      <c r="G241">
        <f t="shared" si="37"/>
        <v>0.84029717039466556</v>
      </c>
      <c r="H241">
        <f t="shared" si="38"/>
        <v>7.9113162120414027E-2</v>
      </c>
      <c r="I241">
        <f t="shared" si="39"/>
        <v>8.0589667484919733E-2</v>
      </c>
      <c r="J241">
        <f t="shared" si="40"/>
        <v>8.0589667484920413E-2</v>
      </c>
    </row>
    <row r="242" spans="1:10" x14ac:dyDescent="0.3">
      <c r="A242" s="8">
        <f t="shared" si="35"/>
        <v>4.6153846153841869</v>
      </c>
      <c r="B242">
        <f t="shared" si="41"/>
        <v>64.615384615384187</v>
      </c>
      <c r="C242">
        <f t="shared" si="31"/>
        <v>2.6517046301083445E-2</v>
      </c>
      <c r="D242">
        <f t="shared" si="32"/>
        <v>2.6517046301083448E-3</v>
      </c>
      <c r="E242">
        <f t="shared" si="33"/>
        <v>2.2146089523270567E-2</v>
      </c>
      <c r="F242" s="9">
        <f t="shared" si="34"/>
        <v>2.2146089523270567E-2</v>
      </c>
      <c r="G242">
        <f t="shared" si="37"/>
        <v>0.83951652714525282</v>
      </c>
      <c r="H242">
        <f t="shared" si="38"/>
        <v>7.95028845213199E-2</v>
      </c>
      <c r="I242">
        <f t="shared" si="39"/>
        <v>8.0980588333426543E-2</v>
      </c>
      <c r="J242">
        <f t="shared" si="40"/>
        <v>8.0980588333427278E-2</v>
      </c>
    </row>
    <row r="243" spans="1:10" x14ac:dyDescent="0.3">
      <c r="A243" s="8">
        <f t="shared" si="35"/>
        <v>4.6346153846149605</v>
      </c>
      <c r="B243">
        <f t="shared" si="41"/>
        <v>64.63461538461496</v>
      </c>
      <c r="C243">
        <f t="shared" si="31"/>
        <v>2.6586527031114051E-2</v>
      </c>
      <c r="D243">
        <f t="shared" si="32"/>
        <v>2.6586527031114051E-3</v>
      </c>
      <c r="E243">
        <f t="shared" si="33"/>
        <v>2.2182543059801836E-2</v>
      </c>
      <c r="F243" s="9">
        <f t="shared" si="34"/>
        <v>2.2182543059801836E-2</v>
      </c>
      <c r="G243">
        <f t="shared" si="37"/>
        <v>0.83873493697947843</v>
      </c>
      <c r="H243">
        <f t="shared" si="38"/>
        <v>7.9893076876240587E-2</v>
      </c>
      <c r="I243">
        <f t="shared" si="39"/>
        <v>8.137198614428022E-2</v>
      </c>
      <c r="J243">
        <f t="shared" si="40"/>
        <v>8.1371986144280983E-2</v>
      </c>
    </row>
    <row r="244" spans="1:10" x14ac:dyDescent="0.3">
      <c r="A244" s="8">
        <f t="shared" si="35"/>
        <v>4.6538461538457341</v>
      </c>
      <c r="B244">
        <f t="shared" si="41"/>
        <v>64.653846153845734</v>
      </c>
      <c r="C244">
        <f t="shared" si="31"/>
        <v>2.6656192604858981E-2</v>
      </c>
      <c r="D244">
        <f t="shared" si="32"/>
        <v>2.6656192604858982E-3</v>
      </c>
      <c r="E244">
        <f t="shared" si="33"/>
        <v>2.2219057986651414E-2</v>
      </c>
      <c r="F244" s="9">
        <f t="shared" si="34"/>
        <v>2.2219057986651414E-2</v>
      </c>
      <c r="G244">
        <f t="shared" si="37"/>
        <v>0.83795240015285433</v>
      </c>
      <c r="H244">
        <f t="shared" si="38"/>
        <v>8.0283738597609053E-2</v>
      </c>
      <c r="I244">
        <f t="shared" si="39"/>
        <v>8.1763861249535885E-2</v>
      </c>
      <c r="J244">
        <f t="shared" si="40"/>
        <v>8.1763861249536621E-2</v>
      </c>
    </row>
    <row r="245" spans="1:10" x14ac:dyDescent="0.3">
      <c r="A245" s="8">
        <f t="shared" si="35"/>
        <v>4.6730769230765077</v>
      </c>
      <c r="B245">
        <f t="shared" si="41"/>
        <v>64.673076923076508</v>
      </c>
      <c r="C245">
        <f t="shared" si="31"/>
        <v>2.6726043514068962E-2</v>
      </c>
      <c r="D245">
        <f t="shared" si="32"/>
        <v>2.6726043514068965E-3</v>
      </c>
      <c r="E245">
        <f t="shared" si="33"/>
        <v>2.2255634407204877E-2</v>
      </c>
      <c r="F245" s="9">
        <f t="shared" si="34"/>
        <v>2.2255634407204877E-2</v>
      </c>
      <c r="G245">
        <f t="shared" si="37"/>
        <v>0.83716891692859818</v>
      </c>
      <c r="H245">
        <f t="shared" si="38"/>
        <v>8.0674869090858733E-2</v>
      </c>
      <c r="I245">
        <f t="shared" si="39"/>
        <v>8.2156213980542334E-2</v>
      </c>
      <c r="J245">
        <f t="shared" si="40"/>
        <v>8.2156213980543083E-2</v>
      </c>
    </row>
    <row r="246" spans="1:10" x14ac:dyDescent="0.3">
      <c r="A246" s="8">
        <f t="shared" si="35"/>
        <v>4.6923076923072813</v>
      </c>
      <c r="B246">
        <f t="shared" si="41"/>
        <v>64.692307692307281</v>
      </c>
      <c r="C246">
        <f t="shared" si="31"/>
        <v>2.6796080251802933E-2</v>
      </c>
      <c r="D246">
        <f t="shared" si="32"/>
        <v>2.6796080251802936E-3</v>
      </c>
      <c r="E246">
        <f t="shared" si="33"/>
        <v>2.2292272425021967E-2</v>
      </c>
      <c r="F246" s="9">
        <f t="shared" si="34"/>
        <v>2.2292272425021967E-2</v>
      </c>
      <c r="G246">
        <f t="shared" si="37"/>
        <v>0.83638448757766515</v>
      </c>
      <c r="H246">
        <f t="shared" si="38"/>
        <v>8.1066467754396104E-2</v>
      </c>
      <c r="I246">
        <f t="shared" si="39"/>
        <v>8.2549044667937985E-2</v>
      </c>
      <c r="J246">
        <f t="shared" si="40"/>
        <v>8.2549044667938748E-2</v>
      </c>
    </row>
    <row r="247" spans="1:10" x14ac:dyDescent="0.3">
      <c r="A247" s="8">
        <f t="shared" si="35"/>
        <v>4.7115384615380549</v>
      </c>
      <c r="B247">
        <f t="shared" si="41"/>
        <v>64.711538461538055</v>
      </c>
      <c r="C247">
        <f t="shared" si="31"/>
        <v>2.6866303312431561E-2</v>
      </c>
      <c r="D247">
        <f t="shared" si="32"/>
        <v>2.6866303312431563E-3</v>
      </c>
      <c r="E247">
        <f t="shared" si="33"/>
        <v>2.2328972143836823E-2</v>
      </c>
      <c r="F247" s="9">
        <f t="shared" si="34"/>
        <v>2.2328972143836823E-2</v>
      </c>
      <c r="G247">
        <f t="shared" si="37"/>
        <v>0.83559911237877915</v>
      </c>
      <c r="H247">
        <f t="shared" si="38"/>
        <v>8.1458533979573242E-2</v>
      </c>
      <c r="I247">
        <f t="shared" si="39"/>
        <v>8.2942353641646815E-2</v>
      </c>
      <c r="J247">
        <f t="shared" si="40"/>
        <v>8.2942353641647606E-2</v>
      </c>
    </row>
    <row r="248" spans="1:10" x14ac:dyDescent="0.3">
      <c r="A248" s="8">
        <f t="shared" si="35"/>
        <v>4.7307692307688285</v>
      </c>
      <c r="B248">
        <f t="shared" si="41"/>
        <v>64.730769230768828</v>
      </c>
      <c r="C248">
        <f t="shared" si="31"/>
        <v>2.6936713191640718E-2</v>
      </c>
      <c r="D248">
        <f t="shared" si="32"/>
        <v>2.6936713191640718E-3</v>
      </c>
      <c r="E248">
        <f t="shared" si="33"/>
        <v>2.236573366755823E-2</v>
      </c>
      <c r="F248" s="9">
        <f t="shared" si="34"/>
        <v>2.236573366755823E-2</v>
      </c>
      <c r="G248">
        <f t="shared" si="37"/>
        <v>0.83481279161846456</v>
      </c>
      <c r="H248">
        <f t="shared" si="38"/>
        <v>8.1851067150660373E-2</v>
      </c>
      <c r="I248">
        <f t="shared" si="39"/>
        <v>8.333614123087428E-2</v>
      </c>
      <c r="J248">
        <f t="shared" si="40"/>
        <v>8.3336141230875072E-2</v>
      </c>
    </row>
    <row r="249" spans="1:10" x14ac:dyDescent="0.3">
      <c r="A249" s="8">
        <f t="shared" si="35"/>
        <v>4.7499999999996021</v>
      </c>
      <c r="B249">
        <f t="shared" si="41"/>
        <v>64.749999999999602</v>
      </c>
      <c r="C249">
        <f t="shared" si="31"/>
        <v>2.7007310386434964E-2</v>
      </c>
      <c r="D249">
        <f t="shared" si="32"/>
        <v>2.7007310386434964E-3</v>
      </c>
      <c r="E249">
        <f t="shared" si="33"/>
        <v>2.2402557100270025E-2</v>
      </c>
      <c r="F249" s="9">
        <f t="shared" si="34"/>
        <v>2.2402557100270025E-2</v>
      </c>
      <c r="G249">
        <f t="shared" si="37"/>
        <v>0.83402552559107757</v>
      </c>
      <c r="H249">
        <f t="shared" si="38"/>
        <v>8.224406664481837E-2</v>
      </c>
      <c r="I249">
        <f t="shared" si="39"/>
        <v>8.3730407764103246E-2</v>
      </c>
      <c r="J249">
        <f t="shared" si="40"/>
        <v>8.3730407764104064E-2</v>
      </c>
    </row>
    <row r="250" spans="1:10" x14ac:dyDescent="0.3">
      <c r="A250" s="8">
        <f t="shared" si="35"/>
        <v>4.7692307692303757</v>
      </c>
      <c r="B250">
        <f t="shared" si="41"/>
        <v>64.769230769230376</v>
      </c>
      <c r="C250">
        <f t="shared" si="31"/>
        <v>2.7078095395141086E-2</v>
      </c>
      <c r="D250">
        <f t="shared" si="32"/>
        <v>2.707809539514109E-3</v>
      </c>
      <c r="E250">
        <f t="shared" si="33"/>
        <v>2.2439442546231269E-2</v>
      </c>
      <c r="F250" s="9">
        <f t="shared" si="34"/>
        <v>2.2439442546231269E-2</v>
      </c>
      <c r="G250">
        <f t="shared" si="37"/>
        <v>0.8332373145988381</v>
      </c>
      <c r="H250">
        <f t="shared" si="38"/>
        <v>8.263753183207119E-2</v>
      </c>
      <c r="I250">
        <f t="shared" si="39"/>
        <v>8.4125153569089894E-2</v>
      </c>
      <c r="J250">
        <f t="shared" si="40"/>
        <v>8.4125153569090713E-2</v>
      </c>
    </row>
    <row r="251" spans="1:10" x14ac:dyDescent="0.3">
      <c r="A251" s="8">
        <f t="shared" si="35"/>
        <v>4.7884615384611493</v>
      </c>
      <c r="B251">
        <f t="shared" si="41"/>
        <v>64.788461538461149</v>
      </c>
      <c r="C251">
        <f t="shared" si="31"/>
        <v>2.7149068717411594E-2</v>
      </c>
      <c r="D251">
        <f t="shared" si="32"/>
        <v>2.7149068717411597E-3</v>
      </c>
      <c r="E251">
        <f t="shared" si="33"/>
        <v>2.2476390109876673E-2</v>
      </c>
      <c r="F251" s="9">
        <f t="shared" si="34"/>
        <v>2.2476390109876673E-2</v>
      </c>
      <c r="G251">
        <f t="shared" si="37"/>
        <v>0.83244815895186119</v>
      </c>
      <c r="H251">
        <f t="shared" si="38"/>
        <v>8.3031462075278381E-2</v>
      </c>
      <c r="I251">
        <f t="shared" si="39"/>
        <v>8.4520378972859606E-2</v>
      </c>
      <c r="J251">
        <f t="shared" si="40"/>
        <v>8.4520378972860424E-2</v>
      </c>
    </row>
    <row r="252" spans="1:10" x14ac:dyDescent="0.3">
      <c r="A252" s="8">
        <f t="shared" si="35"/>
        <v>4.8076923076919229</v>
      </c>
      <c r="B252">
        <f t="shared" si="41"/>
        <v>64.807692307691923</v>
      </c>
      <c r="C252">
        <f t="shared" si="31"/>
        <v>2.7220230854228245E-2</v>
      </c>
      <c r="D252">
        <f t="shared" si="32"/>
        <v>2.7220230854228247E-3</v>
      </c>
      <c r="E252">
        <f t="shared" si="33"/>
        <v>2.2513399895816737E-2</v>
      </c>
      <c r="F252" s="9">
        <f t="shared" si="34"/>
        <v>2.2513399895816737E-2</v>
      </c>
      <c r="G252">
        <f t="shared" si="37"/>
        <v>0.8316580589681889</v>
      </c>
      <c r="H252">
        <f t="shared" si="38"/>
        <v>8.3425856730107426E-2</v>
      </c>
      <c r="I252">
        <f t="shared" si="39"/>
        <v>8.4916084301702832E-2</v>
      </c>
      <c r="J252">
        <f t="shared" si="40"/>
        <v>8.4916084301703679E-2</v>
      </c>
    </row>
    <row r="253" spans="1:10" x14ac:dyDescent="0.3">
      <c r="A253" s="8">
        <f t="shared" si="35"/>
        <v>4.8269230769226965</v>
      </c>
      <c r="B253">
        <f t="shared" si="41"/>
        <v>64.826923076922697</v>
      </c>
      <c r="C253">
        <f t="shared" si="31"/>
        <v>2.7291582307905602E-2</v>
      </c>
      <c r="D253">
        <f t="shared" si="32"/>
        <v>2.7291582307905605E-3</v>
      </c>
      <c r="E253">
        <f t="shared" si="33"/>
        <v>2.2550472008838206E-2</v>
      </c>
      <c r="F253" s="9">
        <f t="shared" si="34"/>
        <v>2.2550472008838206E-2</v>
      </c>
      <c r="G253">
        <f t="shared" si="37"/>
        <v>0.83086701497382187</v>
      </c>
      <c r="H253">
        <f t="shared" si="38"/>
        <v>8.3820715145006219E-2</v>
      </c>
      <c r="I253">
        <f t="shared" si="39"/>
        <v>8.5312269881171021E-2</v>
      </c>
      <c r="J253">
        <f t="shared" si="40"/>
        <v>8.5312269881171909E-2</v>
      </c>
    </row>
    <row r="254" spans="1:10" x14ac:dyDescent="0.3">
      <c r="A254" s="8">
        <f t="shared" si="35"/>
        <v>4.8461538461534701</v>
      </c>
      <c r="B254">
        <f t="shared" si="41"/>
        <v>64.84615384615347</v>
      </c>
      <c r="C254">
        <f t="shared" si="31"/>
        <v>2.7363123582094553E-2</v>
      </c>
      <c r="D254">
        <f t="shared" si="32"/>
        <v>2.7363123582094554E-3</v>
      </c>
      <c r="E254">
        <f t="shared" si="33"/>
        <v>2.2587606553904283E-2</v>
      </c>
      <c r="F254" s="9">
        <f t="shared" si="34"/>
        <v>2.2587606553904283E-2</v>
      </c>
      <c r="G254">
        <f t="shared" si="37"/>
        <v>0.8300750273027514</v>
      </c>
      <c r="H254">
        <f t="shared" si="38"/>
        <v>8.4216036661175359E-2</v>
      </c>
      <c r="I254">
        <f t="shared" si="39"/>
        <v>8.5708936036072408E-2</v>
      </c>
      <c r="J254">
        <f t="shared" si="40"/>
        <v>8.5708936036073241E-2</v>
      </c>
    </row>
    <row r="255" spans="1:10" x14ac:dyDescent="0.3">
      <c r="A255" s="8">
        <f t="shared" si="35"/>
        <v>4.8653846153842437</v>
      </c>
      <c r="B255">
        <f t="shared" si="41"/>
        <v>64.865384615384244</v>
      </c>
      <c r="C255">
        <f t="shared" si="31"/>
        <v>2.7434855181785889E-2</v>
      </c>
      <c r="D255">
        <f t="shared" si="32"/>
        <v>2.7434855181785889E-3</v>
      </c>
      <c r="E255">
        <f t="shared" si="33"/>
        <v>2.2624803636154888E-2</v>
      </c>
      <c r="F255" s="9">
        <f t="shared" si="34"/>
        <v>2.2624803636154888E-2</v>
      </c>
      <c r="G255">
        <f t="shared" si="37"/>
        <v>0.82928209629699068</v>
      </c>
      <c r="H255">
        <f t="shared" si="38"/>
        <v>8.4611820612540523E-2</v>
      </c>
      <c r="I255">
        <f t="shared" si="39"/>
        <v>8.6106083090467939E-2</v>
      </c>
      <c r="J255">
        <f t="shared" si="40"/>
        <v>8.6106083090468799E-2</v>
      </c>
    </row>
    <row r="256" spans="1:10" x14ac:dyDescent="0.3">
      <c r="A256" s="8">
        <f t="shared" si="35"/>
        <v>4.8846153846150173</v>
      </c>
      <c r="B256">
        <f t="shared" si="41"/>
        <v>64.884615384615017</v>
      </c>
      <c r="C256">
        <f t="shared" si="31"/>
        <v>2.7506777613313844E-2</v>
      </c>
      <c r="D256">
        <f t="shared" si="32"/>
        <v>2.7506777613313846E-3</v>
      </c>
      <c r="E256">
        <f t="shared" si="33"/>
        <v>2.2662063360907068E-2</v>
      </c>
      <c r="F256" s="9">
        <f t="shared" si="34"/>
        <v>2.2662063360907068E-2</v>
      </c>
      <c r="G256">
        <f t="shared" si="37"/>
        <v>0.82848822230660724</v>
      </c>
      <c r="H256">
        <f t="shared" si="38"/>
        <v>8.5008066325724801E-2</v>
      </c>
      <c r="I256">
        <f t="shared" si="39"/>
        <v>8.650371136766706E-2</v>
      </c>
      <c r="J256">
        <f t="shared" si="40"/>
        <v>8.6503711367667963E-2</v>
      </c>
    </row>
    <row r="257" spans="1:10" x14ac:dyDescent="0.3">
      <c r="A257" s="8">
        <f t="shared" si="35"/>
        <v>4.9038461538457909</v>
      </c>
      <c r="B257">
        <f t="shared" si="41"/>
        <v>64.903846153845791</v>
      </c>
      <c r="C257">
        <f t="shared" si="31"/>
        <v>2.7578891384359698E-2</v>
      </c>
      <c r="D257">
        <f t="shared" si="32"/>
        <v>2.7578891384359701E-3</v>
      </c>
      <c r="E257">
        <f t="shared" si="33"/>
        <v>2.2699385833655161E-2</v>
      </c>
      <c r="F257" s="9">
        <f t="shared" si="34"/>
        <v>2.2699385833655161E-2</v>
      </c>
      <c r="G257">
        <f t="shared" si="37"/>
        <v>0.82769340568975458</v>
      </c>
      <c r="H257">
        <f t="shared" si="38"/>
        <v>8.5404773120020955E-2</v>
      </c>
      <c r="I257">
        <f t="shared" si="39"/>
        <v>8.6901821190223591E-2</v>
      </c>
      <c r="J257">
        <f t="shared" si="40"/>
        <v>8.6901821190224465E-2</v>
      </c>
    </row>
    <row r="258" spans="1:10" x14ac:dyDescent="0.3">
      <c r="A258" s="8">
        <f t="shared" si="35"/>
        <v>4.9230769230765645</v>
      </c>
      <c r="B258">
        <f t="shared" si="41"/>
        <v>64.923076923076565</v>
      </c>
      <c r="C258">
        <f t="shared" si="31"/>
        <v>2.7651197003955335E-2</v>
      </c>
      <c r="D258">
        <f t="shared" si="32"/>
        <v>2.7651197003955336E-3</v>
      </c>
      <c r="E258">
        <f t="shared" si="33"/>
        <v>2.2736771160071244E-2</v>
      </c>
      <c r="F258" s="9">
        <f t="shared" si="34"/>
        <v>2.2736771160071244E-2</v>
      </c>
      <c r="G258">
        <f t="shared" si="37"/>
        <v>0.82689764681270395</v>
      </c>
      <c r="H258">
        <f t="shared" si="38"/>
        <v>8.5801940307363711E-2</v>
      </c>
      <c r="I258">
        <f t="shared" si="39"/>
        <v>8.7300412879931497E-2</v>
      </c>
      <c r="J258">
        <f t="shared" si="40"/>
        <v>8.7300412879932343E-2</v>
      </c>
    </row>
    <row r="259" spans="1:10" x14ac:dyDescent="0.3">
      <c r="A259" s="8">
        <f t="shared" si="35"/>
        <v>4.9423076923073381</v>
      </c>
      <c r="B259">
        <f t="shared" si="41"/>
        <v>64.942307692307338</v>
      </c>
      <c r="C259">
        <f t="shared" ref="C259:C322" si="42">$L$1 +$L$3 * EXP($L$5*B259)</f>
        <v>2.7723694982486856E-2</v>
      </c>
      <c r="D259">
        <f t="shared" ref="D259:D322" si="43">0.1 *C259</f>
        <v>2.7723694982486856E-3</v>
      </c>
      <c r="E259">
        <f t="shared" ref="E259:E322" si="44">$L$2 + $L$4 * EXP($L$6 *B259)</f>
        <v>2.2774219446005273E-2</v>
      </c>
      <c r="F259" s="9">
        <f t="shared" ref="F259:F322" si="45">E259</f>
        <v>2.2774219446005273E-2</v>
      </c>
      <c r="G259">
        <f t="shared" si="37"/>
        <v>0.82610094604987638</v>
      </c>
      <c r="H259">
        <f t="shared" si="38"/>
        <v>8.6199567192301985E-2</v>
      </c>
      <c r="I259">
        <f t="shared" si="39"/>
        <v>8.769948675782073E-2</v>
      </c>
      <c r="J259">
        <f t="shared" si="40"/>
        <v>8.7699486757821632E-2</v>
      </c>
    </row>
    <row r="260" spans="1:10" x14ac:dyDescent="0.3">
      <c r="A260" s="8">
        <f t="shared" ref="A260:A323" si="46">B260-60</f>
        <v>4.9615384615381117</v>
      </c>
      <c r="B260">
        <f t="shared" si="41"/>
        <v>64.961538461538112</v>
      </c>
      <c r="C260">
        <f t="shared" si="42"/>
        <v>2.7796385831698162E-2</v>
      </c>
      <c r="D260">
        <f t="shared" si="43"/>
        <v>2.7796385831698163E-3</v>
      </c>
      <c r="E260">
        <f t="shared" si="44"/>
        <v>2.2811730797485528E-2</v>
      </c>
      <c r="F260" s="9">
        <f t="shared" si="45"/>
        <v>2.2811730797485528E-2</v>
      </c>
      <c r="G260">
        <f t="shared" ref="G260:G323" si="47">$L$7*(G259*(-C259-E259)+H259*D259)+G259</f>
        <v>0.82530330378387495</v>
      </c>
      <c r="H260">
        <f t="shared" ref="H260:H323" si="48">$L$7*(G259*C259+H259*(-D259-F259))+H259</f>
        <v>8.6597653071971148E-2</v>
      </c>
      <c r="I260">
        <f t="shared" ref="I260:I323" si="49">$L$7*(G259*E259+H259*F259)+I259</f>
        <v>8.8099043144153052E-2</v>
      </c>
      <c r="J260">
        <f t="shared" ref="J260:J323" si="50">1-G260-H260</f>
        <v>8.8099043144153899E-2</v>
      </c>
    </row>
    <row r="261" spans="1:10" x14ac:dyDescent="0.3">
      <c r="A261" s="8">
        <f t="shared" si="46"/>
        <v>4.9807692307688853</v>
      </c>
      <c r="B261">
        <f t="shared" si="41"/>
        <v>64.980769230768885</v>
      </c>
      <c r="C261">
        <f t="shared" si="42"/>
        <v>2.7869270064694585E-2</v>
      </c>
      <c r="D261">
        <f t="shared" si="43"/>
        <v>2.7869270064694585E-3</v>
      </c>
      <c r="E261">
        <f t="shared" si="44"/>
        <v>2.284930532071883E-2</v>
      </c>
      <c r="F261" s="9">
        <f t="shared" si="45"/>
        <v>2.284930532071883E-2</v>
      </c>
      <c r="G261">
        <f t="shared" si="47"/>
        <v>0.82450472040551626</v>
      </c>
      <c r="H261">
        <f t="shared" si="48"/>
        <v>8.6996197236065165E-2</v>
      </c>
      <c r="I261">
        <f t="shared" si="49"/>
        <v>8.849908235841776E-2</v>
      </c>
      <c r="J261">
        <f t="shared" si="50"/>
        <v>8.8499082358418579E-2</v>
      </c>
    </row>
    <row r="262" spans="1:10" x14ac:dyDescent="0.3">
      <c r="A262" s="8">
        <f t="shared" si="46"/>
        <v>4.9999999999996589</v>
      </c>
      <c r="B262">
        <f t="shared" si="41"/>
        <v>64.999999999999659</v>
      </c>
      <c r="C262">
        <f t="shared" si="42"/>
        <v>2.7942348195946494E-2</v>
      </c>
      <c r="D262">
        <f t="shared" si="43"/>
        <v>2.7942348195946496E-3</v>
      </c>
      <c r="E262">
        <f t="shared" si="44"/>
        <v>2.2886943122090827E-2</v>
      </c>
      <c r="F262" s="9">
        <f t="shared" si="45"/>
        <v>2.2886943122090827E-2</v>
      </c>
      <c r="G262">
        <f t="shared" si="47"/>
        <v>0.82370519631386285</v>
      </c>
      <c r="H262">
        <f t="shared" si="48"/>
        <v>8.7395198966808835E-2</v>
      </c>
      <c r="I262">
        <f t="shared" si="49"/>
        <v>8.8899604719327521E-2</v>
      </c>
      <c r="J262">
        <f t="shared" si="50"/>
        <v>8.8899604719328312E-2</v>
      </c>
    </row>
    <row r="263" spans="1:10" x14ac:dyDescent="0.3">
      <c r="A263" s="8">
        <f t="shared" si="46"/>
        <v>5.0192307692304325</v>
      </c>
      <c r="B263">
        <f t="shared" si="41"/>
        <v>65.019230769230433</v>
      </c>
      <c r="C263">
        <f t="shared" si="42"/>
        <v>2.8015620741292945E-2</v>
      </c>
      <c r="D263">
        <f t="shared" si="43"/>
        <v>2.8015620741292948E-3</v>
      </c>
      <c r="E263">
        <f t="shared" si="44"/>
        <v>2.2924644308166379E-2</v>
      </c>
      <c r="F263" s="9">
        <f t="shared" si="45"/>
        <v>2.2924644308166379E-2</v>
      </c>
      <c r="G263">
        <f t="shared" si="47"/>
        <v>0.82290473191625513</v>
      </c>
      <c r="H263">
        <f t="shared" si="48"/>
        <v>8.7794657538929927E-2</v>
      </c>
      <c r="I263">
        <f t="shared" si="49"/>
        <v>8.9300610544814127E-2</v>
      </c>
      <c r="J263">
        <f t="shared" si="50"/>
        <v>8.9300610544814946E-2</v>
      </c>
    </row>
    <row r="264" spans="1:10" x14ac:dyDescent="0.3">
      <c r="A264" s="8">
        <f t="shared" si="46"/>
        <v>5.0384615384612061</v>
      </c>
      <c r="B264">
        <f t="shared" si="41"/>
        <v>65.038461538461206</v>
      </c>
      <c r="C264">
        <f t="shared" si="42"/>
        <v>2.8089088217945302E-2</v>
      </c>
      <c r="D264">
        <f t="shared" si="43"/>
        <v>2.8089088217945306E-3</v>
      </c>
      <c r="E264">
        <f t="shared" si="44"/>
        <v>2.2962408985689752E-2</v>
      </c>
      <c r="F264" s="9">
        <f t="shared" si="45"/>
        <v>2.2962408985689752E-2</v>
      </c>
      <c r="G264">
        <f t="shared" si="47"/>
        <v>0.82210332762834371</v>
      </c>
      <c r="H264">
        <f t="shared" si="48"/>
        <v>8.8194572219631298E-2</v>
      </c>
      <c r="I264">
        <f t="shared" si="49"/>
        <v>8.9702100152024206E-2</v>
      </c>
      <c r="J264">
        <f t="shared" si="50"/>
        <v>8.9702100152024997E-2</v>
      </c>
    </row>
    <row r="265" spans="1:10" x14ac:dyDescent="0.3">
      <c r="A265" s="8">
        <f t="shared" si="46"/>
        <v>5.0576923076919797</v>
      </c>
      <c r="B265">
        <f t="shared" si="41"/>
        <v>65.05769230769198</v>
      </c>
      <c r="C265">
        <f t="shared" si="42"/>
        <v>2.8162751144490895E-2</v>
      </c>
      <c r="D265">
        <f t="shared" si="43"/>
        <v>2.8162751144490896E-3</v>
      </c>
      <c r="E265">
        <f t="shared" si="44"/>
        <v>2.3000237261585049E-2</v>
      </c>
      <c r="F265" s="9">
        <f t="shared" si="45"/>
        <v>2.3000237261585049E-2</v>
      </c>
      <c r="G265">
        <f t="shared" si="47"/>
        <v>0.82130098387412109</v>
      </c>
      <c r="H265">
        <f t="shared" si="48"/>
        <v>8.8594942268563057E-2</v>
      </c>
      <c r="I265">
        <f t="shared" si="49"/>
        <v>9.0104073857315045E-2</v>
      </c>
      <c r="J265">
        <f t="shared" si="50"/>
        <v>9.010407385731585E-2</v>
      </c>
    </row>
    <row r="266" spans="1:10" x14ac:dyDescent="0.3">
      <c r="A266" s="8">
        <f t="shared" si="46"/>
        <v>5.0769230769227534</v>
      </c>
      <c r="B266">
        <f t="shared" si="41"/>
        <v>65.076923076922753</v>
      </c>
      <c r="C266">
        <f t="shared" si="42"/>
        <v>2.8236610040896698E-2</v>
      </c>
      <c r="D266">
        <f t="shared" si="43"/>
        <v>2.8236610040896699E-3</v>
      </c>
      <c r="E266">
        <f t="shared" si="44"/>
        <v>2.303812924295635E-2</v>
      </c>
      <c r="F266" s="9">
        <f t="shared" si="45"/>
        <v>2.303812924295635E-2</v>
      </c>
      <c r="G266">
        <f t="shared" si="47"/>
        <v>0.82049770108595432</v>
      </c>
      <c r="H266">
        <f t="shared" si="48"/>
        <v>8.8995766937794638E-2</v>
      </c>
      <c r="I266">
        <f t="shared" si="49"/>
        <v>9.0506531976250262E-2</v>
      </c>
      <c r="J266">
        <f t="shared" si="50"/>
        <v>9.050653197625104E-2</v>
      </c>
    </row>
    <row r="267" spans="1:10" x14ac:dyDescent="0.3">
      <c r="A267" s="8">
        <f t="shared" si="46"/>
        <v>5.096153846153527</v>
      </c>
      <c r="B267">
        <f t="shared" si="41"/>
        <v>65.096153846153527</v>
      </c>
      <c r="C267">
        <f t="shared" si="42"/>
        <v>2.8310665428512967E-2</v>
      </c>
      <c r="D267">
        <f t="shared" si="43"/>
        <v>2.831066542851297E-3</v>
      </c>
      <c r="E267">
        <f t="shared" si="44"/>
        <v>2.3076085037088186E-2</v>
      </c>
      <c r="F267" s="9">
        <f t="shared" si="45"/>
        <v>2.3076085037088186E-2</v>
      </c>
      <c r="G267">
        <f t="shared" si="47"/>
        <v>0.81969347970461681</v>
      </c>
      <c r="H267">
        <f t="shared" si="48"/>
        <v>8.9397045471786868E-2</v>
      </c>
      <c r="I267">
        <f t="shared" si="49"/>
        <v>9.0909474823595571E-2</v>
      </c>
      <c r="J267">
        <f t="shared" si="50"/>
        <v>9.090947482359632E-2</v>
      </c>
    </row>
    <row r="268" spans="1:10" x14ac:dyDescent="0.3">
      <c r="A268" s="8">
        <f t="shared" si="46"/>
        <v>5.1153846153843006</v>
      </c>
      <c r="B268">
        <f t="shared" si="41"/>
        <v>65.115384615384301</v>
      </c>
      <c r="C268">
        <f t="shared" si="42"/>
        <v>2.8384917830076944E-2</v>
      </c>
      <c r="D268">
        <f t="shared" si="43"/>
        <v>2.8384917830076946E-3</v>
      </c>
      <c r="E268">
        <f t="shared" si="44"/>
        <v>2.3114104751445749E-2</v>
      </c>
      <c r="F268" s="9">
        <f t="shared" si="45"/>
        <v>2.3114104751445749E-2</v>
      </c>
      <c r="G268">
        <f t="shared" si="47"/>
        <v>0.81888832017932067</v>
      </c>
      <c r="H268">
        <f t="shared" si="48"/>
        <v>8.9798777107364072E-2</v>
      </c>
      <c r="I268">
        <f t="shared" si="49"/>
        <v>9.1312902713314451E-2</v>
      </c>
      <c r="J268">
        <f t="shared" si="50"/>
        <v>9.1312902713315255E-2</v>
      </c>
    </row>
    <row r="269" spans="1:10" x14ac:dyDescent="0.3">
      <c r="A269" s="8">
        <f t="shared" si="46"/>
        <v>5.1346153846150742</v>
      </c>
      <c r="B269">
        <f t="shared" si="41"/>
        <v>65.134615384615074</v>
      </c>
      <c r="C269">
        <f t="shared" si="42"/>
        <v>2.845936776971654E-2</v>
      </c>
      <c r="D269">
        <f t="shared" si="43"/>
        <v>2.845936776971654E-3</v>
      </c>
      <c r="E269">
        <f t="shared" si="44"/>
        <v>2.3152188493675143E-2</v>
      </c>
      <c r="F269" s="9">
        <f t="shared" si="45"/>
        <v>2.3152188493675143E-2</v>
      </c>
      <c r="G269">
        <f t="shared" si="47"/>
        <v>0.81808222296774924</v>
      </c>
      <c r="H269">
        <f t="shared" si="48"/>
        <v>9.0200961073686095E-2</v>
      </c>
      <c r="I269">
        <f t="shared" si="49"/>
        <v>9.1716815958563902E-2</v>
      </c>
      <c r="J269">
        <f t="shared" si="50"/>
        <v>9.1716815958564665E-2</v>
      </c>
    </row>
    <row r="270" spans="1:10" x14ac:dyDescent="0.3">
      <c r="A270" s="8">
        <f t="shared" si="46"/>
        <v>5.1538461538458478</v>
      </c>
      <c r="B270">
        <f t="shared" si="41"/>
        <v>65.153846153845848</v>
      </c>
      <c r="C270">
        <f t="shared" si="42"/>
        <v>2.853401577295404E-2</v>
      </c>
      <c r="D270">
        <f t="shared" si="43"/>
        <v>2.8534015772954044E-3</v>
      </c>
      <c r="E270">
        <f t="shared" si="44"/>
        <v>2.3190336371603861E-2</v>
      </c>
      <c r="F270" s="9">
        <f t="shared" si="45"/>
        <v>2.3190336371603861E-2</v>
      </c>
      <c r="G270">
        <f t="shared" si="47"/>
        <v>0.81727518853608883</v>
      </c>
      <c r="H270">
        <f t="shared" si="48"/>
        <v>9.0603596592220323E-2</v>
      </c>
      <c r="I270">
        <f t="shared" si="49"/>
        <v>9.2121214871690102E-2</v>
      </c>
      <c r="J270">
        <f t="shared" si="50"/>
        <v>9.2121214871690851E-2</v>
      </c>
    </row>
    <row r="271" spans="1:10" x14ac:dyDescent="0.3">
      <c r="A271" s="8">
        <f t="shared" si="46"/>
        <v>5.1730769230766214</v>
      </c>
      <c r="B271">
        <f t="shared" si="41"/>
        <v>65.173076923076621</v>
      </c>
      <c r="C271">
        <f t="shared" si="42"/>
        <v>2.8608862366709793E-2</v>
      </c>
      <c r="D271">
        <f t="shared" si="43"/>
        <v>2.8608862366709797E-3</v>
      </c>
      <c r="E271">
        <f t="shared" si="44"/>
        <v>2.3228548493240877E-2</v>
      </c>
      <c r="F271" s="9">
        <f t="shared" si="45"/>
        <v>2.3228548493240877E-2</v>
      </c>
      <c r="G271">
        <f t="shared" si="47"/>
        <v>0.81646721735906136</v>
      </c>
      <c r="H271">
        <f t="shared" si="48"/>
        <v>9.1006682876713735E-2</v>
      </c>
      <c r="I271">
        <f t="shared" si="49"/>
        <v>9.2526099764224115E-2</v>
      </c>
      <c r="J271">
        <f t="shared" si="50"/>
        <v>9.2526099764224906E-2</v>
      </c>
    </row>
    <row r="272" spans="1:10" x14ac:dyDescent="0.3">
      <c r="A272" s="8">
        <f t="shared" si="46"/>
        <v>5.192307692307395</v>
      </c>
      <c r="B272">
        <f t="shared" si="41"/>
        <v>65.192307692307395</v>
      </c>
      <c r="C272">
        <f t="shared" si="42"/>
        <v>2.8683908079305955E-2</v>
      </c>
      <c r="D272">
        <f t="shared" si="43"/>
        <v>2.8683908079305959E-3</v>
      </c>
      <c r="E272">
        <f t="shared" si="44"/>
        <v>2.326682496677716E-2</v>
      </c>
      <c r="F272" s="9">
        <f t="shared" si="45"/>
        <v>2.326682496677716E-2</v>
      </c>
      <c r="G272">
        <f t="shared" si="47"/>
        <v>0.8156583099199568</v>
      </c>
      <c r="H272">
        <f t="shared" si="48"/>
        <v>9.1410219133164855E-2</v>
      </c>
      <c r="I272">
        <f t="shared" si="49"/>
        <v>9.2931470946877523E-2</v>
      </c>
      <c r="J272">
        <f t="shared" si="50"/>
        <v>9.2931470946878342E-2</v>
      </c>
    </row>
    <row r="273" spans="1:10" x14ac:dyDescent="0.3">
      <c r="A273" s="8">
        <f t="shared" si="46"/>
        <v>5.2115384615381686</v>
      </c>
      <c r="B273">
        <f t="shared" si="41"/>
        <v>65.211538461538169</v>
      </c>
      <c r="C273">
        <f t="shared" si="42"/>
        <v>2.8759153440470215E-2</v>
      </c>
      <c r="D273">
        <f t="shared" si="43"/>
        <v>2.8759153440470215E-3</v>
      </c>
      <c r="E273">
        <f t="shared" si="44"/>
        <v>2.3305165900585786E-2</v>
      </c>
      <c r="F273" s="9">
        <f t="shared" si="45"/>
        <v>2.3305165900585786E-2</v>
      </c>
      <c r="G273">
        <f t="shared" si="47"/>
        <v>0.81484846671066524</v>
      </c>
      <c r="H273">
        <f t="shared" si="48"/>
        <v>9.1814204559795762E-2</v>
      </c>
      <c r="I273">
        <f t="shared" si="49"/>
        <v>9.3337328729538122E-2</v>
      </c>
      <c r="J273">
        <f t="shared" si="50"/>
        <v>9.3337328729538996E-2</v>
      </c>
    </row>
    <row r="274" spans="1:10" x14ac:dyDescent="0.3">
      <c r="A274" s="8">
        <f t="shared" si="46"/>
        <v>5.2307692307689422</v>
      </c>
      <c r="B274">
        <f t="shared" si="41"/>
        <v>65.230769230768942</v>
      </c>
      <c r="C274">
        <f t="shared" si="42"/>
        <v>2.8834598981339513E-2</v>
      </c>
      <c r="D274">
        <f t="shared" si="43"/>
        <v>2.8834598981339514E-3</v>
      </c>
      <c r="E274">
        <f t="shared" si="44"/>
        <v>2.3343571403222411E-2</v>
      </c>
      <c r="F274" s="9">
        <f t="shared" si="45"/>
        <v>2.3343571403222411E-2</v>
      </c>
      <c r="G274">
        <f t="shared" si="47"/>
        <v>0.81403768823170952</v>
      </c>
      <c r="H274">
        <f t="shared" si="48"/>
        <v>9.2218638347024082E-2</v>
      </c>
      <c r="I274">
        <f t="shared" si="49"/>
        <v>9.374367342126555E-2</v>
      </c>
      <c r="J274">
        <f t="shared" si="50"/>
        <v>9.3743673421266396E-2</v>
      </c>
    </row>
    <row r="275" spans="1:10" x14ac:dyDescent="0.3">
      <c r="A275" s="8">
        <f t="shared" si="46"/>
        <v>5.2499999999997158</v>
      </c>
      <c r="B275">
        <f t="shared" si="41"/>
        <v>65.249999999999716</v>
      </c>
      <c r="C275">
        <f t="shared" si="42"/>
        <v>2.8910245234463817E-2</v>
      </c>
      <c r="D275">
        <f t="shared" si="43"/>
        <v>2.891024523446382E-3</v>
      </c>
      <c r="E275">
        <f t="shared" si="44"/>
        <v>2.3382041583425498E-2</v>
      </c>
      <c r="F275" s="9">
        <f t="shared" si="45"/>
        <v>2.3382041583425498E-2</v>
      </c>
      <c r="G275">
        <f t="shared" si="47"/>
        <v>0.81322597499227733</v>
      </c>
      <c r="H275">
        <f t="shared" si="48"/>
        <v>9.2623519677434887E-2</v>
      </c>
      <c r="I275">
        <f t="shared" si="49"/>
        <v>9.4150505330286946E-2</v>
      </c>
      <c r="J275">
        <f t="shared" si="50"/>
        <v>9.4150505330287779E-2</v>
      </c>
    </row>
    <row r="276" spans="1:10" x14ac:dyDescent="0.3">
      <c r="A276" s="8">
        <f t="shared" si="46"/>
        <v>5.2692307692304894</v>
      </c>
      <c r="B276">
        <f t="shared" si="41"/>
        <v>65.269230769230489</v>
      </c>
      <c r="C276">
        <f t="shared" si="42"/>
        <v>2.8986092733809869E-2</v>
      </c>
      <c r="D276">
        <f t="shared" si="43"/>
        <v>2.898609273380987E-3</v>
      </c>
      <c r="E276">
        <f t="shared" si="44"/>
        <v>2.3420576550116583E-2</v>
      </c>
      <c r="F276" s="9">
        <f t="shared" si="45"/>
        <v>2.3420576550116583E-2</v>
      </c>
      <c r="G276">
        <f t="shared" si="47"/>
        <v>0.81241332751025386</v>
      </c>
      <c r="H276">
        <f t="shared" si="48"/>
        <v>9.3028847725752706E-2</v>
      </c>
      <c r="I276">
        <f t="shared" si="49"/>
        <v>9.4557824763992562E-2</v>
      </c>
      <c r="J276">
        <f t="shared" si="50"/>
        <v>9.4557824763993437E-2</v>
      </c>
    </row>
    <row r="277" spans="1:10" x14ac:dyDescent="0.3">
      <c r="A277" s="8">
        <f t="shared" si="46"/>
        <v>5.288461538461263</v>
      </c>
      <c r="B277">
        <f t="shared" si="41"/>
        <v>65.288461538461263</v>
      </c>
      <c r="C277">
        <f t="shared" si="42"/>
        <v>2.9062142014764938E-2</v>
      </c>
      <c r="D277">
        <f t="shared" si="43"/>
        <v>2.9062142014764942E-3</v>
      </c>
      <c r="E277">
        <f t="shared" si="44"/>
        <v>2.3459176412400692E-2</v>
      </c>
      <c r="F277" s="9">
        <f t="shared" si="45"/>
        <v>2.3459176412400692E-2</v>
      </c>
      <c r="G277">
        <f t="shared" si="47"/>
        <v>0.8115997463122544</v>
      </c>
      <c r="H277">
        <f t="shared" si="48"/>
        <v>9.3434621658813388E-2</v>
      </c>
      <c r="I277">
        <f t="shared" si="49"/>
        <v>9.4965632028931393E-2</v>
      </c>
      <c r="J277">
        <f t="shared" si="50"/>
        <v>9.4965632028932212E-2</v>
      </c>
    </row>
    <row r="278" spans="1:10" x14ac:dyDescent="0.3">
      <c r="A278" s="8">
        <f t="shared" si="46"/>
        <v>5.3076923076920366</v>
      </c>
      <c r="B278">
        <f t="shared" si="41"/>
        <v>65.307692307692037</v>
      </c>
      <c r="C278">
        <f t="shared" si="42"/>
        <v>2.9138393614140636E-2</v>
      </c>
      <c r="D278">
        <f t="shared" si="43"/>
        <v>2.9138393614140637E-3</v>
      </c>
      <c r="E278">
        <f t="shared" si="44"/>
        <v>2.3497841279566535E-2</v>
      </c>
      <c r="F278" s="9">
        <f t="shared" si="45"/>
        <v>2.3497841279566535E-2</v>
      </c>
      <c r="G278">
        <f t="shared" si="47"/>
        <v>0.81078523193365637</v>
      </c>
      <c r="H278">
        <f t="shared" si="48"/>
        <v>9.3840840635536077E-2</v>
      </c>
      <c r="I278">
        <f t="shared" si="49"/>
        <v>9.5373927430806749E-2</v>
      </c>
      <c r="J278">
        <f t="shared" si="50"/>
        <v>9.5373927430807554E-2</v>
      </c>
    </row>
    <row r="279" spans="1:10" x14ac:dyDescent="0.3">
      <c r="A279" s="8">
        <f t="shared" si="46"/>
        <v>5.3269230769228102</v>
      </c>
      <c r="B279">
        <f t="shared" si="41"/>
        <v>65.32692307692281</v>
      </c>
      <c r="C279">
        <f t="shared" si="42"/>
        <v>2.9214848070176675E-2</v>
      </c>
      <c r="D279">
        <f t="shared" si="43"/>
        <v>2.9214848070176678E-3</v>
      </c>
      <c r="E279">
        <f t="shared" si="44"/>
        <v>2.3536571261086946E-2</v>
      </c>
      <c r="F279" s="9">
        <f t="shared" si="45"/>
        <v>2.3536571261086946E-2</v>
      </c>
      <c r="G279">
        <f t="shared" si="47"/>
        <v>0.80996978491863225</v>
      </c>
      <c r="H279">
        <f t="shared" si="48"/>
        <v>9.4247503806895089E-2</v>
      </c>
      <c r="I279">
        <f t="shared" si="49"/>
        <v>9.578271127447191E-2</v>
      </c>
      <c r="J279">
        <f t="shared" si="50"/>
        <v>9.5782711274472659E-2</v>
      </c>
    </row>
    <row r="280" spans="1:10" x14ac:dyDescent="0.3">
      <c r="A280" s="8">
        <f t="shared" si="46"/>
        <v>5.3461538461535838</v>
      </c>
      <c r="B280">
        <f t="shared" si="41"/>
        <v>65.346153846153584</v>
      </c>
      <c r="C280">
        <f t="shared" si="42"/>
        <v>2.9291505922544675E-2</v>
      </c>
      <c r="D280">
        <f t="shared" si="43"/>
        <v>2.9291505922544678E-3</v>
      </c>
      <c r="E280">
        <f t="shared" si="44"/>
        <v>2.3575366466619029E-2</v>
      </c>
      <c r="F280" s="9">
        <f t="shared" si="45"/>
        <v>2.3575366466619029E-2</v>
      </c>
      <c r="G280">
        <f t="shared" si="47"/>
        <v>0.8091534058201818</v>
      </c>
      <c r="H280">
        <f t="shared" si="48"/>
        <v>9.4654610315891813E-2</v>
      </c>
      <c r="I280">
        <f t="shared" si="49"/>
        <v>9.6191983863925662E-2</v>
      </c>
      <c r="J280">
        <f t="shared" si="50"/>
        <v>9.6191983863926384E-2</v>
      </c>
    </row>
    <row r="281" spans="1:10" x14ac:dyDescent="0.3">
      <c r="A281" s="8">
        <f t="shared" si="46"/>
        <v>5.3653846153843574</v>
      </c>
      <c r="B281">
        <f t="shared" si="41"/>
        <v>65.365384615384357</v>
      </c>
      <c r="C281">
        <f t="shared" si="42"/>
        <v>2.9368367712351948E-2</v>
      </c>
      <c r="D281">
        <f t="shared" si="43"/>
        <v>2.936836771235195E-3</v>
      </c>
      <c r="E281">
        <f t="shared" si="44"/>
        <v>2.3614227006004625E-2</v>
      </c>
      <c r="F281" s="9">
        <f t="shared" si="45"/>
        <v>2.3614227006004625E-2</v>
      </c>
      <c r="G281">
        <f t="shared" si="47"/>
        <v>0.80833609520016481</v>
      </c>
      <c r="H281">
        <f t="shared" si="48"/>
        <v>9.5062159297526636E-2</v>
      </c>
      <c r="I281">
        <f t="shared" si="49"/>
        <v>9.6601745502307892E-2</v>
      </c>
      <c r="J281">
        <f t="shared" si="50"/>
        <v>9.6601745502308559E-2</v>
      </c>
    </row>
    <row r="282" spans="1:10" x14ac:dyDescent="0.3">
      <c r="A282" s="8">
        <f t="shared" si="46"/>
        <v>5.384615384615131</v>
      </c>
      <c r="B282">
        <f t="shared" si="41"/>
        <v>65.384615384615131</v>
      </c>
      <c r="C282">
        <f t="shared" si="42"/>
        <v>2.9445433982145469E-2</v>
      </c>
      <c r="D282">
        <f t="shared" si="43"/>
        <v>2.9445433982145473E-3</v>
      </c>
      <c r="E282">
        <f t="shared" si="44"/>
        <v>2.3653152989270562E-2</v>
      </c>
      <c r="F282" s="9">
        <f t="shared" si="45"/>
        <v>2.3653152989270562E-2</v>
      </c>
      <c r="G282">
        <f t="shared" si="47"/>
        <v>0.80751785362933348</v>
      </c>
      <c r="H282">
        <f t="shared" si="48"/>
        <v>9.5470149878770755E-2</v>
      </c>
      <c r="I282">
        <f t="shared" si="49"/>
        <v>9.7011996491895139E-2</v>
      </c>
      <c r="J282">
        <f t="shared" si="50"/>
        <v>9.7011996491895763E-2</v>
      </c>
    </row>
    <row r="283" spans="1:10" x14ac:dyDescent="0.3">
      <c r="A283" s="8">
        <f t="shared" si="46"/>
        <v>5.4038461538459046</v>
      </c>
      <c r="B283">
        <f t="shared" si="41"/>
        <v>65.403846153845905</v>
      </c>
      <c r="C283">
        <f t="shared" si="42"/>
        <v>2.952270527591545E-2</v>
      </c>
      <c r="D283">
        <f t="shared" si="43"/>
        <v>2.952270527591545E-3</v>
      </c>
      <c r="E283">
        <f t="shared" si="44"/>
        <v>2.3692144526628895E-2</v>
      </c>
      <c r="F283" s="9">
        <f t="shared" si="45"/>
        <v>2.3692144526628895E-2</v>
      </c>
      <c r="G283">
        <f t="shared" si="47"/>
        <v>0.80669868168736514</v>
      </c>
      <c r="H283">
        <f t="shared" si="48"/>
        <v>9.5878581178538119E-2</v>
      </c>
      <c r="I283">
        <f t="shared" si="49"/>
        <v>9.742273713409616E-2</v>
      </c>
      <c r="J283">
        <f t="shared" si="50"/>
        <v>9.7422737134096743E-2</v>
      </c>
    </row>
    <row r="284" spans="1:10" x14ac:dyDescent="0.3">
      <c r="A284" s="8">
        <f t="shared" si="46"/>
        <v>5.4230769230766782</v>
      </c>
      <c r="B284">
        <f t="shared" si="41"/>
        <v>65.423076923076678</v>
      </c>
      <c r="C284">
        <f t="shared" si="42"/>
        <v>2.960018213909936E-2</v>
      </c>
      <c r="D284">
        <f t="shared" si="43"/>
        <v>2.9600182139099362E-3</v>
      </c>
      <c r="E284">
        <f t="shared" si="44"/>
        <v>2.3731201728477359E-2</v>
      </c>
      <c r="F284" s="9">
        <f t="shared" si="45"/>
        <v>2.3731201728477359E-2</v>
      </c>
      <c r="G284">
        <f t="shared" si="47"/>
        <v>0.80587857996289469</v>
      </c>
      <c r="H284">
        <f t="shared" si="48"/>
        <v>9.6287452307657256E-2</v>
      </c>
      <c r="I284">
        <f t="shared" si="49"/>
        <v>9.7833967729447469E-2</v>
      </c>
      <c r="J284">
        <f t="shared" si="50"/>
        <v>9.7833967729448051E-2</v>
      </c>
    </row>
    <row r="285" spans="1:10" x14ac:dyDescent="0.3">
      <c r="A285" s="8">
        <f t="shared" si="46"/>
        <v>5.4423076923074518</v>
      </c>
      <c r="B285">
        <f t="shared" si="41"/>
        <v>65.442307692307452</v>
      </c>
      <c r="C285">
        <f t="shared" si="42"/>
        <v>2.9677865118585708E-2</v>
      </c>
      <c r="D285">
        <f t="shared" si="43"/>
        <v>2.9677865118585712E-3</v>
      </c>
      <c r="E285">
        <f t="shared" si="44"/>
        <v>2.3770324705399536E-2</v>
      </c>
      <c r="F285" s="9">
        <f t="shared" si="45"/>
        <v>2.3770324705399536E-2</v>
      </c>
      <c r="G285">
        <f t="shared" si="47"/>
        <v>0.80505754905354743</v>
      </c>
      <c r="H285">
        <f t="shared" si="48"/>
        <v>9.6696762368843114E-2</v>
      </c>
      <c r="I285">
        <f t="shared" si="49"/>
        <v>9.8245688577608861E-2</v>
      </c>
      <c r="J285">
        <f t="shared" si="50"/>
        <v>9.8245688577609458E-2</v>
      </c>
    </row>
    <row r="286" spans="1:10" x14ac:dyDescent="0.3">
      <c r="A286" s="8">
        <f t="shared" si="46"/>
        <v>5.4615384615382254</v>
      </c>
      <c r="B286">
        <f t="shared" si="41"/>
        <v>65.461538461538225</v>
      </c>
      <c r="C286">
        <f t="shared" si="42"/>
        <v>2.9755754762717964E-2</v>
      </c>
      <c r="D286">
        <f t="shared" si="43"/>
        <v>2.9755754762717966E-3</v>
      </c>
      <c r="E286">
        <f t="shared" si="44"/>
        <v>2.3809513568165311E-2</v>
      </c>
      <c r="F286" s="9">
        <f t="shared" si="45"/>
        <v>2.3809513568165311E-2</v>
      </c>
      <c r="G286">
        <f t="shared" si="47"/>
        <v>0.80423558956597152</v>
      </c>
      <c r="H286">
        <f t="shared" si="48"/>
        <v>9.7106510456668946E-2</v>
      </c>
      <c r="I286">
        <f t="shared" si="49"/>
        <v>9.8657899977358937E-2</v>
      </c>
      <c r="J286">
        <f t="shared" si="50"/>
        <v>9.8657899977359534E-2</v>
      </c>
    </row>
    <row r="287" spans="1:10" x14ac:dyDescent="0.3">
      <c r="A287" s="8">
        <f t="shared" si="46"/>
        <v>5.480769230768999</v>
      </c>
      <c r="B287">
        <f t="shared" si="41"/>
        <v>65.480769230768999</v>
      </c>
      <c r="C287">
        <f t="shared" si="42"/>
        <v>2.9833851621298344E-2</v>
      </c>
      <c r="D287">
        <f t="shared" si="43"/>
        <v>2.9833851621298346E-3</v>
      </c>
      <c r="E287">
        <f t="shared" si="44"/>
        <v>2.3848768427731041E-2</v>
      </c>
      <c r="F287" s="9">
        <f t="shared" si="45"/>
        <v>2.3848768427731041E-2</v>
      </c>
      <c r="G287">
        <f t="shared" si="47"/>
        <v>0.80341270211587068</v>
      </c>
      <c r="H287">
        <f t="shared" si="48"/>
        <v>9.7516695657538149E-2</v>
      </c>
      <c r="I287">
        <f t="shared" si="49"/>
        <v>9.9070602226590629E-2</v>
      </c>
      <c r="J287">
        <f t="shared" si="50"/>
        <v>9.907060222659117E-2</v>
      </c>
    </row>
    <row r="288" spans="1:10" x14ac:dyDescent="0.3">
      <c r="A288" s="8">
        <f t="shared" si="46"/>
        <v>5.4999999999997726</v>
      </c>
      <c r="B288">
        <f t="shared" si="41"/>
        <v>65.499999999999773</v>
      </c>
      <c r="C288">
        <f t="shared" si="42"/>
        <v>2.9912156245591771E-2</v>
      </c>
      <c r="D288">
        <f t="shared" si="43"/>
        <v>2.9912156245591771E-3</v>
      </c>
      <c r="E288">
        <f t="shared" si="44"/>
        <v>2.3888089395239991E-2</v>
      </c>
      <c r="F288" s="9">
        <f t="shared" si="45"/>
        <v>2.3888089395239991E-2</v>
      </c>
      <c r="G288">
        <f t="shared" si="47"/>
        <v>0.80258888732803668</v>
      </c>
      <c r="H288">
        <f t="shared" si="48"/>
        <v>9.7927317049656085E-2</v>
      </c>
      <c r="I288">
        <f t="shared" si="49"/>
        <v>9.9483795622306651E-2</v>
      </c>
      <c r="J288">
        <f t="shared" si="50"/>
        <v>9.9483795622307233E-2</v>
      </c>
    </row>
    <row r="289" spans="1:10" x14ac:dyDescent="0.3">
      <c r="A289" s="8">
        <f t="shared" si="46"/>
        <v>5.5192307692305462</v>
      </c>
      <c r="B289">
        <f t="shared" si="41"/>
        <v>65.519230769230546</v>
      </c>
      <c r="C289">
        <f t="shared" si="42"/>
        <v>2.9990669188329707E-2</v>
      </c>
      <c r="D289">
        <f t="shared" si="43"/>
        <v>2.999066918832971E-3</v>
      </c>
      <c r="E289">
        <f t="shared" si="44"/>
        <v>2.392747658202261E-2</v>
      </c>
      <c r="F289" s="9">
        <f t="shared" si="45"/>
        <v>2.392747658202261E-2</v>
      </c>
      <c r="G289">
        <f t="shared" si="47"/>
        <v>0.80176414583638245</v>
      </c>
      <c r="H289">
        <f t="shared" si="48"/>
        <v>9.8338373703001927E-2</v>
      </c>
      <c r="I289">
        <f t="shared" si="49"/>
        <v>9.9897480460615043E-2</v>
      </c>
      <c r="J289">
        <f t="shared" si="50"/>
        <v>9.9897480460615626E-2</v>
      </c>
    </row>
    <row r="290" spans="1:10" x14ac:dyDescent="0.3">
      <c r="A290" s="8">
        <f t="shared" si="46"/>
        <v>5.5384615384613198</v>
      </c>
      <c r="B290">
        <f t="shared" ref="B290:B353" si="51">B289+$L$7</f>
        <v>65.53846153846132</v>
      </c>
      <c r="C290">
        <f t="shared" si="42"/>
        <v>3.0069391003714092E-2</v>
      </c>
      <c r="D290">
        <f t="shared" si="43"/>
        <v>3.0069391003714092E-3</v>
      </c>
      <c r="E290">
        <f t="shared" si="44"/>
        <v>2.3966930099596769E-2</v>
      </c>
      <c r="F290" s="9">
        <f t="shared" si="45"/>
        <v>2.3966930099596769E-2</v>
      </c>
      <c r="G290">
        <f t="shared" si="47"/>
        <v>0.80093847828397435</v>
      </c>
      <c r="H290">
        <f t="shared" si="48"/>
        <v>9.8749864679300497E-2</v>
      </c>
      <c r="I290">
        <f t="shared" si="49"/>
        <v>0.10031165703672462</v>
      </c>
      <c r="J290">
        <f t="shared" si="50"/>
        <v>0.10031165703672515</v>
      </c>
    </row>
    <row r="291" spans="1:10" x14ac:dyDescent="0.3">
      <c r="A291" s="8">
        <f t="shared" si="46"/>
        <v>5.5576923076920934</v>
      </c>
      <c r="B291">
        <f t="shared" si="51"/>
        <v>65.557692307692093</v>
      </c>
      <c r="C291">
        <f t="shared" si="42"/>
        <v>3.0148322247421231E-2</v>
      </c>
      <c r="D291">
        <f t="shared" si="43"/>
        <v>3.0148322247421232E-3</v>
      </c>
      <c r="E291">
        <f t="shared" si="44"/>
        <v>2.4006450059668224E-2</v>
      </c>
      <c r="F291" s="9">
        <f t="shared" si="45"/>
        <v>2.4006450059668224E-2</v>
      </c>
      <c r="G291">
        <f t="shared" si="47"/>
        <v>0.80011188532306499</v>
      </c>
      <c r="H291">
        <f t="shared" si="48"/>
        <v>9.9161789031994088E-2</v>
      </c>
      <c r="I291">
        <f t="shared" si="49"/>
        <v>0.10072632564494044</v>
      </c>
      <c r="J291">
        <f t="shared" si="50"/>
        <v>0.10072632564494093</v>
      </c>
    </row>
    <row r="292" spans="1:10" x14ac:dyDescent="0.3">
      <c r="A292" s="8">
        <f t="shared" si="46"/>
        <v>5.576923076922867</v>
      </c>
      <c r="B292">
        <f t="shared" si="51"/>
        <v>65.576923076922867</v>
      </c>
      <c r="C292">
        <f t="shared" si="42"/>
        <v>3.0227463476605741E-2</v>
      </c>
      <c r="D292">
        <f t="shared" si="43"/>
        <v>3.0227463476605741E-3</v>
      </c>
      <c r="E292">
        <f t="shared" si="44"/>
        <v>2.4046036574130771E-2</v>
      </c>
      <c r="F292" s="9">
        <f t="shared" si="45"/>
        <v>2.4046036574130771E-2</v>
      </c>
      <c r="G292">
        <f t="shared" si="47"/>
        <v>0.799284367615126</v>
      </c>
      <c r="H292">
        <f t="shared" si="48"/>
        <v>9.9574145806214293E-2</v>
      </c>
      <c r="I292">
        <f t="shared" si="49"/>
        <v>0.10114148657865926</v>
      </c>
      <c r="J292">
        <f t="shared" si="50"/>
        <v>0.10114148657865971</v>
      </c>
    </row>
    <row r="293" spans="1:10" x14ac:dyDescent="0.3">
      <c r="A293" s="8">
        <f t="shared" si="46"/>
        <v>5.5961538461536406</v>
      </c>
      <c r="B293">
        <f t="shared" si="51"/>
        <v>65.596153846153641</v>
      </c>
      <c r="C293">
        <f t="shared" si="42"/>
        <v>3.0306815249904459E-2</v>
      </c>
      <c r="D293">
        <f t="shared" si="43"/>
        <v>3.030681524990446E-3</v>
      </c>
      <c r="E293">
        <f t="shared" si="44"/>
        <v>2.4085689755066721E-2</v>
      </c>
      <c r="F293" s="9">
        <f t="shared" si="45"/>
        <v>2.4085689755066721E-2</v>
      </c>
      <c r="G293">
        <f t="shared" si="47"/>
        <v>0.79845592583088065</v>
      </c>
      <c r="H293">
        <f t="shared" si="48"/>
        <v>9.9986934038753847E-2</v>
      </c>
      <c r="I293">
        <f t="shared" si="49"/>
        <v>0.101557140130365</v>
      </c>
      <c r="J293">
        <f t="shared" si="50"/>
        <v>0.1015571401303655</v>
      </c>
    </row>
    <row r="294" spans="1:10" x14ac:dyDescent="0.3">
      <c r="A294" s="8">
        <f t="shared" si="46"/>
        <v>5.6153846153844142</v>
      </c>
      <c r="B294">
        <f t="shared" si="51"/>
        <v>65.615384615384414</v>
      </c>
      <c r="C294">
        <f t="shared" si="42"/>
        <v>3.0386378127440404E-2</v>
      </c>
      <c r="D294">
        <f t="shared" si="43"/>
        <v>3.0386378127440408E-3</v>
      </c>
      <c r="E294">
        <f t="shared" si="44"/>
        <v>2.4125409714747064E-2</v>
      </c>
      <c r="F294" s="9">
        <f t="shared" si="45"/>
        <v>2.4125409714747064E-2</v>
      </c>
      <c r="G294">
        <f t="shared" si="47"/>
        <v>0.79762656065033688</v>
      </c>
      <c r="H294">
        <f t="shared" si="48"/>
        <v>0.10040015275803843</v>
      </c>
      <c r="I294">
        <f t="shared" si="49"/>
        <v>0.10197328659162413</v>
      </c>
      <c r="J294">
        <f t="shared" si="50"/>
        <v>0.10197328659162469</v>
      </c>
    </row>
    <row r="295" spans="1:10" x14ac:dyDescent="0.3">
      <c r="A295" s="8">
        <f t="shared" si="46"/>
        <v>5.6346153846151878</v>
      </c>
      <c r="B295">
        <f t="shared" si="51"/>
        <v>65.634615384615188</v>
      </c>
      <c r="C295">
        <f t="shared" si="42"/>
        <v>3.0466152670826727E-2</v>
      </c>
      <c r="D295">
        <f t="shared" si="43"/>
        <v>3.0466152670826727E-3</v>
      </c>
      <c r="E295">
        <f t="shared" si="44"/>
        <v>2.416519656563192E-2</v>
      </c>
      <c r="F295" s="9">
        <f t="shared" si="45"/>
        <v>2.416519656563192E-2</v>
      </c>
      <c r="G295">
        <f t="shared" si="47"/>
        <v>0.79679627276281983</v>
      </c>
      <c r="H295">
        <f t="shared" si="48"/>
        <v>0.10081380098409851</v>
      </c>
      <c r="I295">
        <f t="shared" si="49"/>
        <v>0.10238992625308115</v>
      </c>
      <c r="J295">
        <f t="shared" si="50"/>
        <v>0.10238992625308166</v>
      </c>
    </row>
    <row r="296" spans="1:10" x14ac:dyDescent="0.3">
      <c r="A296" s="8">
        <f t="shared" si="46"/>
        <v>5.6538461538459615</v>
      </c>
      <c r="B296">
        <f t="shared" si="51"/>
        <v>65.653846153845961</v>
      </c>
      <c r="C296">
        <f t="shared" si="42"/>
        <v>3.0546139443170656E-2</v>
      </c>
      <c r="D296">
        <f t="shared" si="43"/>
        <v>3.0546139443170658E-3</v>
      </c>
      <c r="E296">
        <f t="shared" si="44"/>
        <v>2.4205050420370806E-2</v>
      </c>
      <c r="F296" s="9">
        <f t="shared" si="45"/>
        <v>2.4205050420370806E-2</v>
      </c>
      <c r="G296">
        <f t="shared" si="47"/>
        <v>0.79596506286700441</v>
      </c>
      <c r="H296">
        <f t="shared" si="48"/>
        <v>0.10122787772854115</v>
      </c>
      <c r="I296">
        <f t="shared" si="49"/>
        <v>0.10280705940445395</v>
      </c>
      <c r="J296">
        <f t="shared" si="50"/>
        <v>0.10280705940445443</v>
      </c>
    </row>
    <row r="297" spans="1:10" x14ac:dyDescent="0.3">
      <c r="A297" s="8">
        <f t="shared" si="46"/>
        <v>5.6730769230767351</v>
      </c>
      <c r="B297">
        <f t="shared" si="51"/>
        <v>65.673076923076735</v>
      </c>
      <c r="C297">
        <f t="shared" si="42"/>
        <v>3.0626339009077509E-2</v>
      </c>
      <c r="D297">
        <f t="shared" si="43"/>
        <v>3.0626339009077511E-3</v>
      </c>
      <c r="E297">
        <f t="shared" si="44"/>
        <v>2.4244971391802879E-2</v>
      </c>
      <c r="F297" s="9">
        <f t="shared" si="45"/>
        <v>2.4244971391802879E-2</v>
      </c>
      <c r="G297">
        <f t="shared" si="47"/>
        <v>0.79513293167094834</v>
      </c>
      <c r="H297">
        <f t="shared" si="48"/>
        <v>0.10164238199452189</v>
      </c>
      <c r="I297">
        <f t="shared" si="49"/>
        <v>0.10322468633452926</v>
      </c>
      <c r="J297">
        <f t="shared" si="50"/>
        <v>0.10322468633452977</v>
      </c>
    </row>
    <row r="298" spans="1:10" x14ac:dyDescent="0.3">
      <c r="A298" s="8">
        <f t="shared" si="46"/>
        <v>5.6923076923075087</v>
      </c>
      <c r="B298">
        <f t="shared" si="51"/>
        <v>65.692307692307509</v>
      </c>
      <c r="C298">
        <f t="shared" si="42"/>
        <v>3.0706751934654625E-2</v>
      </c>
      <c r="D298">
        <f t="shared" si="43"/>
        <v>3.0706751934654625E-3</v>
      </c>
      <c r="E298">
        <f t="shared" si="44"/>
        <v>2.42849595929574E-2</v>
      </c>
      <c r="F298" s="9">
        <f t="shared" si="45"/>
        <v>2.42849595929574E-2</v>
      </c>
      <c r="G298">
        <f t="shared" si="47"/>
        <v>0.79429987989212503</v>
      </c>
      <c r="H298">
        <f t="shared" si="48"/>
        <v>0.10205731277671648</v>
      </c>
      <c r="I298">
        <f t="shared" si="49"/>
        <v>0.10364280733115799</v>
      </c>
      <c r="J298">
        <f t="shared" si="50"/>
        <v>0.10364280733115849</v>
      </c>
    </row>
    <row r="299" spans="1:10" x14ac:dyDescent="0.3">
      <c r="A299" s="8">
        <f t="shared" si="46"/>
        <v>5.7115384615382823</v>
      </c>
      <c r="B299">
        <f t="shared" si="51"/>
        <v>65.711538461538282</v>
      </c>
      <c r="C299">
        <f t="shared" si="42"/>
        <v>3.0787378787515429E-2</v>
      </c>
      <c r="D299">
        <f t="shared" si="43"/>
        <v>3.0787378787515431E-3</v>
      </c>
      <c r="E299">
        <f t="shared" si="44"/>
        <v>2.4325015137053922E-2</v>
      </c>
      <c r="F299" s="9">
        <f t="shared" si="45"/>
        <v>2.4325015137053922E-2</v>
      </c>
      <c r="G299">
        <f t="shared" si="47"/>
        <v>0.793465908257456</v>
      </c>
      <c r="H299">
        <f t="shared" si="48"/>
        <v>0.10247266906129282</v>
      </c>
      <c r="I299">
        <f t="shared" si="49"/>
        <v>0.10406142268125068</v>
      </c>
      <c r="J299">
        <f t="shared" si="50"/>
        <v>0.10406142268125118</v>
      </c>
    </row>
    <row r="300" spans="1:10" x14ac:dyDescent="0.3">
      <c r="A300" s="8">
        <f t="shared" si="46"/>
        <v>5.7307692307690559</v>
      </c>
      <c r="B300">
        <f t="shared" si="51"/>
        <v>65.730769230769056</v>
      </c>
      <c r="C300">
        <f t="shared" si="42"/>
        <v>3.0868220136783375E-2</v>
      </c>
      <c r="D300">
        <f t="shared" si="43"/>
        <v>3.0868220136783375E-3</v>
      </c>
      <c r="E300">
        <f t="shared" si="44"/>
        <v>2.4365138137502722E-2</v>
      </c>
      <c r="F300" s="9">
        <f t="shared" si="45"/>
        <v>2.4365138137502722E-2</v>
      </c>
      <c r="G300">
        <f t="shared" si="47"/>
        <v>0.79263101750334397</v>
      </c>
      <c r="H300">
        <f t="shared" si="48"/>
        <v>0.10288844982588274</v>
      </c>
      <c r="I300">
        <f t="shared" si="49"/>
        <v>0.10448053267077279</v>
      </c>
      <c r="J300">
        <f t="shared" si="50"/>
        <v>0.10448053267077329</v>
      </c>
    </row>
    <row r="301" spans="1:10" x14ac:dyDescent="0.3">
      <c r="A301" s="8">
        <f t="shared" si="46"/>
        <v>5.7499999999998295</v>
      </c>
      <c r="B301">
        <f t="shared" si="51"/>
        <v>65.749999999999829</v>
      </c>
      <c r="C301">
        <f t="shared" si="42"/>
        <v>3.0949276553096011E-2</v>
      </c>
      <c r="D301">
        <f t="shared" si="43"/>
        <v>3.0949276553096012E-3</v>
      </c>
      <c r="E301">
        <f t="shared" si="44"/>
        <v>2.4405328707905009E-2</v>
      </c>
      <c r="F301" s="9">
        <f t="shared" si="45"/>
        <v>2.4405328707905009E-2</v>
      </c>
      <c r="G301">
        <f t="shared" si="47"/>
        <v>0.79179520837570549</v>
      </c>
      <c r="H301">
        <f t="shared" si="48"/>
        <v>0.10330465403955387</v>
      </c>
      <c r="I301">
        <f t="shared" si="49"/>
        <v>0.10490013758474008</v>
      </c>
      <c r="J301">
        <f t="shared" si="50"/>
        <v>0.10490013758474064</v>
      </c>
    </row>
    <row r="302" spans="1:10" x14ac:dyDescent="0.3">
      <c r="A302" s="8">
        <f t="shared" si="46"/>
        <v>5.7692307692306031</v>
      </c>
      <c r="B302">
        <f t="shared" si="51"/>
        <v>65.769230769230603</v>
      </c>
      <c r="C302">
        <f t="shared" si="42"/>
        <v>3.1030548608608956E-2</v>
      </c>
      <c r="D302">
        <f t="shared" si="43"/>
        <v>3.1030548608608956E-3</v>
      </c>
      <c r="E302">
        <f t="shared" si="44"/>
        <v>2.4445586962053348E-2</v>
      </c>
      <c r="F302" s="9">
        <f t="shared" si="45"/>
        <v>2.4445586962053348E-2</v>
      </c>
      <c r="G302">
        <f t="shared" si="47"/>
        <v>0.79095848163000393</v>
      </c>
      <c r="H302">
        <f t="shared" si="48"/>
        <v>0.10372128066278147</v>
      </c>
      <c r="I302">
        <f t="shared" si="49"/>
        <v>0.10532023770721402</v>
      </c>
      <c r="J302">
        <f t="shared" si="50"/>
        <v>0.1053202377072146</v>
      </c>
    </row>
    <row r="303" spans="1:10" x14ac:dyDescent="0.3">
      <c r="A303" s="8">
        <f t="shared" si="46"/>
        <v>5.7884615384613767</v>
      </c>
      <c r="B303">
        <f t="shared" si="51"/>
        <v>65.788461538461377</v>
      </c>
      <c r="C303">
        <f t="shared" si="42"/>
        <v>3.1112036877000003E-2</v>
      </c>
      <c r="D303">
        <f t="shared" si="43"/>
        <v>3.1112036877000006E-3</v>
      </c>
      <c r="E303">
        <f t="shared" si="44"/>
        <v>2.4485913013931951E-2</v>
      </c>
      <c r="F303" s="9">
        <f t="shared" si="45"/>
        <v>2.4485913013931951E-2</v>
      </c>
      <c r="G303">
        <f t="shared" si="47"/>
        <v>0.79012083803128208</v>
      </c>
      <c r="H303">
        <f t="shared" si="48"/>
        <v>0.10413832864742029</v>
      </c>
      <c r="I303">
        <f t="shared" si="49"/>
        <v>0.10574083332129705</v>
      </c>
      <c r="J303">
        <f t="shared" si="50"/>
        <v>0.10574083332129763</v>
      </c>
    </row>
    <row r="304" spans="1:10" x14ac:dyDescent="0.3">
      <c r="A304" s="8">
        <f t="shared" si="46"/>
        <v>5.8076923076921503</v>
      </c>
      <c r="B304">
        <f t="shared" si="51"/>
        <v>65.80769230769215</v>
      </c>
      <c r="C304">
        <f t="shared" si="42"/>
        <v>3.1193741933473115E-2</v>
      </c>
      <c r="D304">
        <f t="shared" si="43"/>
        <v>3.1193741933473115E-3</v>
      </c>
      <c r="E304">
        <f t="shared" si="44"/>
        <v>2.4526306977716923E-2</v>
      </c>
      <c r="F304" s="9">
        <f t="shared" si="45"/>
        <v>2.4526306977716923E-2</v>
      </c>
      <c r="G304">
        <f t="shared" si="47"/>
        <v>0.78928227835419507</v>
      </c>
      <c r="H304">
        <f t="shared" si="48"/>
        <v>0.10455579693667644</v>
      </c>
      <c r="I304">
        <f t="shared" si="49"/>
        <v>0.10616192470912794</v>
      </c>
      <c r="J304">
        <f t="shared" si="50"/>
        <v>0.1061619247091285</v>
      </c>
    </row>
    <row r="305" spans="1:10" x14ac:dyDescent="0.3">
      <c r="A305" s="8">
        <f t="shared" si="46"/>
        <v>5.8269230769229239</v>
      </c>
      <c r="B305">
        <f t="shared" si="51"/>
        <v>65.826923076922924</v>
      </c>
      <c r="C305">
        <f t="shared" si="42"/>
        <v>3.1275664354762499E-2</v>
      </c>
      <c r="D305">
        <f t="shared" si="43"/>
        <v>3.1275664354762501E-3</v>
      </c>
      <c r="E305">
        <f t="shared" si="44"/>
        <v>2.4566768967776719E-2</v>
      </c>
      <c r="F305" s="9">
        <f t="shared" si="45"/>
        <v>2.4566768967776719E-2</v>
      </c>
      <c r="G305">
        <f t="shared" si="47"/>
        <v>0.78844280338304307</v>
      </c>
      <c r="H305">
        <f t="shared" si="48"/>
        <v>0.10497368446507925</v>
      </c>
      <c r="I305">
        <f t="shared" si="49"/>
        <v>0.10658351215187709</v>
      </c>
      <c r="J305">
        <f t="shared" si="50"/>
        <v>0.10658351215187768</v>
      </c>
    </row>
    <row r="306" spans="1:10" x14ac:dyDescent="0.3">
      <c r="A306" s="8">
        <f t="shared" si="46"/>
        <v>5.8461538461536975</v>
      </c>
      <c r="B306">
        <f t="shared" si="51"/>
        <v>65.846153846153697</v>
      </c>
      <c r="C306">
        <f t="shared" si="42"/>
        <v>3.1357804719136698E-2</v>
      </c>
      <c r="D306">
        <f t="shared" si="43"/>
        <v>3.1357804719136699E-3</v>
      </c>
      <c r="E306">
        <f t="shared" si="44"/>
        <v>2.4607299098672337E-2</v>
      </c>
      <c r="F306" s="9">
        <f t="shared" si="45"/>
        <v>2.4607299098672337E-2</v>
      </c>
      <c r="G306">
        <f t="shared" si="47"/>
        <v>0.78760241391180441</v>
      </c>
      <c r="H306">
        <f t="shared" si="48"/>
        <v>0.10539199015845319</v>
      </c>
      <c r="I306">
        <f t="shared" si="49"/>
        <v>0.10700559592974185</v>
      </c>
      <c r="J306">
        <f t="shared" si="50"/>
        <v>0.1070055959297424</v>
      </c>
    </row>
    <row r="307" spans="1:10" x14ac:dyDescent="0.3">
      <c r="A307" s="8">
        <f t="shared" si="46"/>
        <v>5.8653846153844711</v>
      </c>
      <c r="B307">
        <f t="shared" si="51"/>
        <v>65.865384615384471</v>
      </c>
      <c r="C307">
        <f t="shared" si="42"/>
        <v>3.144016360640265E-2</v>
      </c>
      <c r="D307">
        <f t="shared" si="43"/>
        <v>3.1440163606402654E-3</v>
      </c>
      <c r="E307">
        <f t="shared" si="44"/>
        <v>2.4647897485157774E-2</v>
      </c>
      <c r="F307" s="9">
        <f t="shared" si="45"/>
        <v>2.4647897485157774E-2</v>
      </c>
      <c r="G307">
        <f t="shared" si="47"/>
        <v>0.78676111074416799</v>
      </c>
      <c r="H307">
        <f t="shared" si="48"/>
        <v>0.1058107129338897</v>
      </c>
      <c r="I307">
        <f t="shared" si="49"/>
        <v>0.10742817632194179</v>
      </c>
      <c r="J307">
        <f t="shared" si="50"/>
        <v>0.10742817632194231</v>
      </c>
    </row>
    <row r="308" spans="1:10" x14ac:dyDescent="0.3">
      <c r="A308" s="8">
        <f t="shared" si="46"/>
        <v>5.8846153846152447</v>
      </c>
      <c r="B308">
        <f t="shared" si="51"/>
        <v>65.884615384615245</v>
      </c>
      <c r="C308">
        <f t="shared" si="42"/>
        <v>3.1522741597909777E-2</v>
      </c>
      <c r="D308">
        <f t="shared" si="43"/>
        <v>3.1522741597909778E-3</v>
      </c>
      <c r="E308">
        <f t="shared" si="44"/>
        <v>2.4688564242180192E-2</v>
      </c>
      <c r="F308" s="9">
        <f t="shared" si="45"/>
        <v>2.4688564242180192E-2</v>
      </c>
      <c r="G308">
        <f t="shared" si="47"/>
        <v>0.78591889469356635</v>
      </c>
      <c r="H308">
        <f t="shared" si="48"/>
        <v>0.10622985169971914</v>
      </c>
      <c r="I308">
        <f t="shared" si="49"/>
        <v>0.10785125360671405</v>
      </c>
      <c r="J308">
        <f t="shared" si="50"/>
        <v>0.10785125360671451</v>
      </c>
    </row>
    <row r="309" spans="1:10" x14ac:dyDescent="0.3">
      <c r="A309" s="8">
        <f t="shared" si="46"/>
        <v>5.9038461538460183</v>
      </c>
      <c r="B309">
        <f t="shared" si="51"/>
        <v>65.903846153846018</v>
      </c>
      <c r="C309">
        <f t="shared" si="42"/>
        <v>3.1605539276554122E-2</v>
      </c>
      <c r="D309">
        <f t="shared" si="43"/>
        <v>3.1605539276554125E-3</v>
      </c>
      <c r="E309">
        <f t="shared" si="44"/>
        <v>2.4729299484880417E-2</v>
      </c>
      <c r="F309" s="9">
        <f t="shared" si="45"/>
        <v>2.4729299484880417E-2</v>
      </c>
      <c r="G309">
        <f t="shared" si="47"/>
        <v>0.78507576658320843</v>
      </c>
      <c r="H309">
        <f t="shared" si="48"/>
        <v>0.10664940535548266</v>
      </c>
      <c r="I309">
        <f t="shared" si="49"/>
        <v>0.10827482806130849</v>
      </c>
      <c r="J309">
        <f t="shared" si="50"/>
        <v>0.10827482806130891</v>
      </c>
    </row>
    <row r="310" spans="1:10" x14ac:dyDescent="0.3">
      <c r="A310" s="8">
        <f t="shared" si="46"/>
        <v>5.9230769230767919</v>
      </c>
      <c r="B310">
        <f t="shared" si="51"/>
        <v>65.923076923076792</v>
      </c>
      <c r="C310">
        <f t="shared" si="42"/>
        <v>3.1688557226782432E-2</v>
      </c>
      <c r="D310">
        <f t="shared" si="43"/>
        <v>3.1688557226782436E-3</v>
      </c>
      <c r="E310">
        <f t="shared" si="44"/>
        <v>2.4770103328593158E-2</v>
      </c>
      <c r="F310" s="9">
        <f t="shared" si="45"/>
        <v>2.4770103328593158E-2</v>
      </c>
      <c r="G310">
        <f t="shared" si="47"/>
        <v>0.78423172724611234</v>
      </c>
      <c r="H310">
        <f t="shared" si="48"/>
        <v>0.10706937279190416</v>
      </c>
      <c r="I310">
        <f t="shared" si="49"/>
        <v>0.10869889996198308</v>
      </c>
      <c r="J310">
        <f t="shared" si="50"/>
        <v>0.10869889996198349</v>
      </c>
    </row>
    <row r="311" spans="1:10" x14ac:dyDescent="0.3">
      <c r="A311" s="8">
        <f t="shared" si="46"/>
        <v>5.9423076923075655</v>
      </c>
      <c r="B311">
        <f t="shared" si="51"/>
        <v>65.942307692307566</v>
      </c>
      <c r="C311">
        <f t="shared" si="42"/>
        <v>3.1771796034596275E-2</v>
      </c>
      <c r="D311">
        <f t="shared" si="43"/>
        <v>3.1771796034596278E-3</v>
      </c>
      <c r="E311">
        <f t="shared" si="44"/>
        <v>2.48109758888473E-2</v>
      </c>
      <c r="F311" s="9">
        <f t="shared" si="45"/>
        <v>2.48109758888473E-2</v>
      </c>
      <c r="G311">
        <f t="shared" si="47"/>
        <v>0.7833867775251383</v>
      </c>
      <c r="H311">
        <f t="shared" si="48"/>
        <v>0.10748975289086221</v>
      </c>
      <c r="I311">
        <f t="shared" si="49"/>
        <v>0.10912346958399904</v>
      </c>
      <c r="J311">
        <f t="shared" si="50"/>
        <v>0.10912346958399949</v>
      </c>
    </row>
    <row r="312" spans="1:10" x14ac:dyDescent="0.3">
      <c r="A312" s="8">
        <f t="shared" si="46"/>
        <v>5.9615384615383391</v>
      </c>
      <c r="B312">
        <f t="shared" si="51"/>
        <v>65.961538461538339</v>
      </c>
      <c r="C312">
        <f t="shared" si="42"/>
        <v>3.185525628755622E-2</v>
      </c>
      <c r="D312">
        <f t="shared" si="43"/>
        <v>3.185525628755622E-3</v>
      </c>
      <c r="E312">
        <f t="shared" si="44"/>
        <v>2.4851917281366379E-2</v>
      </c>
      <c r="F312" s="9">
        <f t="shared" si="45"/>
        <v>2.4851917281366379E-2</v>
      </c>
      <c r="G312">
        <f t="shared" si="47"/>
        <v>0.78254091827302141</v>
      </c>
      <c r="H312">
        <f t="shared" si="48"/>
        <v>0.107910544525362</v>
      </c>
      <c r="I312">
        <f t="shared" si="49"/>
        <v>0.10954853720161618</v>
      </c>
      <c r="J312">
        <f t="shared" si="50"/>
        <v>0.10954853720161659</v>
      </c>
    </row>
    <row r="313" spans="1:10" x14ac:dyDescent="0.3">
      <c r="A313" s="8">
        <f t="shared" si="46"/>
        <v>5.9807692307691127</v>
      </c>
      <c r="B313">
        <f t="shared" si="51"/>
        <v>65.980769230769113</v>
      </c>
      <c r="C313">
        <f t="shared" si="42"/>
        <v>3.1938938574785941E-2</v>
      </c>
      <c r="D313">
        <f t="shared" si="43"/>
        <v>3.1938938574785944E-3</v>
      </c>
      <c r="E313">
        <f t="shared" si="44"/>
        <v>2.4892927622068722E-2</v>
      </c>
      <c r="F313" s="9">
        <f t="shared" si="45"/>
        <v>2.4892927622068722E-2</v>
      </c>
      <c r="G313">
        <f t="shared" si="47"/>
        <v>0.78169415035240419</v>
      </c>
      <c r="H313">
        <f t="shared" si="48"/>
        <v>0.10833174655950732</v>
      </c>
      <c r="I313">
        <f t="shared" si="49"/>
        <v>0.10997410308808805</v>
      </c>
      <c r="J313">
        <f t="shared" si="50"/>
        <v>0.10997410308808848</v>
      </c>
    </row>
    <row r="314" spans="1:10" x14ac:dyDescent="0.3">
      <c r="A314" s="8">
        <f t="shared" si="46"/>
        <v>5.9999999999998863</v>
      </c>
      <c r="B314">
        <f t="shared" si="51"/>
        <v>65.999999999999886</v>
      </c>
      <c r="C314">
        <f t="shared" si="42"/>
        <v>3.2022843486976399E-2</v>
      </c>
      <c r="D314">
        <f t="shared" si="43"/>
        <v>3.2022843486976399E-3</v>
      </c>
      <c r="E314">
        <f t="shared" si="44"/>
        <v>2.4934007027067953E-2</v>
      </c>
      <c r="F314" s="9">
        <f t="shared" si="45"/>
        <v>2.4934007027067953E-2</v>
      </c>
      <c r="G314">
        <f t="shared" si="47"/>
        <v>0.78084647463586987</v>
      </c>
      <c r="H314">
        <f t="shared" si="48"/>
        <v>0.10875335784847252</v>
      </c>
      <c r="I314">
        <f t="shared" si="49"/>
        <v>0.11040016751565719</v>
      </c>
      <c r="J314">
        <f t="shared" si="50"/>
        <v>0.11040016751565761</v>
      </c>
    </row>
    <row r="315" spans="1:10" x14ac:dyDescent="0.3">
      <c r="A315" s="8">
        <f t="shared" si="46"/>
        <v>6.0192307692306599</v>
      </c>
      <c r="B315">
        <f t="shared" si="51"/>
        <v>66.01923076923066</v>
      </c>
      <c r="C315">
        <f t="shared" si="42"/>
        <v>3.210697161639E-2</v>
      </c>
      <c r="D315">
        <f t="shared" si="43"/>
        <v>3.2106971616390001E-3</v>
      </c>
      <c r="E315">
        <f t="shared" si="44"/>
        <v>2.4975155612673168E-2</v>
      </c>
      <c r="F315" s="9">
        <f t="shared" si="45"/>
        <v>2.4975155612673168E-2</v>
      </c>
      <c r="G315">
        <f t="shared" si="47"/>
        <v>0.77999789200597469</v>
      </c>
      <c r="H315">
        <f t="shared" si="48"/>
        <v>0.10917537723847452</v>
      </c>
      <c r="I315">
        <f t="shared" si="49"/>
        <v>0.11082673075555033</v>
      </c>
      <c r="J315">
        <f t="shared" si="50"/>
        <v>0.11082673075555079</v>
      </c>
    </row>
    <row r="316" spans="1:10" x14ac:dyDescent="0.3">
      <c r="A316" s="8">
        <f t="shared" si="46"/>
        <v>6.0384615384614335</v>
      </c>
      <c r="B316">
        <f t="shared" si="51"/>
        <v>66.038461538461434</v>
      </c>
      <c r="C316">
        <f t="shared" si="42"/>
        <v>3.2191323556864791E-2</v>
      </c>
      <c r="D316">
        <f t="shared" si="43"/>
        <v>3.2191323556864794E-3</v>
      </c>
      <c r="E316">
        <f t="shared" si="44"/>
        <v>2.5016373495389412E-2</v>
      </c>
      <c r="F316" s="9">
        <f t="shared" si="45"/>
        <v>2.5016373495389412E-2</v>
      </c>
      <c r="G316">
        <f t="shared" si="47"/>
        <v>0.77914840335528113</v>
      </c>
      <c r="H316">
        <f t="shared" si="48"/>
        <v>0.10959780356674484</v>
      </c>
      <c r="I316">
        <f t="shared" si="49"/>
        <v>0.11125379307797359</v>
      </c>
      <c r="J316">
        <f t="shared" si="50"/>
        <v>0.11125379307797403</v>
      </c>
    </row>
    <row r="317" spans="1:10" x14ac:dyDescent="0.3">
      <c r="A317" s="8">
        <f t="shared" si="46"/>
        <v>6.0576923076922071</v>
      </c>
      <c r="B317">
        <f t="shared" si="51"/>
        <v>66.057692307692207</v>
      </c>
      <c r="C317">
        <f t="shared" si="42"/>
        <v>3.2275899903818642E-2</v>
      </c>
      <c r="D317">
        <f t="shared" si="43"/>
        <v>3.2275899903818645E-3</v>
      </c>
      <c r="E317">
        <f t="shared" si="44"/>
        <v>2.5057660791917846E-2</v>
      </c>
      <c r="F317" s="9">
        <f t="shared" si="45"/>
        <v>2.5057660791917846E-2</v>
      </c>
      <c r="G317">
        <f t="shared" si="47"/>
        <v>0.77829800958639028</v>
      </c>
      <c r="H317">
        <f t="shared" si="48"/>
        <v>0.11002063566150158</v>
      </c>
      <c r="I317">
        <f t="shared" si="49"/>
        <v>0.11168135475210766</v>
      </c>
      <c r="J317">
        <f t="shared" si="50"/>
        <v>0.11168135475210814</v>
      </c>
    </row>
    <row r="318" spans="1:10" x14ac:dyDescent="0.3">
      <c r="A318" s="8">
        <f t="shared" si="46"/>
        <v>6.0769230769229807</v>
      </c>
      <c r="B318">
        <f t="shared" si="51"/>
        <v>66.076923076922981</v>
      </c>
      <c r="C318">
        <f t="shared" si="42"/>
        <v>3.2360701254253436E-2</v>
      </c>
      <c r="D318">
        <f t="shared" si="43"/>
        <v>3.2360701254253439E-3</v>
      </c>
      <c r="E318">
        <f t="shared" si="44"/>
        <v>2.5099017619156234E-2</v>
      </c>
      <c r="F318" s="9">
        <f t="shared" si="45"/>
        <v>2.5099017619156234E-2</v>
      </c>
      <c r="G318">
        <f t="shared" si="47"/>
        <v>0.77744671161197498</v>
      </c>
      <c r="H318">
        <f t="shared" si="48"/>
        <v>0.11044387234192155</v>
      </c>
      <c r="I318">
        <f t="shared" si="49"/>
        <v>0.112109416046103</v>
      </c>
      <c r="J318">
        <f t="shared" si="50"/>
        <v>0.11210941604610347</v>
      </c>
    </row>
    <row r="319" spans="1:10" x14ac:dyDescent="0.3">
      <c r="A319" s="8">
        <f t="shared" si="46"/>
        <v>6.0961538461537543</v>
      </c>
      <c r="B319">
        <f t="shared" si="51"/>
        <v>66.096153846153754</v>
      </c>
      <c r="C319">
        <f t="shared" si="42"/>
        <v>3.2445728206759297E-2</v>
      </c>
      <c r="D319">
        <f t="shared" si="43"/>
        <v>3.2445728206759298E-3</v>
      </c>
      <c r="E319">
        <f t="shared" si="44"/>
        <v>2.5140444094199209E-2</v>
      </c>
      <c r="F319" s="9">
        <f t="shared" si="45"/>
        <v>2.5140444094199209E-2</v>
      </c>
      <c r="G319">
        <f t="shared" si="47"/>
        <v>0.77659451035481231</v>
      </c>
      <c r="H319">
        <f t="shared" si="48"/>
        <v>0.11086751241811225</v>
      </c>
      <c r="I319">
        <f t="shared" si="49"/>
        <v>0.11253797722707495</v>
      </c>
      <c r="J319">
        <f t="shared" si="50"/>
        <v>0.11253797722707544</v>
      </c>
    </row>
    <row r="320" spans="1:10" x14ac:dyDescent="0.3">
      <c r="A320" s="8">
        <f t="shared" si="46"/>
        <v>6.1153846153845279</v>
      </c>
      <c r="B320">
        <f t="shared" si="51"/>
        <v>66.115384615384528</v>
      </c>
      <c r="C320">
        <f t="shared" si="42"/>
        <v>3.2530981361518822E-2</v>
      </c>
      <c r="D320">
        <f t="shared" si="43"/>
        <v>3.2530981361518826E-3</v>
      </c>
      <c r="E320">
        <f t="shared" si="44"/>
        <v>2.5181940334338512E-2</v>
      </c>
      <c r="F320" s="9">
        <f t="shared" si="45"/>
        <v>2.5181940334338512E-2</v>
      </c>
      <c r="G320">
        <f t="shared" si="47"/>
        <v>0.77574140674781644</v>
      </c>
      <c r="H320">
        <f t="shared" si="48"/>
        <v>0.11129155469108409</v>
      </c>
      <c r="I320">
        <f t="shared" si="49"/>
        <v>0.11296703856109895</v>
      </c>
      <c r="J320">
        <f t="shared" si="50"/>
        <v>0.11296703856109946</v>
      </c>
    </row>
    <row r="321" spans="1:10" x14ac:dyDescent="0.3">
      <c r="A321" s="8">
        <f t="shared" si="46"/>
        <v>6.1346153846153015</v>
      </c>
      <c r="B321">
        <f t="shared" si="51"/>
        <v>66.134615384615302</v>
      </c>
      <c r="C321">
        <f t="shared" si="42"/>
        <v>3.2616461320311305E-2</v>
      </c>
      <c r="D321">
        <f t="shared" si="43"/>
        <v>3.2616461320311308E-3</v>
      </c>
      <c r="E321">
        <f t="shared" si="44"/>
        <v>2.5223506457063522E-2</v>
      </c>
      <c r="F321" s="9">
        <f t="shared" si="45"/>
        <v>2.5223506457063522E-2</v>
      </c>
      <c r="G321">
        <f t="shared" si="47"/>
        <v>0.77488740173407156</v>
      </c>
      <c r="H321">
        <f t="shared" si="48"/>
        <v>0.11171599795272236</v>
      </c>
      <c r="I321">
        <f t="shared" si="49"/>
        <v>0.1133966003132056</v>
      </c>
      <c r="J321">
        <f t="shared" si="50"/>
        <v>0.11339660031320609</v>
      </c>
    </row>
    <row r="322" spans="1:10" x14ac:dyDescent="0.3">
      <c r="A322" s="8">
        <f t="shared" si="46"/>
        <v>6.1538461538460751</v>
      </c>
      <c r="B322">
        <f t="shared" si="51"/>
        <v>66.153846153846075</v>
      </c>
      <c r="C322">
        <f t="shared" si="42"/>
        <v>3.2702168686517E-2</v>
      </c>
      <c r="D322">
        <f t="shared" si="43"/>
        <v>3.2702168686517003E-3</v>
      </c>
      <c r="E322">
        <f t="shared" si="44"/>
        <v>2.5265142580061382E-2</v>
      </c>
      <c r="F322" s="9">
        <f t="shared" si="45"/>
        <v>2.5265142580061382E-2</v>
      </c>
      <c r="G322">
        <f t="shared" si="47"/>
        <v>0.77403249626686421</v>
      </c>
      <c r="H322">
        <f t="shared" si="48"/>
        <v>0.11214084098575947</v>
      </c>
      <c r="I322">
        <f t="shared" si="49"/>
        <v>0.11382666274737588</v>
      </c>
      <c r="J322">
        <f t="shared" si="50"/>
        <v>0.11382666274737632</v>
      </c>
    </row>
    <row r="323" spans="1:10" x14ac:dyDescent="0.3">
      <c r="A323" s="8">
        <f t="shared" si="46"/>
        <v>6.1730769230768487</v>
      </c>
      <c r="B323">
        <f t="shared" si="51"/>
        <v>66.173076923076849</v>
      </c>
      <c r="C323">
        <f t="shared" ref="C323:C386" si="52">$L$1 +$L$3 * EXP($L$5*B323)</f>
        <v>3.2788104065121344E-2</v>
      </c>
      <c r="D323">
        <f t="shared" ref="D323:D386" si="53">0.1 *C323</f>
        <v>3.2788104065121348E-3</v>
      </c>
      <c r="E323">
        <f t="shared" ref="E323:E386" si="54">$L$2 + $L$4 * EXP($L$6 *B323)</f>
        <v>2.5306848821217514E-2</v>
      </c>
      <c r="F323" s="9">
        <f t="shared" ref="F323:F386" si="55">E323</f>
        <v>2.5306848821217514E-2</v>
      </c>
      <c r="G323">
        <f t="shared" si="47"/>
        <v>0.77317669130971634</v>
      </c>
      <c r="H323">
        <f t="shared" si="48"/>
        <v>0.11256608256374706</v>
      </c>
      <c r="I323">
        <f t="shared" si="49"/>
        <v>0.11425722612653619</v>
      </c>
      <c r="J323">
        <f t="shared" si="50"/>
        <v>0.1142572261265366</v>
      </c>
    </row>
    <row r="324" spans="1:10" x14ac:dyDescent="0.3">
      <c r="A324" s="8">
        <f t="shared" ref="A324:A387" si="56">B324-60</f>
        <v>6.1923076923076223</v>
      </c>
      <c r="B324">
        <f t="shared" si="51"/>
        <v>66.192307692307622</v>
      </c>
      <c r="C324">
        <f t="shared" si="52"/>
        <v>3.2874268062719286E-2</v>
      </c>
      <c r="D324">
        <f t="shared" si="53"/>
        <v>3.287426806271929E-3</v>
      </c>
      <c r="E324">
        <f t="shared" si="54"/>
        <v>2.5348625298615785E-2</v>
      </c>
      <c r="F324" s="9">
        <f t="shared" si="55"/>
        <v>2.5348625298615785E-2</v>
      </c>
      <c r="G324">
        <f t="shared" ref="G324:G387" si="57">$L$7*(G323*(-C323-E323)+H323*D323)+G323</f>
        <v>0.77231998783641786</v>
      </c>
      <c r="H324">
        <f t="shared" ref="H324:H387" si="58">$L$7*(G323*C323+H323*(-D323-F323))+H323</f>
        <v>0.11299172145102825</v>
      </c>
      <c r="I324">
        <f t="shared" ref="I324:I387" si="59">$L$7*(G323*E323+H323*F323)+I323</f>
        <v>0.11468829071255353</v>
      </c>
      <c r="J324">
        <f t="shared" ref="J324:J387" si="60">1-G324-H324</f>
        <v>0.11468829071255389</v>
      </c>
    </row>
    <row r="325" spans="1:10" x14ac:dyDescent="0.3">
      <c r="A325" s="8">
        <f t="shared" si="56"/>
        <v>6.2115384615383959</v>
      </c>
      <c r="B325">
        <f t="shared" si="51"/>
        <v>66.211538461538396</v>
      </c>
      <c r="C325">
        <f t="shared" si="52"/>
        <v>3.296066128751951E-2</v>
      </c>
      <c r="D325">
        <f t="shared" si="53"/>
        <v>3.2960661287519512E-3</v>
      </c>
      <c r="E325">
        <f t="shared" si="54"/>
        <v>2.5390472130538983E-2</v>
      </c>
      <c r="F325" s="9">
        <f t="shared" si="55"/>
        <v>2.5390472130538983E-2</v>
      </c>
      <c r="G325">
        <f t="shared" si="57"/>
        <v>0.77146238683105939</v>
      </c>
      <c r="H325">
        <f t="shared" si="58"/>
        <v>0.11341775640270975</v>
      </c>
      <c r="I325">
        <f t="shared" si="59"/>
        <v>0.11511985676623054</v>
      </c>
      <c r="J325">
        <f t="shared" si="60"/>
        <v>0.11511985676623086</v>
      </c>
    </row>
    <row r="326" spans="1:10" x14ac:dyDescent="0.3">
      <c r="A326" s="8">
        <f t="shared" si="56"/>
        <v>6.2307692307691696</v>
      </c>
      <c r="B326">
        <f t="shared" si="51"/>
        <v>66.23076923076917</v>
      </c>
      <c r="C326">
        <f t="shared" si="52"/>
        <v>3.3047284349348761E-2</v>
      </c>
      <c r="D326">
        <f t="shared" si="53"/>
        <v>3.3047284349348761E-3</v>
      </c>
      <c r="E326">
        <f t="shared" si="54"/>
        <v>2.5432389435469098E-2</v>
      </c>
      <c r="F326" s="9">
        <f t="shared" si="55"/>
        <v>2.5432389435469098E-2</v>
      </c>
      <c r="G326">
        <f t="shared" si="57"/>
        <v>0.77060388928806489</v>
      </c>
      <c r="H326">
        <f t="shared" si="58"/>
        <v>0.11384418616463418</v>
      </c>
      <c r="I326">
        <f t="shared" si="59"/>
        <v>0.11555192454730062</v>
      </c>
      <c r="J326">
        <f t="shared" si="60"/>
        <v>0.11555192454730093</v>
      </c>
    </row>
    <row r="327" spans="1:10" x14ac:dyDescent="0.3">
      <c r="A327" s="8">
        <f t="shared" si="56"/>
        <v>6.2499999999999432</v>
      </c>
      <c r="B327">
        <f t="shared" si="51"/>
        <v>66.249999999999943</v>
      </c>
      <c r="C327">
        <f t="shared" si="52"/>
        <v>3.3134137859656139E-2</v>
      </c>
      <c r="D327">
        <f t="shared" si="53"/>
        <v>3.3134137859656141E-3</v>
      </c>
      <c r="E327">
        <f t="shared" si="54"/>
        <v>2.547437733208759E-2</v>
      </c>
      <c r="F327" s="9">
        <f t="shared" si="55"/>
        <v>2.547437733208759E-2</v>
      </c>
      <c r="G327">
        <f t="shared" si="57"/>
        <v>0.7697444962122244</v>
      </c>
      <c r="H327">
        <f t="shared" si="58"/>
        <v>0.11427100947335232</v>
      </c>
      <c r="I327">
        <f t="shared" si="59"/>
        <v>0.11598449431442301</v>
      </c>
      <c r="J327">
        <f t="shared" si="60"/>
        <v>0.11598449431442327</v>
      </c>
    </row>
    <row r="328" spans="1:10" x14ac:dyDescent="0.3">
      <c r="A328" s="8">
        <f t="shared" si="56"/>
        <v>6.2692307692307168</v>
      </c>
      <c r="B328">
        <f t="shared" si="51"/>
        <v>66.269230769230717</v>
      </c>
      <c r="C328">
        <f t="shared" si="52"/>
        <v>3.3221222431517428E-2</v>
      </c>
      <c r="D328">
        <f t="shared" si="53"/>
        <v>3.3221222431517429E-3</v>
      </c>
      <c r="E328">
        <f t="shared" si="54"/>
        <v>2.5516435939275859E-2</v>
      </c>
      <c r="F328" s="9">
        <f t="shared" si="55"/>
        <v>2.5516435939275859E-2</v>
      </c>
      <c r="G328">
        <f t="shared" si="57"/>
        <v>0.76888420861872653</v>
      </c>
      <c r="H328">
        <f t="shared" si="58"/>
        <v>0.11469822505609539</v>
      </c>
      <c r="I328">
        <f t="shared" si="59"/>
        <v>0.11641756632517783</v>
      </c>
      <c r="J328">
        <f t="shared" si="60"/>
        <v>0.11641756632517808</v>
      </c>
    </row>
    <row r="329" spans="1:10" x14ac:dyDescent="0.3">
      <c r="A329" s="8">
        <f t="shared" si="56"/>
        <v>6.2884615384614904</v>
      </c>
      <c r="B329">
        <f t="shared" si="51"/>
        <v>66.28846153846149</v>
      </c>
      <c r="C329">
        <f t="shared" si="52"/>
        <v>3.3308538679639406E-2</v>
      </c>
      <c r="D329">
        <f t="shared" si="53"/>
        <v>3.3308538679639407E-3</v>
      </c>
      <c r="E329">
        <f t="shared" si="54"/>
        <v>2.5558565376115436E-2</v>
      </c>
      <c r="F329" s="9">
        <f t="shared" si="55"/>
        <v>2.5558565376115436E-2</v>
      </c>
      <c r="G329">
        <f t="shared" si="57"/>
        <v>0.76802302753319118</v>
      </c>
      <c r="H329">
        <f t="shared" si="58"/>
        <v>0.11512583163074737</v>
      </c>
      <c r="I329">
        <f t="shared" si="59"/>
        <v>0.11685114083606116</v>
      </c>
      <c r="J329">
        <f t="shared" si="60"/>
        <v>0.11685114083606145</v>
      </c>
    </row>
    <row r="330" spans="1:10" x14ac:dyDescent="0.3">
      <c r="A330" s="8">
        <f t="shared" si="56"/>
        <v>6.307692307692264</v>
      </c>
      <c r="B330">
        <f t="shared" si="51"/>
        <v>66.307692307692264</v>
      </c>
      <c r="C330">
        <f t="shared" si="52"/>
        <v>3.3396087220364204E-2</v>
      </c>
      <c r="D330">
        <f t="shared" si="53"/>
        <v>3.3396087220364207E-3</v>
      </c>
      <c r="E330">
        <f t="shared" si="54"/>
        <v>2.5600765761888477E-2</v>
      </c>
      <c r="F330" s="9">
        <f t="shared" si="55"/>
        <v>2.5600765761888477E-2</v>
      </c>
      <c r="G330">
        <f t="shared" si="57"/>
        <v>0.76716095399170225</v>
      </c>
      <c r="H330">
        <f t="shared" si="58"/>
        <v>0.11555382790581735</v>
      </c>
      <c r="I330">
        <f t="shared" si="59"/>
        <v>0.11728521810248006</v>
      </c>
      <c r="J330">
        <f t="shared" si="60"/>
        <v>0.1172852181024804</v>
      </c>
    </row>
    <row r="331" spans="1:10" x14ac:dyDescent="0.3">
      <c r="A331" s="8">
        <f t="shared" si="56"/>
        <v>6.3269230769230376</v>
      </c>
      <c r="B331">
        <f t="shared" si="51"/>
        <v>66.326923076923038</v>
      </c>
      <c r="C331">
        <f t="shared" si="52"/>
        <v>3.3483868671673626E-2</v>
      </c>
      <c r="D331">
        <f t="shared" si="53"/>
        <v>3.3483868671673627E-3</v>
      </c>
      <c r="E331">
        <f t="shared" si="54"/>
        <v>2.5643037216077934E-2</v>
      </c>
      <c r="F331" s="9">
        <f t="shared" si="55"/>
        <v>2.5643037216077934E-2</v>
      </c>
      <c r="G331">
        <f t="shared" si="57"/>
        <v>0.76629798904084001</v>
      </c>
      <c r="H331">
        <f t="shared" si="58"/>
        <v>0.11598221258041196</v>
      </c>
      <c r="I331">
        <f t="shared" si="59"/>
        <v>0.11771979837874766</v>
      </c>
      <c r="J331">
        <f t="shared" si="60"/>
        <v>0.11771979837874803</v>
      </c>
    </row>
    <row r="332" spans="1:10" x14ac:dyDescent="0.3">
      <c r="A332" s="8">
        <f t="shared" si="56"/>
        <v>6.3461538461538112</v>
      </c>
      <c r="B332">
        <f t="shared" si="51"/>
        <v>66.346153846153811</v>
      </c>
      <c r="C332">
        <f t="shared" si="52"/>
        <v>3.3571883653193538E-2</v>
      </c>
      <c r="D332">
        <f t="shared" si="53"/>
        <v>3.3571883653193539E-3</v>
      </c>
      <c r="E332">
        <f t="shared" si="54"/>
        <v>2.5685379858368031E-2</v>
      </c>
      <c r="F332" s="9">
        <f t="shared" si="55"/>
        <v>2.5685379858368031E-2</v>
      </c>
      <c r="G332">
        <f t="shared" si="57"/>
        <v>0.76543413373771385</v>
      </c>
      <c r="H332">
        <f t="shared" si="58"/>
        <v>0.11641098434420771</v>
      </c>
      <c r="I332">
        <f t="shared" si="59"/>
        <v>0.11815488191807809</v>
      </c>
      <c r="J332">
        <f t="shared" si="60"/>
        <v>0.11815488191807844</v>
      </c>
    </row>
    <row r="333" spans="1:10" x14ac:dyDescent="0.3">
      <c r="A333" s="8">
        <f t="shared" si="56"/>
        <v>6.3653846153845848</v>
      </c>
      <c r="B333">
        <f t="shared" si="51"/>
        <v>66.365384615384585</v>
      </c>
      <c r="C333">
        <f t="shared" si="52"/>
        <v>3.3660132786198234E-2</v>
      </c>
      <c r="D333">
        <f t="shared" si="53"/>
        <v>3.3660132786198236E-3</v>
      </c>
      <c r="E333">
        <f t="shared" si="54"/>
        <v>2.5727793808644563E-2</v>
      </c>
      <c r="F333" s="9">
        <f t="shared" si="55"/>
        <v>2.5727793808644563E-2</v>
      </c>
      <c r="G333">
        <f t="shared" si="57"/>
        <v>0.7645693891499945</v>
      </c>
      <c r="H333">
        <f t="shared" si="58"/>
        <v>0.11684014187742353</v>
      </c>
      <c r="I333">
        <f t="shared" si="59"/>
        <v>0.11859046897258158</v>
      </c>
      <c r="J333">
        <f t="shared" si="60"/>
        <v>0.11859046897258196</v>
      </c>
    </row>
    <row r="334" spans="1:10" x14ac:dyDescent="0.3">
      <c r="A334" s="8">
        <f t="shared" si="56"/>
        <v>6.3846153846153584</v>
      </c>
      <c r="B334">
        <f t="shared" si="51"/>
        <v>66.384615384615358</v>
      </c>
      <c r="C334">
        <f t="shared" si="52"/>
        <v>3.374861669361482E-2</v>
      </c>
      <c r="D334">
        <f t="shared" si="53"/>
        <v>3.3748616693614823E-3</v>
      </c>
      <c r="E334">
        <f t="shared" si="54"/>
        <v>2.5770279186995142E-2</v>
      </c>
      <c r="F334" s="9">
        <f t="shared" si="55"/>
        <v>2.5770279186995142E-2</v>
      </c>
      <c r="G334">
        <f t="shared" si="57"/>
        <v>0.76370375635594701</v>
      </c>
      <c r="H334">
        <f t="shared" si="58"/>
        <v>0.11726968385079316</v>
      </c>
      <c r="I334">
        <f t="shared" si="59"/>
        <v>0.11902655979325941</v>
      </c>
      <c r="J334">
        <f t="shared" si="60"/>
        <v>0.11902655979325984</v>
      </c>
    </row>
    <row r="335" spans="1:10" x14ac:dyDescent="0.3">
      <c r="A335" s="8">
        <f t="shared" si="56"/>
        <v>6.403846153846132</v>
      </c>
      <c r="B335">
        <f t="shared" si="51"/>
        <v>66.403846153846132</v>
      </c>
      <c r="C335">
        <f t="shared" si="52"/>
        <v>3.3837336000027571E-2</v>
      </c>
      <c r="D335">
        <f t="shared" si="53"/>
        <v>3.3837336000027574E-3</v>
      </c>
      <c r="E335">
        <f t="shared" si="54"/>
        <v>2.5812836113709717E-2</v>
      </c>
      <c r="F335" s="9">
        <f t="shared" si="55"/>
        <v>2.5812836113709717E-2</v>
      </c>
      <c r="G335">
        <f t="shared" si="57"/>
        <v>0.76283723644446289</v>
      </c>
      <c r="H335">
        <f t="shared" si="58"/>
        <v>0.11769960892553775</v>
      </c>
      <c r="I335">
        <f t="shared" si="59"/>
        <v>0.11946315462999893</v>
      </c>
      <c r="J335">
        <f t="shared" si="60"/>
        <v>0.11946315462999936</v>
      </c>
    </row>
    <row r="336" spans="1:10" x14ac:dyDescent="0.3">
      <c r="A336" s="8">
        <f t="shared" si="56"/>
        <v>6.4230769230769056</v>
      </c>
      <c r="B336">
        <f t="shared" si="51"/>
        <v>66.423076923076906</v>
      </c>
      <c r="C336">
        <f t="shared" si="52"/>
        <v>3.3926291331682519E-2</v>
      </c>
      <c r="D336">
        <f t="shared" si="53"/>
        <v>3.3926291331682519E-3</v>
      </c>
      <c r="E336">
        <f t="shared" si="54"/>
        <v>2.5855464709280709E-2</v>
      </c>
      <c r="F336" s="9">
        <f t="shared" si="55"/>
        <v>2.5855464709280709E-2</v>
      </c>
      <c r="G336">
        <f t="shared" si="57"/>
        <v>0.76196983051509271</v>
      </c>
      <c r="H336">
        <f t="shared" si="58"/>
        <v>0.11812991575333838</v>
      </c>
      <c r="I336">
        <f t="shared" si="59"/>
        <v>0.11990025373156853</v>
      </c>
      <c r="J336">
        <f t="shared" si="60"/>
        <v>0.11990025373156891</v>
      </c>
    </row>
    <row r="337" spans="1:10" x14ac:dyDescent="0.3">
      <c r="A337" s="8">
        <f t="shared" si="56"/>
        <v>6.4423076923076792</v>
      </c>
      <c r="B337">
        <f t="shared" si="51"/>
        <v>66.442307692307679</v>
      </c>
      <c r="C337">
        <f t="shared" si="52"/>
        <v>3.4015483316491589E-2</v>
      </c>
      <c r="D337">
        <f t="shared" si="53"/>
        <v>3.401548331649159E-3</v>
      </c>
      <c r="E337">
        <f t="shared" si="54"/>
        <v>2.5898165094403569E-2</v>
      </c>
      <c r="F337" s="9">
        <f t="shared" si="55"/>
        <v>2.5898165094403569E-2</v>
      </c>
      <c r="G337">
        <f t="shared" si="57"/>
        <v>0.76110153967807836</v>
      </c>
      <c r="H337">
        <f t="shared" si="58"/>
        <v>0.11856060297630865</v>
      </c>
      <c r="I337">
        <f t="shared" si="59"/>
        <v>0.12033785734561257</v>
      </c>
      <c r="J337">
        <f t="shared" si="60"/>
        <v>0.12033785734561299</v>
      </c>
    </row>
    <row r="338" spans="1:10" x14ac:dyDescent="0.3">
      <c r="A338" s="8">
        <f t="shared" si="56"/>
        <v>6.4615384615384528</v>
      </c>
      <c r="B338">
        <f t="shared" si="51"/>
        <v>66.461538461538453</v>
      </c>
      <c r="C338">
        <f t="shared" si="52"/>
        <v>3.4104912584037222E-2</v>
      </c>
      <c r="D338">
        <f t="shared" si="53"/>
        <v>3.4104912584037223E-3</v>
      </c>
      <c r="E338">
        <f t="shared" si="54"/>
        <v>2.5940937389976892E-2</v>
      </c>
      <c r="F338" s="9">
        <f t="shared" si="55"/>
        <v>2.5940937389976892E-2</v>
      </c>
      <c r="G338">
        <f t="shared" si="57"/>
        <v>0.76023236505438585</v>
      </c>
      <c r="H338">
        <f t="shared" si="58"/>
        <v>0.1189916692269673</v>
      </c>
      <c r="I338">
        <f t="shared" si="59"/>
        <v>0.12077596571864642</v>
      </c>
      <c r="J338">
        <f t="shared" si="60"/>
        <v>0.12077596571864685</v>
      </c>
    </row>
    <row r="339" spans="1:10" x14ac:dyDescent="0.3">
      <c r="A339" s="8">
        <f t="shared" si="56"/>
        <v>6.4807692307692264</v>
      </c>
      <c r="B339">
        <f t="shared" si="51"/>
        <v>66.480769230769226</v>
      </c>
      <c r="C339">
        <f t="shared" si="52"/>
        <v>3.4194579765576799E-2</v>
      </c>
      <c r="D339">
        <f t="shared" si="53"/>
        <v>3.4194579765576801E-3</v>
      </c>
      <c r="E339">
        <f t="shared" si="54"/>
        <v>2.5983781717102961E-2</v>
      </c>
      <c r="F339" s="9">
        <f t="shared" si="55"/>
        <v>2.5983781717102961E-2</v>
      </c>
      <c r="G339">
        <f t="shared" si="57"/>
        <v>0.75936230777573732</v>
      </c>
      <c r="H339">
        <f t="shared" si="58"/>
        <v>0.11942311312821093</v>
      </c>
      <c r="I339">
        <f t="shared" si="59"/>
        <v>0.12121457909605134</v>
      </c>
      <c r="J339">
        <f t="shared" si="60"/>
        <v>0.12121457909605175</v>
      </c>
    </row>
    <row r="340" spans="1:10" x14ac:dyDescent="0.3">
      <c r="A340" s="8">
        <f t="shared" si="56"/>
        <v>6.5</v>
      </c>
      <c r="B340">
        <f t="shared" si="51"/>
        <v>66.5</v>
      </c>
      <c r="C340">
        <f t="shared" si="52"/>
        <v>3.4284485494047036E-2</v>
      </c>
      <c r="D340">
        <f t="shared" si="53"/>
        <v>3.4284485494047038E-3</v>
      </c>
      <c r="E340">
        <f t="shared" si="54"/>
        <v>2.6026698197087996E-2</v>
      </c>
      <c r="F340" s="9">
        <f t="shared" si="55"/>
        <v>2.6026698197087996E-2</v>
      </c>
      <c r="G340">
        <f t="shared" si="57"/>
        <v>0.75849136898464353</v>
      </c>
      <c r="H340">
        <f t="shared" si="58"/>
        <v>0.11985493329328666</v>
      </c>
      <c r="I340">
        <f t="shared" si="59"/>
        <v>0.12165369772206942</v>
      </c>
      <c r="J340">
        <f t="shared" si="60"/>
        <v>0.12165369772206981</v>
      </c>
    </row>
    <row r="341" spans="1:10" x14ac:dyDescent="0.3">
      <c r="A341" s="8">
        <f t="shared" si="56"/>
        <v>6.5192307692307736</v>
      </c>
      <c r="B341">
        <f t="shared" si="51"/>
        <v>66.519230769230774</v>
      </c>
      <c r="C341">
        <f t="shared" si="52"/>
        <v>3.4374630404068511E-2</v>
      </c>
      <c r="D341">
        <f t="shared" si="53"/>
        <v>3.4374630404068515E-3</v>
      </c>
      <c r="E341">
        <f t="shared" si="54"/>
        <v>2.606968695144244E-2</v>
      </c>
      <c r="F341" s="9">
        <f t="shared" si="55"/>
        <v>2.606968695144244E-2</v>
      </c>
      <c r="G341">
        <f t="shared" si="57"/>
        <v>0.75761954983443613</v>
      </c>
      <c r="H341">
        <f t="shared" si="58"/>
        <v>0.12028712832576491</v>
      </c>
      <c r="I341">
        <f t="shared" si="59"/>
        <v>0.12209332183979857</v>
      </c>
      <c r="J341">
        <f t="shared" si="60"/>
        <v>0.12209332183979896</v>
      </c>
    </row>
    <row r="342" spans="1:10" x14ac:dyDescent="0.3">
      <c r="A342" s="8">
        <f t="shared" si="56"/>
        <v>6.5384615384615472</v>
      </c>
      <c r="B342">
        <f t="shared" si="51"/>
        <v>66.538461538461547</v>
      </c>
      <c r="C342">
        <f t="shared" si="52"/>
        <v>3.4465015131950112E-2</v>
      </c>
      <c r="D342">
        <f t="shared" si="53"/>
        <v>3.4465015131950115E-3</v>
      </c>
      <c r="E342">
        <f t="shared" si="54"/>
        <v>2.6112748101881456E-2</v>
      </c>
      <c r="F342" s="9">
        <f t="shared" si="55"/>
        <v>2.6112748101881456E-2</v>
      </c>
      <c r="G342">
        <f t="shared" si="57"/>
        <v>0.7567468514893001</v>
      </c>
      <c r="H342">
        <f t="shared" si="58"/>
        <v>0.12071969681951218</v>
      </c>
      <c r="I342">
        <f t="shared" si="59"/>
        <v>0.12253345169118736</v>
      </c>
      <c r="J342">
        <f t="shared" si="60"/>
        <v>0.12253345169118772</v>
      </c>
    </row>
    <row r="343" spans="1:10" x14ac:dyDescent="0.3">
      <c r="A343" s="8">
        <f t="shared" si="56"/>
        <v>6.5576923076923208</v>
      </c>
      <c r="B343">
        <f t="shared" si="51"/>
        <v>66.557692307692321</v>
      </c>
      <c r="C343">
        <f t="shared" si="52"/>
        <v>3.4555640315693546E-2</v>
      </c>
      <c r="D343">
        <f t="shared" si="53"/>
        <v>3.4555640315693547E-3</v>
      </c>
      <c r="E343">
        <f t="shared" si="54"/>
        <v>2.6155881770325094E-2</v>
      </c>
      <c r="F343" s="9">
        <f t="shared" si="55"/>
        <v>2.6155881770325094E-2</v>
      </c>
      <c r="G343">
        <f t="shared" si="57"/>
        <v>0.7558732751243058</v>
      </c>
      <c r="H343">
        <f t="shared" si="58"/>
        <v>0.12115263735866391</v>
      </c>
      <c r="I343">
        <f t="shared" si="59"/>
        <v>0.12297408751702996</v>
      </c>
      <c r="J343">
        <f t="shared" si="60"/>
        <v>0.12297408751703029</v>
      </c>
    </row>
    <row r="344" spans="1:10" x14ac:dyDescent="0.3">
      <c r="A344" s="8">
        <f t="shared" si="56"/>
        <v>6.5769230769230944</v>
      </c>
      <c r="B344">
        <f t="shared" si="51"/>
        <v>66.576923076923094</v>
      </c>
      <c r="C344">
        <f t="shared" si="52"/>
        <v>3.4646506594997822E-2</v>
      </c>
      <c r="D344">
        <f t="shared" si="53"/>
        <v>3.4646506594997826E-3</v>
      </c>
      <c r="E344">
        <f t="shared" si="54"/>
        <v>2.6199088078898817E-2</v>
      </c>
      <c r="F344" s="9">
        <f t="shared" si="55"/>
        <v>2.6199088078898817E-2</v>
      </c>
      <c r="G344">
        <f t="shared" si="57"/>
        <v>0.75499882192544132</v>
      </c>
      <c r="H344">
        <f t="shared" si="58"/>
        <v>0.12158594851759734</v>
      </c>
      <c r="I344">
        <f t="shared" si="59"/>
        <v>0.12341522955696103</v>
      </c>
      <c r="J344">
        <f t="shared" si="60"/>
        <v>0.12341522955696134</v>
      </c>
    </row>
    <row r="345" spans="1:10" x14ac:dyDescent="0.3">
      <c r="A345" s="8">
        <f t="shared" si="56"/>
        <v>6.596153846153868</v>
      </c>
      <c r="B345">
        <f t="shared" si="51"/>
        <v>66.596153846153868</v>
      </c>
      <c r="C345">
        <f t="shared" si="52"/>
        <v>3.4737614611263803E-2</v>
      </c>
      <c r="D345">
        <f t="shared" si="53"/>
        <v>3.4737614611263807E-3</v>
      </c>
      <c r="E345">
        <f t="shared" si="54"/>
        <v>2.6242367149933669E-2</v>
      </c>
      <c r="F345" s="9">
        <f t="shared" si="55"/>
        <v>2.6242367149933669E-2</v>
      </c>
      <c r="G345">
        <f t="shared" si="57"/>
        <v>0.75412349308964466</v>
      </c>
      <c r="H345">
        <f t="shared" si="58"/>
        <v>0.12201962886090444</v>
      </c>
      <c r="I345">
        <f t="shared" si="59"/>
        <v>0.12385687804945061</v>
      </c>
      <c r="J345">
        <f t="shared" si="60"/>
        <v>0.12385687804945091</v>
      </c>
    </row>
    <row r="346" spans="1:10" x14ac:dyDescent="0.3">
      <c r="A346" s="8">
        <f t="shared" si="56"/>
        <v>6.6153846153846416</v>
      </c>
      <c r="B346">
        <f t="shared" si="51"/>
        <v>66.615384615384642</v>
      </c>
      <c r="C346">
        <f t="shared" si="52"/>
        <v>3.4828965007598675E-2</v>
      </c>
      <c r="D346">
        <f t="shared" si="53"/>
        <v>3.4828965007598677E-3</v>
      </c>
      <c r="E346">
        <f t="shared" si="54"/>
        <v>2.6285719105966769E-2</v>
      </c>
      <c r="F346" s="9">
        <f t="shared" si="55"/>
        <v>2.6285719105966769E-2</v>
      </c>
      <c r="G346">
        <f t="shared" si="57"/>
        <v>0.7532472898248358</v>
      </c>
      <c r="H346">
        <f t="shared" si="58"/>
        <v>0.1224536769433649</v>
      </c>
      <c r="I346">
        <f t="shared" si="59"/>
        <v>0.12429903323179899</v>
      </c>
      <c r="J346">
        <f t="shared" si="60"/>
        <v>0.12429903323179931</v>
      </c>
    </row>
    <row r="347" spans="1:10" x14ac:dyDescent="0.3">
      <c r="A347" s="8">
        <f t="shared" si="56"/>
        <v>6.6346153846154152</v>
      </c>
      <c r="B347">
        <f t="shared" si="51"/>
        <v>66.634615384615415</v>
      </c>
      <c r="C347">
        <f t="shared" si="52"/>
        <v>3.4920558428820539E-2</v>
      </c>
      <c r="D347">
        <f t="shared" si="53"/>
        <v>3.4920558428820541E-3</v>
      </c>
      <c r="E347">
        <f t="shared" si="54"/>
        <v>2.63291440697416E-2</v>
      </c>
      <c r="F347" s="9">
        <f t="shared" si="55"/>
        <v>2.63291440697416E-2</v>
      </c>
      <c r="G347">
        <f t="shared" si="57"/>
        <v>0.75237021334994902</v>
      </c>
      <c r="H347">
        <f t="shared" si="58"/>
        <v>0.12288809130991914</v>
      </c>
      <c r="I347">
        <f t="shared" si="59"/>
        <v>0.12474169534013153</v>
      </c>
      <c r="J347">
        <f t="shared" si="60"/>
        <v>0.12474169534013184</v>
      </c>
    </row>
    <row r="348" spans="1:10" x14ac:dyDescent="0.3">
      <c r="A348" s="8">
        <f t="shared" si="56"/>
        <v>6.6538461538461888</v>
      </c>
      <c r="B348">
        <f t="shared" si="51"/>
        <v>66.653846153846189</v>
      </c>
      <c r="C348">
        <f t="shared" si="52"/>
        <v>3.5012395521462944E-2</v>
      </c>
      <c r="D348">
        <f t="shared" si="53"/>
        <v>3.5012395521462946E-3</v>
      </c>
      <c r="E348">
        <f t="shared" si="54"/>
        <v>2.6372642164208291E-2</v>
      </c>
      <c r="F348" s="9">
        <f t="shared" si="55"/>
        <v>2.6372642164208291E-2</v>
      </c>
      <c r="G348">
        <f t="shared" si="57"/>
        <v>0.75149226489496468</v>
      </c>
      <c r="H348">
        <f t="shared" si="58"/>
        <v>0.12332287049564139</v>
      </c>
      <c r="I348">
        <f t="shared" si="59"/>
        <v>0.1251848646093936</v>
      </c>
      <c r="J348">
        <f t="shared" si="60"/>
        <v>0.12518486460939393</v>
      </c>
    </row>
    <row r="349" spans="1:10" x14ac:dyDescent="0.3">
      <c r="A349" s="8">
        <f t="shared" si="56"/>
        <v>6.6730769230769624</v>
      </c>
      <c r="B349">
        <f t="shared" si="51"/>
        <v>66.673076923076962</v>
      </c>
      <c r="C349">
        <f t="shared" si="52"/>
        <v>3.5104476933779445E-2</v>
      </c>
      <c r="D349">
        <f t="shared" si="53"/>
        <v>3.5104476933779448E-3</v>
      </c>
      <c r="E349">
        <f t="shared" si="54"/>
        <v>2.6416213512524111E-2</v>
      </c>
      <c r="F349" s="9">
        <f t="shared" si="55"/>
        <v>2.6416213512524111E-2</v>
      </c>
      <c r="G349">
        <f t="shared" si="57"/>
        <v>0.75061344570094157</v>
      </c>
      <c r="H349">
        <f t="shared" si="58"/>
        <v>0.12375801302571282</v>
      </c>
      <c r="I349">
        <f t="shared" si="59"/>
        <v>0.12562854127334533</v>
      </c>
      <c r="J349">
        <f t="shared" si="60"/>
        <v>0.12562854127334561</v>
      </c>
    </row>
    <row r="350" spans="1:10" x14ac:dyDescent="0.3">
      <c r="A350" s="8">
        <f t="shared" si="56"/>
        <v>6.692307692307736</v>
      </c>
      <c r="B350">
        <f t="shared" si="51"/>
        <v>66.692307692307736</v>
      </c>
      <c r="C350">
        <f t="shared" si="52"/>
        <v>3.5196803315748197E-2</v>
      </c>
      <c r="D350">
        <f t="shared" si="53"/>
        <v>3.51968033157482E-3</v>
      </c>
      <c r="E350">
        <f t="shared" si="54"/>
        <v>2.6459858238053649E-2</v>
      </c>
      <c r="F350" s="9">
        <f t="shared" si="55"/>
        <v>2.6459858238053649E-2</v>
      </c>
      <c r="G350">
        <f t="shared" si="57"/>
        <v>0.74973375702004852</v>
      </c>
      <c r="H350">
        <f t="shared" si="58"/>
        <v>0.12419351741539469</v>
      </c>
      <c r="I350">
        <f t="shared" si="59"/>
        <v>0.12607272556455648</v>
      </c>
      <c r="J350">
        <f t="shared" si="60"/>
        <v>0.12607272556455679</v>
      </c>
    </row>
    <row r="351" spans="1:10" x14ac:dyDescent="0.3">
      <c r="A351" s="8">
        <f t="shared" si="56"/>
        <v>6.7115384615385096</v>
      </c>
      <c r="B351">
        <f t="shared" si="51"/>
        <v>66.71153846153851</v>
      </c>
      <c r="C351">
        <f t="shared" si="52"/>
        <v>3.5289375319076506E-2</v>
      </c>
      <c r="D351">
        <f t="shared" si="53"/>
        <v>3.528937531907651E-3</v>
      </c>
      <c r="E351">
        <f t="shared" si="54"/>
        <v>2.6503576464369332E-2</v>
      </c>
      <c r="F351" s="9">
        <f t="shared" si="55"/>
        <v>2.6503576464369332E-2</v>
      </c>
      <c r="G351">
        <f t="shared" si="57"/>
        <v>0.74885320011559675</v>
      </c>
      <c r="H351">
        <f t="shared" si="58"/>
        <v>0.12462938217000159</v>
      </c>
      <c r="I351">
        <f t="shared" si="59"/>
        <v>0.12651741771440131</v>
      </c>
      <c r="J351">
        <f t="shared" si="60"/>
        <v>0.12651741771440167</v>
      </c>
    </row>
    <row r="352" spans="1:10" x14ac:dyDescent="0.3">
      <c r="A352" s="8">
        <f t="shared" si="56"/>
        <v>6.7307692307692832</v>
      </c>
      <c r="B352">
        <f t="shared" si="51"/>
        <v>66.730769230769283</v>
      </c>
      <c r="C352">
        <f t="shared" si="52"/>
        <v>3.5382193597205479E-2</v>
      </c>
      <c r="D352">
        <f t="shared" si="53"/>
        <v>3.5382193597205481E-3</v>
      </c>
      <c r="E352">
        <f t="shared" si="54"/>
        <v>2.6547368315251604E-2</v>
      </c>
      <c r="F352" s="9">
        <f t="shared" si="55"/>
        <v>2.6547368315251604E-2</v>
      </c>
      <c r="G352">
        <f t="shared" si="57"/>
        <v>0.74797177626207167</v>
      </c>
      <c r="H352">
        <f t="shared" si="58"/>
        <v>0.12506560578487472</v>
      </c>
      <c r="I352">
        <f t="shared" si="59"/>
        <v>0.12696261795305325</v>
      </c>
      <c r="J352">
        <f t="shared" si="60"/>
        <v>0.12696261795305361</v>
      </c>
    </row>
    <row r="353" spans="1:10" x14ac:dyDescent="0.3">
      <c r="A353" s="8">
        <f t="shared" si="56"/>
        <v>6.7500000000000568</v>
      </c>
      <c r="B353">
        <f t="shared" si="51"/>
        <v>66.750000000000057</v>
      </c>
      <c r="C353">
        <f t="shared" si="52"/>
        <v>3.5475258805314595E-2</v>
      </c>
      <c r="D353">
        <f t="shared" si="53"/>
        <v>3.5475258805314595E-3</v>
      </c>
      <c r="E353">
        <f t="shared" si="54"/>
        <v>2.6591233914689448E-2</v>
      </c>
      <c r="F353" s="9">
        <f t="shared" si="55"/>
        <v>2.6591233914689448E-2</v>
      </c>
      <c r="G353">
        <f t="shared" si="57"/>
        <v>0.74708948674516462</v>
      </c>
      <c r="H353">
        <f t="shared" si="58"/>
        <v>0.12550218674535521</v>
      </c>
      <c r="I353">
        <f t="shared" si="59"/>
        <v>0.12740832650947984</v>
      </c>
      <c r="J353">
        <f t="shared" si="60"/>
        <v>0.12740832650948017</v>
      </c>
    </row>
    <row r="354" spans="1:10" x14ac:dyDescent="0.3">
      <c r="A354" s="8">
        <f t="shared" si="56"/>
        <v>6.7692307692308304</v>
      </c>
      <c r="B354">
        <f t="shared" ref="B354:B417" si="61">B353+$L$7</f>
        <v>66.76923076923083</v>
      </c>
      <c r="C354">
        <f t="shared" si="52"/>
        <v>3.5568571600326351E-2</v>
      </c>
      <c r="D354">
        <f t="shared" si="53"/>
        <v>3.5568571600326352E-3</v>
      </c>
      <c r="E354">
        <f t="shared" si="54"/>
        <v>2.6635173386880619E-2</v>
      </c>
      <c r="F354" s="9">
        <f t="shared" si="55"/>
        <v>2.6635173386880619E-2</v>
      </c>
      <c r="G354">
        <f t="shared" si="57"/>
        <v>0.74620633286180471</v>
      </c>
      <c r="H354">
        <f t="shared" si="58"/>
        <v>0.12593912352675754</v>
      </c>
      <c r="I354">
        <f t="shared" si="59"/>
        <v>0.12785454361143747</v>
      </c>
      <c r="J354">
        <f t="shared" si="60"/>
        <v>0.12785454361143775</v>
      </c>
    </row>
    <row r="355" spans="1:10" x14ac:dyDescent="0.3">
      <c r="A355" s="8">
        <f t="shared" si="56"/>
        <v>6.7884615384616041</v>
      </c>
      <c r="B355">
        <f t="shared" si="61"/>
        <v>66.788461538461604</v>
      </c>
      <c r="C355">
        <f t="shared" si="52"/>
        <v>3.5662132640910907E-2</v>
      </c>
      <c r="D355">
        <f t="shared" si="53"/>
        <v>3.5662132640910909E-3</v>
      </c>
      <c r="E355">
        <f t="shared" si="54"/>
        <v>2.6679186856231996E-2</v>
      </c>
      <c r="F355" s="9">
        <f t="shared" si="55"/>
        <v>2.6679186856231996E-2</v>
      </c>
      <c r="G355">
        <f t="shared" si="57"/>
        <v>0.74532231592019071</v>
      </c>
      <c r="H355">
        <f t="shared" si="58"/>
        <v>0.12637641459434293</v>
      </c>
      <c r="I355">
        <f t="shared" si="59"/>
        <v>0.12830126948546611</v>
      </c>
      <c r="J355">
        <f t="shared" si="60"/>
        <v>0.12830126948546636</v>
      </c>
    </row>
    <row r="356" spans="1:10" x14ac:dyDescent="0.3">
      <c r="A356" s="8">
        <f t="shared" si="56"/>
        <v>6.8076923076923777</v>
      </c>
      <c r="B356">
        <f t="shared" si="61"/>
        <v>66.807692307692378</v>
      </c>
      <c r="C356">
        <f t="shared" si="52"/>
        <v>3.5755942587490694E-2</v>
      </c>
      <c r="D356">
        <f t="shared" si="53"/>
        <v>3.5755942587490696E-3</v>
      </c>
      <c r="E356">
        <f t="shared" si="54"/>
        <v>2.672327444736004E-2</v>
      </c>
      <c r="F356" s="9">
        <f t="shared" si="55"/>
        <v>2.672327444736004E-2</v>
      </c>
      <c r="G356">
        <f t="shared" si="57"/>
        <v>0.7444374372398227</v>
      </c>
      <c r="H356">
        <f t="shared" si="58"/>
        <v>0.12681405840329291</v>
      </c>
      <c r="I356">
        <f t="shared" si="59"/>
        <v>0.12874850435688415</v>
      </c>
      <c r="J356">
        <f t="shared" si="60"/>
        <v>0.1287485043568844</v>
      </c>
    </row>
    <row r="357" spans="1:10" x14ac:dyDescent="0.3">
      <c r="A357" s="8">
        <f t="shared" si="56"/>
        <v>6.8269230769231513</v>
      </c>
      <c r="B357">
        <f t="shared" si="61"/>
        <v>66.826923076923151</v>
      </c>
      <c r="C357">
        <f t="shared" si="52"/>
        <v>3.5850002102245135E-2</v>
      </c>
      <c r="D357">
        <f t="shared" si="53"/>
        <v>3.5850002102245137E-3</v>
      </c>
      <c r="E357">
        <f t="shared" si="54"/>
        <v>2.6767436285090991E-2</v>
      </c>
      <c r="F357" s="9">
        <f t="shared" si="55"/>
        <v>2.6767436285090991E-2</v>
      </c>
      <c r="G357">
        <f t="shared" si="57"/>
        <v>0.74355169815153388</v>
      </c>
      <c r="H357">
        <f t="shared" si="58"/>
        <v>0.12725205339868281</v>
      </c>
      <c r="I357">
        <f t="shared" si="59"/>
        <v>0.12919624844978306</v>
      </c>
      <c r="J357">
        <f t="shared" si="60"/>
        <v>0.12919624844978331</v>
      </c>
    </row>
    <row r="358" spans="1:10" x14ac:dyDescent="0.3">
      <c r="A358" s="8">
        <f t="shared" si="56"/>
        <v>6.8461538461539249</v>
      </c>
      <c r="B358">
        <f t="shared" si="61"/>
        <v>66.846153846153925</v>
      </c>
      <c r="C358">
        <f t="shared" si="52"/>
        <v>3.5944311849115257E-2</v>
      </c>
      <c r="D358">
        <f t="shared" si="53"/>
        <v>3.5944311849115257E-3</v>
      </c>
      <c r="E358">
        <f t="shared" si="54"/>
        <v>2.6811672494461387E-2</v>
      </c>
      <c r="F358" s="9">
        <f t="shared" si="55"/>
        <v>2.6811672494461387E-2</v>
      </c>
      <c r="G358">
        <f t="shared" si="57"/>
        <v>0.74266509999752206</v>
      </c>
      <c r="H358">
        <f t="shared" si="58"/>
        <v>0.12769039801545548</v>
      </c>
      <c r="I358">
        <f t="shared" si="59"/>
        <v>0.12964450198702226</v>
      </c>
      <c r="J358">
        <f t="shared" si="60"/>
        <v>0.12964450198702246</v>
      </c>
    </row>
    <row r="359" spans="1:10" x14ac:dyDescent="0.3">
      <c r="A359" s="8">
        <f t="shared" si="56"/>
        <v>6.8653846153846985</v>
      </c>
      <c r="B359">
        <f t="shared" si="61"/>
        <v>66.865384615384698</v>
      </c>
      <c r="C359">
        <f t="shared" si="52"/>
        <v>3.6038872493808431E-2</v>
      </c>
      <c r="D359">
        <f t="shared" si="53"/>
        <v>3.6038872493808433E-3</v>
      </c>
      <c r="E359">
        <f t="shared" si="54"/>
        <v>2.6855983200718258E-2</v>
      </c>
      <c r="F359" s="9">
        <f t="shared" si="55"/>
        <v>2.6855983200718258E-2</v>
      </c>
      <c r="G359">
        <f t="shared" si="57"/>
        <v>0.74177764413138125</v>
      </c>
      <c r="H359">
        <f t="shared" si="58"/>
        <v>0.12812909067839484</v>
      </c>
      <c r="I359">
        <f t="shared" si="59"/>
        <v>0.13009326519022377</v>
      </c>
      <c r="J359">
        <f t="shared" si="60"/>
        <v>0.13009326519022391</v>
      </c>
    </row>
    <row r="360" spans="1:10" x14ac:dyDescent="0.3">
      <c r="A360" s="8">
        <f t="shared" si="56"/>
        <v>6.8846153846154721</v>
      </c>
      <c r="B360">
        <f t="shared" si="61"/>
        <v>66.884615384615472</v>
      </c>
      <c r="C360">
        <f t="shared" si="52"/>
        <v>3.613368470380305E-2</v>
      </c>
      <c r="D360">
        <f t="shared" si="53"/>
        <v>3.6133684703803051E-3</v>
      </c>
      <c r="E360">
        <f t="shared" si="54"/>
        <v>2.690036852931962E-2</v>
      </c>
      <c r="F360" s="9">
        <f t="shared" si="55"/>
        <v>2.690036852931962E-2</v>
      </c>
      <c r="G360">
        <f t="shared" si="57"/>
        <v>0.74088933191813322</v>
      </c>
      <c r="H360">
        <f t="shared" si="58"/>
        <v>0.12856812980209975</v>
      </c>
      <c r="I360">
        <f t="shared" si="59"/>
        <v>0.13054253827976689</v>
      </c>
      <c r="J360">
        <f t="shared" si="60"/>
        <v>0.13054253827976703</v>
      </c>
    </row>
    <row r="361" spans="1:10" x14ac:dyDescent="0.3">
      <c r="A361" s="8">
        <f t="shared" si="56"/>
        <v>6.9038461538462457</v>
      </c>
      <c r="B361">
        <f t="shared" si="61"/>
        <v>66.903846153846246</v>
      </c>
      <c r="C361">
        <f t="shared" si="52"/>
        <v>3.6228749148353216E-2</v>
      </c>
      <c r="D361">
        <f t="shared" si="53"/>
        <v>3.622874914835322E-3</v>
      </c>
      <c r="E361">
        <f t="shared" si="54"/>
        <v>2.6944828605934765E-2</v>
      </c>
      <c r="F361" s="9">
        <f t="shared" si="55"/>
        <v>2.6944828605934765E-2</v>
      </c>
      <c r="G361">
        <f t="shared" si="57"/>
        <v>0.740000164734259</v>
      </c>
      <c r="H361">
        <f t="shared" si="58"/>
        <v>0.12900751379095776</v>
      </c>
      <c r="I361">
        <f t="shared" si="59"/>
        <v>0.13099232147478307</v>
      </c>
      <c r="J361">
        <f t="shared" si="60"/>
        <v>0.13099232147478324</v>
      </c>
    </row>
    <row r="362" spans="1:10" x14ac:dyDescent="0.3">
      <c r="A362" s="8">
        <f t="shared" si="56"/>
        <v>6.9230769230770193</v>
      </c>
      <c r="B362">
        <f t="shared" si="61"/>
        <v>66.923076923077019</v>
      </c>
      <c r="C362">
        <f t="shared" si="52"/>
        <v>3.6324066498493526E-2</v>
      </c>
      <c r="D362">
        <f t="shared" si="53"/>
        <v>3.6324066498493526E-3</v>
      </c>
      <c r="E362">
        <f t="shared" si="54"/>
        <v>2.6989363556444566E-2</v>
      </c>
      <c r="F362" s="9">
        <f t="shared" si="55"/>
        <v>2.6989363556444566E-2</v>
      </c>
      <c r="G362">
        <f t="shared" si="57"/>
        <v>0.73911014396773045</v>
      </c>
      <c r="H362">
        <f t="shared" si="58"/>
        <v>0.12944724103911898</v>
      </c>
      <c r="I362">
        <f t="shared" si="59"/>
        <v>0.13144261499315044</v>
      </c>
      <c r="J362">
        <f t="shared" si="60"/>
        <v>0.13144261499315057</v>
      </c>
    </row>
    <row r="363" spans="1:10" x14ac:dyDescent="0.3">
      <c r="A363" s="8">
        <f t="shared" si="56"/>
        <v>6.9423076923077929</v>
      </c>
      <c r="B363">
        <f t="shared" si="61"/>
        <v>66.942307692307793</v>
      </c>
      <c r="C363">
        <f t="shared" si="52"/>
        <v>3.6419637427043731E-2</v>
      </c>
      <c r="D363">
        <f t="shared" si="53"/>
        <v>3.6419637427043735E-3</v>
      </c>
      <c r="E363">
        <f t="shared" si="54"/>
        <v>2.7033973506941963E-2</v>
      </c>
      <c r="F363" s="9">
        <f t="shared" si="55"/>
        <v>2.7033973506941963E-2</v>
      </c>
      <c r="G363">
        <f t="shared" si="57"/>
        <v>0.73821927101804119</v>
      </c>
      <c r="H363">
        <f t="shared" si="58"/>
        <v>0.12988730993047007</v>
      </c>
      <c r="I363">
        <f t="shared" si="59"/>
        <v>0.1318934190514886</v>
      </c>
      <c r="J363">
        <f t="shared" si="60"/>
        <v>0.13189341905148874</v>
      </c>
    </row>
    <row r="364" spans="1:10" x14ac:dyDescent="0.3">
      <c r="A364" s="8">
        <f t="shared" si="56"/>
        <v>6.9615384615385665</v>
      </c>
      <c r="B364">
        <f t="shared" si="61"/>
        <v>66.961538461538566</v>
      </c>
      <c r="C364">
        <f t="shared" si="52"/>
        <v>3.6515462608613554E-2</v>
      </c>
      <c r="D364">
        <f t="shared" si="53"/>
        <v>3.6515462608613554E-3</v>
      </c>
      <c r="E364">
        <f t="shared" si="54"/>
        <v>2.7078658583732169E-2</v>
      </c>
      <c r="F364" s="9">
        <f t="shared" si="55"/>
        <v>2.7078658583732169E-2</v>
      </c>
      <c r="G364">
        <f t="shared" si="57"/>
        <v>0.73732754729623839</v>
      </c>
      <c r="H364">
        <f t="shared" si="58"/>
        <v>0.13032771883860816</v>
      </c>
      <c r="I364">
        <f t="shared" si="59"/>
        <v>0.1323447338651533</v>
      </c>
      <c r="J364">
        <f t="shared" si="60"/>
        <v>0.13234473386515344</v>
      </c>
    </row>
    <row r="365" spans="1:10" x14ac:dyDescent="0.3">
      <c r="A365" s="8">
        <f t="shared" si="56"/>
        <v>6.9807692307693401</v>
      </c>
      <c r="B365">
        <f t="shared" si="61"/>
        <v>66.98076923076934</v>
      </c>
      <c r="C365">
        <f t="shared" si="52"/>
        <v>3.6611542719607398E-2</v>
      </c>
      <c r="D365">
        <f t="shared" si="53"/>
        <v>3.6611542719607402E-3</v>
      </c>
      <c r="E365">
        <f t="shared" si="54"/>
        <v>2.712341891333318E-2</v>
      </c>
      <c r="F365" s="9">
        <f t="shared" si="55"/>
        <v>2.712341891333318E-2</v>
      </c>
      <c r="G365">
        <f t="shared" si="57"/>
        <v>0.73643497422495374</v>
      </c>
      <c r="H365">
        <f t="shared" si="58"/>
        <v>0.13076846612681503</v>
      </c>
      <c r="I365">
        <f t="shared" si="59"/>
        <v>0.13279655964823106</v>
      </c>
      <c r="J365">
        <f t="shared" si="60"/>
        <v>0.13279655964823123</v>
      </c>
    </row>
    <row r="366" spans="1:10" x14ac:dyDescent="0.3">
      <c r="A366" s="8">
        <f t="shared" si="56"/>
        <v>7.0000000000001137</v>
      </c>
      <c r="B366">
        <f t="shared" si="61"/>
        <v>67.000000000000114</v>
      </c>
      <c r="C366">
        <f t="shared" si="52"/>
        <v>3.6707878438229161E-2</v>
      </c>
      <c r="D366">
        <f t="shared" si="53"/>
        <v>3.6707878438229161E-3</v>
      </c>
      <c r="E366">
        <f t="shared" si="54"/>
        <v>2.7168254622475983E-2</v>
      </c>
      <c r="F366" s="9">
        <f t="shared" si="55"/>
        <v>2.7168254622475983E-2</v>
      </c>
      <c r="G366">
        <f t="shared" si="57"/>
        <v>0.73554155323843484</v>
      </c>
      <c r="H366">
        <f t="shared" si="58"/>
        <v>0.13120955014803118</v>
      </c>
      <c r="I366">
        <f t="shared" si="59"/>
        <v>0.13324889661353384</v>
      </c>
      <c r="J366">
        <f t="shared" si="60"/>
        <v>0.13324889661353398</v>
      </c>
    </row>
    <row r="367" spans="1:10" x14ac:dyDescent="0.3">
      <c r="A367" s="8">
        <f t="shared" si="56"/>
        <v>7.0192307692308873</v>
      </c>
      <c r="B367">
        <f t="shared" si="61"/>
        <v>67.019230769230887</v>
      </c>
      <c r="C367">
        <f t="shared" si="52"/>
        <v>3.6804470444487002E-2</v>
      </c>
      <c r="D367">
        <f t="shared" si="53"/>
        <v>3.6804470444487002E-3</v>
      </c>
      <c r="E367">
        <f t="shared" si="54"/>
        <v>2.7213165838105045E-2</v>
      </c>
      <c r="F367" s="9">
        <f t="shared" si="55"/>
        <v>2.7213165838105045E-2</v>
      </c>
      <c r="G367">
        <f t="shared" si="57"/>
        <v>0.73464728578257599</v>
      </c>
      <c r="H367">
        <f t="shared" si="58"/>
        <v>0.13165096924483011</v>
      </c>
      <c r="I367">
        <f t="shared" si="59"/>
        <v>0.13370174497259377</v>
      </c>
      <c r="J367">
        <f t="shared" si="60"/>
        <v>0.13370174497259391</v>
      </c>
    </row>
    <row r="368" spans="1:10" x14ac:dyDescent="0.3">
      <c r="A368" s="8">
        <f t="shared" si="56"/>
        <v>7.0384615384616609</v>
      </c>
      <c r="B368">
        <f t="shared" si="61"/>
        <v>67.038461538461661</v>
      </c>
      <c r="C368">
        <f t="shared" si="52"/>
        <v>3.6901319420198149E-2</v>
      </c>
      <c r="D368">
        <f t="shared" si="53"/>
        <v>3.6901319420198152E-3</v>
      </c>
      <c r="E368">
        <f t="shared" si="54"/>
        <v>2.7258152687378613E-2</v>
      </c>
      <c r="F368" s="9">
        <f t="shared" si="55"/>
        <v>2.7258152687378613E-2</v>
      </c>
      <c r="G368">
        <f t="shared" si="57"/>
        <v>0.73375217331494968</v>
      </c>
      <c r="H368">
        <f t="shared" si="58"/>
        <v>0.13209272174939252</v>
      </c>
      <c r="I368">
        <f t="shared" si="59"/>
        <v>0.13415510493565766</v>
      </c>
      <c r="J368">
        <f t="shared" si="60"/>
        <v>0.1341551049356578</v>
      </c>
    </row>
    <row r="369" spans="1:10" x14ac:dyDescent="0.3">
      <c r="A369" s="8">
        <f t="shared" si="56"/>
        <v>7.0576923076924345</v>
      </c>
      <c r="B369">
        <f t="shared" si="61"/>
        <v>67.057692307692434</v>
      </c>
      <c r="C369">
        <f t="shared" si="52"/>
        <v>3.6998426048993706E-2</v>
      </c>
      <c r="D369">
        <f t="shared" si="53"/>
        <v>3.6998426048993707E-3</v>
      </c>
      <c r="E369">
        <f t="shared" si="54"/>
        <v>2.7303215297669031E-2</v>
      </c>
      <c r="F369" s="9">
        <f t="shared" si="55"/>
        <v>2.7303215297669031E-2</v>
      </c>
      <c r="G369">
        <f t="shared" si="57"/>
        <v>0.73285621730483741</v>
      </c>
      <c r="H369">
        <f t="shared" si="58"/>
        <v>0.13253480598348075</v>
      </c>
      <c r="I369">
        <f t="shared" si="59"/>
        <v>0.13460897671168173</v>
      </c>
      <c r="J369">
        <f t="shared" si="60"/>
        <v>0.13460897671168184</v>
      </c>
    </row>
    <row r="370" spans="1:10" x14ac:dyDescent="0.3">
      <c r="A370" s="8">
        <f t="shared" si="56"/>
        <v>7.0769230769232081</v>
      </c>
      <c r="B370">
        <f t="shared" si="61"/>
        <v>67.076923076923208</v>
      </c>
      <c r="C370">
        <f t="shared" si="52"/>
        <v>3.709579101632348E-2</v>
      </c>
      <c r="D370">
        <f t="shared" si="53"/>
        <v>3.7095791016323481E-3</v>
      </c>
      <c r="E370">
        <f t="shared" si="54"/>
        <v>2.734835379656321E-2</v>
      </c>
      <c r="F370" s="9">
        <f t="shared" si="55"/>
        <v>2.734835379656321E-2</v>
      </c>
      <c r="G370">
        <f t="shared" si="57"/>
        <v>0.73195941923326058</v>
      </c>
      <c r="H370">
        <f t="shared" si="58"/>
        <v>0.13297722025841319</v>
      </c>
      <c r="I370">
        <f t="shared" si="59"/>
        <v>0.13506336050832618</v>
      </c>
      <c r="J370">
        <f t="shared" si="60"/>
        <v>0.13506336050832624</v>
      </c>
    </row>
    <row r="371" spans="1:10" x14ac:dyDescent="0.3">
      <c r="A371" s="8">
        <f t="shared" si="56"/>
        <v>7.0961538461539817</v>
      </c>
      <c r="B371">
        <f t="shared" si="61"/>
        <v>67.096153846153982</v>
      </c>
      <c r="C371">
        <f t="shared" si="52"/>
        <v>3.7193415009460828E-2</v>
      </c>
      <c r="D371">
        <f t="shared" si="53"/>
        <v>3.7193415009460829E-3</v>
      </c>
      <c r="E371">
        <f t="shared" si="54"/>
        <v>2.7393568311862852E-2</v>
      </c>
      <c r="F371" s="9">
        <f t="shared" si="55"/>
        <v>2.7393568311862852E-2</v>
      </c>
      <c r="G371">
        <f t="shared" si="57"/>
        <v>0.7310617805930113</v>
      </c>
      <c r="H371">
        <f t="shared" si="58"/>
        <v>0.13341996287503879</v>
      </c>
      <c r="I371">
        <f t="shared" si="59"/>
        <v>0.13551825653194982</v>
      </c>
      <c r="J371">
        <f t="shared" si="60"/>
        <v>0.1355182565319499</v>
      </c>
    </row>
    <row r="372" spans="1:10" x14ac:dyDescent="0.3">
      <c r="A372" s="8">
        <f t="shared" si="56"/>
        <v>7.1153846153847553</v>
      </c>
      <c r="B372">
        <f t="shared" si="61"/>
        <v>67.115384615384755</v>
      </c>
      <c r="C372">
        <f t="shared" si="52"/>
        <v>3.7291298717507484E-2</v>
      </c>
      <c r="D372">
        <f t="shared" si="53"/>
        <v>3.7291298717507487E-3</v>
      </c>
      <c r="E372">
        <f t="shared" si="54"/>
        <v>2.7438858971584979E-2</v>
      </c>
      <c r="F372" s="9">
        <f t="shared" si="55"/>
        <v>2.7438858971584979E-2</v>
      </c>
      <c r="G372">
        <f t="shared" si="57"/>
        <v>0.73016330288868359</v>
      </c>
      <c r="H372">
        <f t="shared" si="58"/>
        <v>0.13386303212371173</v>
      </c>
      <c r="I372">
        <f t="shared" si="59"/>
        <v>0.13597366498760463</v>
      </c>
      <c r="J372">
        <f t="shared" si="60"/>
        <v>0.13597366498760469</v>
      </c>
    </row>
    <row r="373" spans="1:10" x14ac:dyDescent="0.3">
      <c r="A373" s="8">
        <f t="shared" si="56"/>
        <v>7.1346153846155289</v>
      </c>
      <c r="B373">
        <f t="shared" si="61"/>
        <v>67.134615384615529</v>
      </c>
      <c r="C373">
        <f t="shared" si="52"/>
        <v>3.7389442831398466E-2</v>
      </c>
      <c r="D373">
        <f t="shared" si="53"/>
        <v>3.7389442831398468E-3</v>
      </c>
      <c r="E373">
        <f t="shared" si="54"/>
        <v>2.7484225903962101E-2</v>
      </c>
      <c r="F373" s="9">
        <f t="shared" si="55"/>
        <v>2.7484225903962101E-2</v>
      </c>
      <c r="G373">
        <f t="shared" si="57"/>
        <v>0.72926398763670364</v>
      </c>
      <c r="H373">
        <f t="shared" si="58"/>
        <v>0.1343064262842659</v>
      </c>
      <c r="I373">
        <f t="shared" si="59"/>
        <v>0.13642958607903041</v>
      </c>
      <c r="J373">
        <f t="shared" si="60"/>
        <v>0.13642958607903047</v>
      </c>
    </row>
    <row r="374" spans="1:10" x14ac:dyDescent="0.3">
      <c r="A374" s="8">
        <f t="shared" si="56"/>
        <v>7.1538461538463025</v>
      </c>
      <c r="B374">
        <f t="shared" si="61"/>
        <v>67.153846153846303</v>
      </c>
      <c r="C374">
        <f t="shared" si="52"/>
        <v>3.7487848043906903E-2</v>
      </c>
      <c r="D374">
        <f t="shared" si="53"/>
        <v>3.7487848043906906E-3</v>
      </c>
      <c r="E374">
        <f t="shared" si="54"/>
        <v>2.7529669237442753E-2</v>
      </c>
      <c r="F374" s="9">
        <f t="shared" si="55"/>
        <v>2.7529669237442753E-2</v>
      </c>
      <c r="G374">
        <f t="shared" si="57"/>
        <v>0.72836383636536084</v>
      </c>
      <c r="H374">
        <f t="shared" si="58"/>
        <v>0.13475014362598983</v>
      </c>
      <c r="I374">
        <f t="shared" si="59"/>
        <v>0.1368860200086493</v>
      </c>
      <c r="J374">
        <f t="shared" si="60"/>
        <v>0.13688602000864933</v>
      </c>
    </row>
    <row r="375" spans="1:10" x14ac:dyDescent="0.3">
      <c r="A375" s="8">
        <f t="shared" si="56"/>
        <v>7.1730769230770761</v>
      </c>
      <c r="B375">
        <f t="shared" si="61"/>
        <v>67.173076923077076</v>
      </c>
      <c r="C375">
        <f t="shared" si="52"/>
        <v>3.7586515049648973E-2</v>
      </c>
      <c r="D375">
        <f t="shared" si="53"/>
        <v>3.7586515049648976E-3</v>
      </c>
      <c r="E375">
        <f t="shared" si="54"/>
        <v>2.7575189100691788E-2</v>
      </c>
      <c r="F375" s="9">
        <f t="shared" si="55"/>
        <v>2.7575189100691788E-2</v>
      </c>
      <c r="G375">
        <f t="shared" si="57"/>
        <v>0.72746285061483817</v>
      </c>
      <c r="H375">
        <f t="shared" si="58"/>
        <v>0.13519418240760148</v>
      </c>
      <c r="I375">
        <f t="shared" si="59"/>
        <v>0.13734296697756035</v>
      </c>
      <c r="J375">
        <f t="shared" si="60"/>
        <v>0.13734296697756035</v>
      </c>
    </row>
    <row r="376" spans="1:10" x14ac:dyDescent="0.3">
      <c r="A376" s="8">
        <f t="shared" si="56"/>
        <v>7.1923076923078497</v>
      </c>
      <c r="B376">
        <f t="shared" si="61"/>
        <v>67.19230769230785</v>
      </c>
      <c r="C376">
        <f t="shared" si="52"/>
        <v>3.7685444545088757E-2</v>
      </c>
      <c r="D376">
        <f t="shared" si="53"/>
        <v>3.7685444545088758E-3</v>
      </c>
      <c r="E376">
        <f t="shared" si="54"/>
        <v>2.7620785622590672E-2</v>
      </c>
      <c r="F376" s="9">
        <f t="shared" si="55"/>
        <v>2.7620785622590672E-2</v>
      </c>
      <c r="G376">
        <f t="shared" si="57"/>
        <v>0.72656103193724286</v>
      </c>
      <c r="H376">
        <f t="shared" si="58"/>
        <v>0.13563854087722307</v>
      </c>
      <c r="I376">
        <f t="shared" si="59"/>
        <v>0.13780042718553412</v>
      </c>
      <c r="J376">
        <f t="shared" si="60"/>
        <v>0.13780042718553406</v>
      </c>
    </row>
    <row r="377" spans="1:10" x14ac:dyDescent="0.3">
      <c r="A377" s="8">
        <f t="shared" si="56"/>
        <v>7.2115384615386233</v>
      </c>
      <c r="B377">
        <f t="shared" si="61"/>
        <v>67.211538461538623</v>
      </c>
      <c r="C377">
        <f t="shared" si="52"/>
        <v>3.7784637228543194E-2</v>
      </c>
      <c r="D377">
        <f t="shared" si="53"/>
        <v>3.7784637228543195E-3</v>
      </c>
      <c r="E377">
        <f t="shared" si="54"/>
        <v>2.766645893223801E-2</v>
      </c>
      <c r="F377" s="9">
        <f t="shared" si="55"/>
        <v>2.766645893223801E-2</v>
      </c>
      <c r="G377">
        <f t="shared" si="57"/>
        <v>0.72565838189663667</v>
      </c>
      <c r="H377">
        <f t="shared" si="58"/>
        <v>0.1360832172723562</v>
      </c>
      <c r="I377">
        <f t="shared" si="59"/>
        <v>0.13825840083100716</v>
      </c>
      <c r="J377">
        <f t="shared" si="60"/>
        <v>0.13825840083100713</v>
      </c>
    </row>
    <row r="378" spans="1:10" x14ac:dyDescent="0.3">
      <c r="A378" s="8">
        <f t="shared" si="56"/>
        <v>7.2307692307693969</v>
      </c>
      <c r="B378">
        <f t="shared" si="61"/>
        <v>67.230769230769397</v>
      </c>
      <c r="C378">
        <f t="shared" si="52"/>
        <v>3.7884093800187015E-2</v>
      </c>
      <c r="D378">
        <f t="shared" si="53"/>
        <v>3.7884093800187018E-3</v>
      </c>
      <c r="E378">
        <f t="shared" si="54"/>
        <v>2.7712209158949713E-2</v>
      </c>
      <c r="F378" s="9">
        <f t="shared" si="55"/>
        <v>2.7712209158949713E-2</v>
      </c>
      <c r="G378">
        <f t="shared" si="57"/>
        <v>0.72475490206906668</v>
      </c>
      <c r="H378">
        <f t="shared" si="58"/>
        <v>0.13652820981985678</v>
      </c>
      <c r="I378">
        <f t="shared" si="59"/>
        <v>0.13871688811107658</v>
      </c>
      <c r="J378">
        <f t="shared" si="60"/>
        <v>0.13871688811107655</v>
      </c>
    </row>
    <row r="379" spans="1:10" x14ac:dyDescent="0.3">
      <c r="A379" s="8">
        <f t="shared" si="56"/>
        <v>7.2500000000001705</v>
      </c>
      <c r="B379">
        <f t="shared" si="61"/>
        <v>67.250000000000171</v>
      </c>
      <c r="C379">
        <f t="shared" si="52"/>
        <v>3.7983814962057619E-2</v>
      </c>
      <c r="D379">
        <f t="shared" si="53"/>
        <v>3.7983814962057622E-3</v>
      </c>
      <c r="E379">
        <f t="shared" si="54"/>
        <v>2.7758036432259579E-2</v>
      </c>
      <c r="F379" s="9">
        <f t="shared" si="55"/>
        <v>2.7758036432259579E-2</v>
      </c>
      <c r="G379">
        <f t="shared" si="57"/>
        <v>0.72385059404259511</v>
      </c>
      <c r="H379">
        <f t="shared" si="58"/>
        <v>0.13697351673591035</v>
      </c>
      <c r="I379">
        <f t="shared" si="59"/>
        <v>0.1391758892214946</v>
      </c>
      <c r="J379">
        <f t="shared" si="60"/>
        <v>0.13917588922149454</v>
      </c>
    </row>
    <row r="380" spans="1:10" x14ac:dyDescent="0.3">
      <c r="A380" s="8">
        <f t="shared" si="56"/>
        <v>7.2692307692309441</v>
      </c>
      <c r="B380">
        <f t="shared" si="61"/>
        <v>67.269230769230944</v>
      </c>
      <c r="C380">
        <f t="shared" si="52"/>
        <v>3.8083801418060143E-2</v>
      </c>
      <c r="D380">
        <f t="shared" si="53"/>
        <v>3.8083801418060145E-3</v>
      </c>
      <c r="E380">
        <f t="shared" si="54"/>
        <v>2.7803940881919446E-2</v>
      </c>
      <c r="F380" s="9">
        <f t="shared" si="55"/>
        <v>2.7803940881919446E-2</v>
      </c>
      <c r="G380">
        <f t="shared" si="57"/>
        <v>0.72294545941732979</v>
      </c>
      <c r="H380">
        <f t="shared" si="58"/>
        <v>0.13741913622600727</v>
      </c>
      <c r="I380">
        <f t="shared" si="59"/>
        <v>0.139635404356663</v>
      </c>
      <c r="J380">
        <f t="shared" si="60"/>
        <v>0.13963540435666294</v>
      </c>
    </row>
    <row r="381" spans="1:10" x14ac:dyDescent="0.3">
      <c r="A381" s="8">
        <f t="shared" si="56"/>
        <v>7.2884615384617177</v>
      </c>
      <c r="B381">
        <f t="shared" si="61"/>
        <v>67.288461538461718</v>
      </c>
      <c r="C381">
        <f t="shared" si="52"/>
        <v>3.81840538739723E-2</v>
      </c>
      <c r="D381">
        <f t="shared" si="53"/>
        <v>3.8184053873972302E-3</v>
      </c>
      <c r="E381">
        <f t="shared" si="54"/>
        <v>2.7849922637899739E-2</v>
      </c>
      <c r="F381" s="9">
        <f t="shared" si="55"/>
        <v>2.7849922637899739E-2</v>
      </c>
      <c r="G381">
        <f t="shared" si="57"/>
        <v>0.72203949980545434</v>
      </c>
      <c r="H381">
        <f t="shared" si="58"/>
        <v>0.137865066484918</v>
      </c>
      <c r="I381">
        <f t="shared" si="59"/>
        <v>0.14009543370962768</v>
      </c>
      <c r="J381">
        <f t="shared" si="60"/>
        <v>0.14009543370962765</v>
      </c>
    </row>
    <row r="382" spans="1:10" x14ac:dyDescent="0.3">
      <c r="A382" s="8">
        <f t="shared" si="56"/>
        <v>7.3076923076924913</v>
      </c>
      <c r="B382">
        <f t="shared" si="61"/>
        <v>67.307692307692491</v>
      </c>
      <c r="C382">
        <f t="shared" si="52"/>
        <v>3.8284573037449462E-2</v>
      </c>
      <c r="D382">
        <f t="shared" si="53"/>
        <v>3.8284573037449462E-3</v>
      </c>
      <c r="E382">
        <f t="shared" si="54"/>
        <v>2.7895981830389757E-2</v>
      </c>
      <c r="F382" s="9">
        <f t="shared" si="55"/>
        <v>2.7895981830389757E-2</v>
      </c>
      <c r="G382">
        <f t="shared" si="57"/>
        <v>0.72113271683125824</v>
      </c>
      <c r="H382">
        <f t="shared" si="58"/>
        <v>0.13831130569666866</v>
      </c>
      <c r="I382">
        <f t="shared" si="59"/>
        <v>0.14055597747207313</v>
      </c>
      <c r="J382">
        <f t="shared" si="60"/>
        <v>0.1405559774720731</v>
      </c>
    </row>
    <row r="383" spans="1:10" x14ac:dyDescent="0.3">
      <c r="A383" s="8">
        <f t="shared" si="56"/>
        <v>7.3269230769232649</v>
      </c>
      <c r="B383">
        <f t="shared" si="61"/>
        <v>67.326923076923265</v>
      </c>
      <c r="C383">
        <f t="shared" si="52"/>
        <v>3.8385359618029614E-2</v>
      </c>
      <c r="D383">
        <f t="shared" si="53"/>
        <v>3.8385359618029616E-3</v>
      </c>
      <c r="E383">
        <f t="shared" si="54"/>
        <v>2.794211858979798E-2</v>
      </c>
      <c r="F383" s="9">
        <f t="shared" si="55"/>
        <v>2.794211858979798E-2</v>
      </c>
      <c r="G383">
        <f t="shared" si="57"/>
        <v>0.72022511213116669</v>
      </c>
      <c r="H383">
        <f t="shared" si="58"/>
        <v>0.13875785203451643</v>
      </c>
      <c r="I383">
        <f t="shared" si="59"/>
        <v>0.14101703583431691</v>
      </c>
      <c r="J383">
        <f t="shared" si="60"/>
        <v>0.14101703583431688</v>
      </c>
    </row>
    <row r="384" spans="1:10" x14ac:dyDescent="0.3">
      <c r="A384" s="8">
        <f t="shared" si="56"/>
        <v>7.3461538461540385</v>
      </c>
      <c r="B384">
        <f t="shared" si="61"/>
        <v>67.346153846154039</v>
      </c>
      <c r="C384">
        <f t="shared" si="52"/>
        <v>3.8486414327138362E-2</v>
      </c>
      <c r="D384">
        <f t="shared" si="53"/>
        <v>3.8486414327138364E-3</v>
      </c>
      <c r="E384">
        <f t="shared" si="54"/>
        <v>2.7988333046752602E-2</v>
      </c>
      <c r="F384" s="9">
        <f t="shared" si="55"/>
        <v>2.7988333046752602E-2</v>
      </c>
      <c r="G384">
        <f t="shared" si="57"/>
        <v>0.71931668735377063</v>
      </c>
      <c r="H384">
        <f t="shared" si="58"/>
        <v>0.13920470366092527</v>
      </c>
      <c r="I384">
        <f t="shared" si="59"/>
        <v>0.14147860898530409</v>
      </c>
      <c r="J384">
        <f t="shared" si="60"/>
        <v>0.14147860898530409</v>
      </c>
    </row>
    <row r="385" spans="1:10" x14ac:dyDescent="0.3">
      <c r="A385" s="8">
        <f t="shared" si="56"/>
        <v>7.3653846153848122</v>
      </c>
      <c r="B385">
        <f t="shared" si="61"/>
        <v>67.365384615384812</v>
      </c>
      <c r="C385">
        <f t="shared" si="52"/>
        <v>3.8587737878093969E-2</v>
      </c>
      <c r="D385">
        <f t="shared" si="53"/>
        <v>3.8587737878093969E-3</v>
      </c>
      <c r="E385">
        <f t="shared" si="54"/>
        <v>2.8034625332101701E-2</v>
      </c>
      <c r="F385" s="9">
        <f t="shared" si="55"/>
        <v>2.8034625332101701E-2</v>
      </c>
      <c r="G385">
        <f t="shared" si="57"/>
        <v>0.71840744415985669</v>
      </c>
      <c r="H385">
        <f t="shared" si="58"/>
        <v>0.13965185872754157</v>
      </c>
      <c r="I385">
        <f t="shared" si="59"/>
        <v>0.14194069711260179</v>
      </c>
      <c r="J385">
        <f t="shared" si="60"/>
        <v>0.14194069711260174</v>
      </c>
    </row>
    <row r="386" spans="1:10" x14ac:dyDescent="0.3">
      <c r="A386" s="8">
        <f t="shared" si="56"/>
        <v>7.3846153846155858</v>
      </c>
      <c r="B386">
        <f t="shared" si="61"/>
        <v>67.384615384615586</v>
      </c>
      <c r="C386">
        <f t="shared" si="52"/>
        <v>3.8689330986112359E-2</v>
      </c>
      <c r="D386">
        <f t="shared" si="53"/>
        <v>3.8689330986112361E-3</v>
      </c>
      <c r="E386">
        <f t="shared" si="54"/>
        <v>2.808099557691382E-2</v>
      </c>
      <c r="F386" s="9">
        <f t="shared" si="55"/>
        <v>2.808099557691382E-2</v>
      </c>
      <c r="G386">
        <f t="shared" si="57"/>
        <v>0.71749738422243647</v>
      </c>
      <c r="H386">
        <f t="shared" si="58"/>
        <v>0.14009931537516998</v>
      </c>
      <c r="I386">
        <f t="shared" si="59"/>
        <v>0.14240330040239357</v>
      </c>
      <c r="J386">
        <f t="shared" si="60"/>
        <v>0.14240330040239355</v>
      </c>
    </row>
    <row r="387" spans="1:10" x14ac:dyDescent="0.3">
      <c r="A387" s="8">
        <f t="shared" si="56"/>
        <v>7.4038461538463594</v>
      </c>
      <c r="B387">
        <f t="shared" si="61"/>
        <v>67.403846153846359</v>
      </c>
      <c r="C387">
        <f t="shared" ref="C387:C450" si="62">$L$1 +$L$3 * EXP($L$5*B387)</f>
        <v>3.8791194368312215E-2</v>
      </c>
      <c r="D387">
        <f t="shared" ref="D387:D450" si="63">0.1 *C387</f>
        <v>3.8791194368312217E-3</v>
      </c>
      <c r="E387">
        <f t="shared" ref="E387:E450" si="64">$L$2 + $L$4 * EXP($L$6 *B387)</f>
        <v>2.8127443912478119E-2</v>
      </c>
      <c r="F387" s="9">
        <f t="shared" ref="F387:F450" si="65">E387</f>
        <v>2.8127443912478119E-2</v>
      </c>
      <c r="G387">
        <f t="shared" si="57"/>
        <v>0.7165865092267768</v>
      </c>
      <c r="H387">
        <f t="shared" si="58"/>
        <v>0.14054707173374931</v>
      </c>
      <c r="I387">
        <f t="shared" si="59"/>
        <v>0.14286641903947389</v>
      </c>
      <c r="J387">
        <f t="shared" si="60"/>
        <v>0.14286641903947389</v>
      </c>
    </row>
    <row r="388" spans="1:10" x14ac:dyDescent="0.3">
      <c r="A388" s="8">
        <f t="shared" ref="A388:A451" si="66">B388-60</f>
        <v>7.423076923077133</v>
      </c>
      <c r="B388">
        <f t="shared" si="61"/>
        <v>67.423076923077133</v>
      </c>
      <c r="C388">
        <f t="shared" si="62"/>
        <v>3.8893328743719993E-2</v>
      </c>
      <c r="D388">
        <f t="shared" si="63"/>
        <v>3.8893328743719994E-3</v>
      </c>
      <c r="E388">
        <f t="shared" si="64"/>
        <v>2.817397047030494E-2</v>
      </c>
      <c r="F388" s="9">
        <f t="shared" si="65"/>
        <v>2.817397047030494E-2</v>
      </c>
      <c r="G388">
        <f t="shared" ref="G388:G451" si="67">$L$7*(G387*(-C387-E387)+H387*D387)+G387</f>
        <v>0.71567482087042888</v>
      </c>
      <c r="H388">
        <f t="shared" ref="H388:H451" si="68">$L$7*(G387*C387+H387*(-D387-F387))+H387</f>
        <v>0.14099512592232855</v>
      </c>
      <c r="I388">
        <f t="shared" ref="I388:I451" si="69">$L$7*(G387*E387+H387*F387)+I387</f>
        <v>0.14333005320724251</v>
      </c>
      <c r="J388">
        <f t="shared" ref="J388:J451" si="70">1-G388-H388</f>
        <v>0.14333005320724257</v>
      </c>
    </row>
    <row r="389" spans="1:10" x14ac:dyDescent="0.3">
      <c r="A389" s="8">
        <f t="shared" si="66"/>
        <v>7.4423076923079066</v>
      </c>
      <c r="B389">
        <f t="shared" si="61"/>
        <v>67.442307692307907</v>
      </c>
      <c r="C389">
        <f t="shared" si="62"/>
        <v>3.899573483327496E-2</v>
      </c>
      <c r="D389">
        <f t="shared" si="63"/>
        <v>3.899573483327496E-3</v>
      </c>
      <c r="E389">
        <f t="shared" si="64"/>
        <v>2.8220575382126099E-2</v>
      </c>
      <c r="F389" s="9">
        <f t="shared" si="65"/>
        <v>2.8220575382126099E-2</v>
      </c>
      <c r="G389">
        <f t="shared" si="67"/>
        <v>0.71476232086325797</v>
      </c>
      <c r="H389">
        <f t="shared" si="68"/>
        <v>0.14144347604904292</v>
      </c>
      <c r="I389">
        <f t="shared" si="69"/>
        <v>0.143794203087699</v>
      </c>
      <c r="J389">
        <f t="shared" si="70"/>
        <v>0.14379420308769911</v>
      </c>
    </row>
    <row r="390" spans="1:10" x14ac:dyDescent="0.3">
      <c r="A390" s="8">
        <f t="shared" si="66"/>
        <v>7.4615384615386802</v>
      </c>
      <c r="B390">
        <f t="shared" si="61"/>
        <v>67.46153846153868</v>
      </c>
      <c r="C390">
        <f t="shared" si="62"/>
        <v>3.9098413359834543E-2</v>
      </c>
      <c r="D390">
        <f t="shared" si="63"/>
        <v>3.9098413359834544E-3</v>
      </c>
      <c r="E390">
        <f t="shared" si="64"/>
        <v>2.8267258779895187E-2</v>
      </c>
      <c r="F390" s="9">
        <f t="shared" si="65"/>
        <v>2.8267258779895187E-2</v>
      </c>
      <c r="G390">
        <f t="shared" si="67"/>
        <v>0.71384901092747266</v>
      </c>
      <c r="H390">
        <f t="shared" si="68"/>
        <v>0.14189212021109018</v>
      </c>
      <c r="I390">
        <f t="shared" si="69"/>
        <v>0.14425886886143702</v>
      </c>
      <c r="J390">
        <f t="shared" si="70"/>
        <v>0.14425886886143716</v>
      </c>
    </row>
    <row r="391" spans="1:10" x14ac:dyDescent="0.3">
      <c r="A391" s="8">
        <f t="shared" si="66"/>
        <v>7.4807692307694538</v>
      </c>
      <c r="B391">
        <f t="shared" si="61"/>
        <v>67.480769230769454</v>
      </c>
      <c r="C391">
        <f t="shared" si="62"/>
        <v>3.9201365048179018E-2</v>
      </c>
      <c r="D391">
        <f t="shared" si="63"/>
        <v>3.9201365048179022E-3</v>
      </c>
      <c r="E391">
        <f t="shared" si="64"/>
        <v>2.8314020795788097E-2</v>
      </c>
      <c r="F391" s="9">
        <f t="shared" si="65"/>
        <v>2.8314020795788097E-2</v>
      </c>
      <c r="G391">
        <f t="shared" si="67"/>
        <v>0.71293489279765421</v>
      </c>
      <c r="H391">
        <f t="shared" si="68"/>
        <v>0.14234105649470682</v>
      </c>
      <c r="I391">
        <f t="shared" si="69"/>
        <v>0.14472405070763883</v>
      </c>
      <c r="J391">
        <f t="shared" si="70"/>
        <v>0.14472405070763897</v>
      </c>
    </row>
    <row r="392" spans="1:10" x14ac:dyDescent="0.3">
      <c r="A392" s="8">
        <f t="shared" si="66"/>
        <v>7.5000000000002274</v>
      </c>
      <c r="B392">
        <f t="shared" si="61"/>
        <v>67.500000000000227</v>
      </c>
      <c r="C392">
        <f t="shared" si="62"/>
        <v>3.9304590625016914E-2</v>
      </c>
      <c r="D392">
        <f t="shared" si="63"/>
        <v>3.9304590625016912E-3</v>
      </c>
      <c r="E392">
        <f t="shared" si="64"/>
        <v>2.8360861562203236E-2</v>
      </c>
      <c r="F392" s="9">
        <f t="shared" si="65"/>
        <v>2.8360861562203236E-2</v>
      </c>
      <c r="G392">
        <f t="shared" si="67"/>
        <v>0.71201996822078573</v>
      </c>
      <c r="H392">
        <f t="shared" si="68"/>
        <v>0.14279028297514451</v>
      </c>
      <c r="I392">
        <f t="shared" si="69"/>
        <v>0.14518974880406962</v>
      </c>
      <c r="J392">
        <f t="shared" si="70"/>
        <v>0.14518974880406976</v>
      </c>
    </row>
    <row r="393" spans="1:10" x14ac:dyDescent="0.3">
      <c r="A393" s="8">
        <f t="shared" si="66"/>
        <v>7.519230769231001</v>
      </c>
      <c r="B393">
        <f t="shared" si="61"/>
        <v>67.519230769231001</v>
      </c>
      <c r="C393">
        <f t="shared" si="62"/>
        <v>3.940809081899007E-2</v>
      </c>
      <c r="D393">
        <f t="shared" si="63"/>
        <v>3.9408090818990075E-3</v>
      </c>
      <c r="E393">
        <f t="shared" si="64"/>
        <v>2.8407781211762063E-2</v>
      </c>
      <c r="F393" s="9">
        <f t="shared" si="65"/>
        <v>2.8407781211762063E-2</v>
      </c>
      <c r="G393">
        <f t="shared" si="67"/>
        <v>0.71110423895628128</v>
      </c>
      <c r="H393">
        <f t="shared" si="68"/>
        <v>0.14323979771664669</v>
      </c>
      <c r="I393">
        <f t="shared" si="69"/>
        <v>0.14565596332707192</v>
      </c>
      <c r="J393">
        <f t="shared" si="70"/>
        <v>0.14565596332707204</v>
      </c>
    </row>
    <row r="394" spans="1:10" x14ac:dyDescent="0.3">
      <c r="A394" s="8">
        <f t="shared" si="66"/>
        <v>7.5384615384617746</v>
      </c>
      <c r="B394">
        <f t="shared" si="61"/>
        <v>67.538461538461775</v>
      </c>
      <c r="C394">
        <f t="shared" si="62"/>
        <v>3.9511866360678764E-2</v>
      </c>
      <c r="D394">
        <f t="shared" si="63"/>
        <v>3.9511866360678769E-3</v>
      </c>
      <c r="E394">
        <f t="shared" si="64"/>
        <v>2.8454779877309294E-2</v>
      </c>
      <c r="F394" s="9">
        <f t="shared" si="65"/>
        <v>2.8454779877309294E-2</v>
      </c>
      <c r="G394">
        <f t="shared" si="67"/>
        <v>0.71018770677601484</v>
      </c>
      <c r="H394">
        <f t="shared" si="68"/>
        <v>0.14368959877242507</v>
      </c>
      <c r="I394">
        <f t="shared" si="69"/>
        <v>0.14612269445155995</v>
      </c>
      <c r="J394">
        <f t="shared" si="70"/>
        <v>0.14612269445156009</v>
      </c>
    </row>
    <row r="395" spans="1:10" x14ac:dyDescent="0.3">
      <c r="A395" s="8">
        <f t="shared" si="66"/>
        <v>7.5576923076925482</v>
      </c>
      <c r="B395">
        <f t="shared" si="61"/>
        <v>67.557692307692548</v>
      </c>
      <c r="C395">
        <f t="shared" si="62"/>
        <v>3.9615917982606878E-2</v>
      </c>
      <c r="D395">
        <f t="shared" si="63"/>
        <v>3.961591798260688E-3</v>
      </c>
      <c r="E395">
        <f t="shared" si="64"/>
        <v>2.8501857691913424E-2</v>
      </c>
      <c r="F395" s="9">
        <f t="shared" si="65"/>
        <v>2.8501857691913424E-2</v>
      </c>
      <c r="G395">
        <f t="shared" si="67"/>
        <v>0.7092703734643494</v>
      </c>
      <c r="H395">
        <f t="shared" si="68"/>
        <v>0.14413968418463644</v>
      </c>
      <c r="I395">
        <f t="shared" si="69"/>
        <v>0.146589942351014</v>
      </c>
      <c r="J395">
        <f t="shared" si="70"/>
        <v>0.14658994235101416</v>
      </c>
    </row>
    <row r="396" spans="1:10" x14ac:dyDescent="0.3">
      <c r="A396" s="8">
        <f t="shared" si="66"/>
        <v>7.5769230769233218</v>
      </c>
      <c r="B396">
        <f t="shared" si="61"/>
        <v>67.576923076923322</v>
      </c>
      <c r="C396">
        <f t="shared" si="62"/>
        <v>3.9720246419247075E-2</v>
      </c>
      <c r="D396">
        <f t="shared" si="63"/>
        <v>3.972024641924708E-3</v>
      </c>
      <c r="E396">
        <f t="shared" si="64"/>
        <v>2.8549014788867063E-2</v>
      </c>
      <c r="F396" s="9">
        <f t="shared" si="65"/>
        <v>2.8549014788867063E-2</v>
      </c>
      <c r="G396">
        <f t="shared" si="67"/>
        <v>0.70835224081816561</v>
      </c>
      <c r="H396">
        <f t="shared" si="68"/>
        <v>0.14459005198435948</v>
      </c>
      <c r="I396">
        <f t="shared" si="69"/>
        <v>0.14705770719747474</v>
      </c>
      <c r="J396">
        <f t="shared" si="70"/>
        <v>0.14705770719747491</v>
      </c>
    </row>
    <row r="397" spans="1:10" x14ac:dyDescent="0.3">
      <c r="A397" s="8">
        <f t="shared" si="66"/>
        <v>7.5961538461540954</v>
      </c>
      <c r="B397">
        <f t="shared" si="61"/>
        <v>67.596153846154095</v>
      </c>
      <c r="C397">
        <f t="shared" si="62"/>
        <v>3.9824852407025997E-2</v>
      </c>
      <c r="D397">
        <f t="shared" si="63"/>
        <v>3.9824852407026002E-3</v>
      </c>
      <c r="E397">
        <f t="shared" si="64"/>
        <v>2.859625130168721E-2</v>
      </c>
      <c r="F397" s="9">
        <f t="shared" si="65"/>
        <v>2.859625130168721E-2</v>
      </c>
      <c r="G397">
        <f t="shared" si="67"/>
        <v>0.70743331064689041</v>
      </c>
      <c r="H397">
        <f t="shared" si="68"/>
        <v>0.14504070019157178</v>
      </c>
      <c r="I397">
        <f t="shared" si="69"/>
        <v>0.14752598916153761</v>
      </c>
      <c r="J397">
        <f t="shared" si="70"/>
        <v>0.14752598916153781</v>
      </c>
    </row>
    <row r="398" spans="1:10" x14ac:dyDescent="0.3">
      <c r="A398" s="8">
        <f t="shared" si="66"/>
        <v>7.615384615384869</v>
      </c>
      <c r="B398">
        <f t="shared" si="61"/>
        <v>67.615384615384869</v>
      </c>
      <c r="C398">
        <f t="shared" si="62"/>
        <v>3.9929736684329413E-2</v>
      </c>
      <c r="D398">
        <f t="shared" si="63"/>
        <v>3.9929736684329413E-3</v>
      </c>
      <c r="E398">
        <f t="shared" si="64"/>
        <v>2.8643567364115816E-2</v>
      </c>
      <c r="F398" s="9">
        <f t="shared" si="65"/>
        <v>2.8643567364115816E-2</v>
      </c>
      <c r="G398">
        <f t="shared" si="67"/>
        <v>0.7065135847725259</v>
      </c>
      <c r="H398">
        <f t="shared" si="68"/>
        <v>0.14549162681512681</v>
      </c>
      <c r="I398">
        <f t="shared" si="69"/>
        <v>0.14799478841234712</v>
      </c>
      <c r="J398">
        <f t="shared" si="70"/>
        <v>0.14799478841234728</v>
      </c>
    </row>
    <row r="399" spans="1:10" x14ac:dyDescent="0.3">
      <c r="A399" s="8">
        <f t="shared" si="66"/>
        <v>7.6346153846156426</v>
      </c>
      <c r="B399">
        <f t="shared" si="61"/>
        <v>67.634615384615643</v>
      </c>
      <c r="C399">
        <f t="shared" si="62"/>
        <v>4.0034899991507486E-2</v>
      </c>
      <c r="D399">
        <f t="shared" si="63"/>
        <v>4.0034899991507489E-3</v>
      </c>
      <c r="E399">
        <f t="shared" si="64"/>
        <v>2.8690963110119962E-2</v>
      </c>
      <c r="F399" s="9">
        <f t="shared" si="65"/>
        <v>2.8690963110119962E-2</v>
      </c>
      <c r="G399">
        <f t="shared" si="67"/>
        <v>0.70559306502967756</v>
      </c>
      <c r="H399">
        <f t="shared" si="68"/>
        <v>0.14594282985273113</v>
      </c>
      <c r="I399">
        <f t="shared" si="69"/>
        <v>0.14846410511759112</v>
      </c>
      <c r="J399">
        <f t="shared" si="70"/>
        <v>0.14846410511759131</v>
      </c>
    </row>
    <row r="400" spans="1:10" x14ac:dyDescent="0.3">
      <c r="A400" s="8">
        <f t="shared" si="66"/>
        <v>7.6538461538464162</v>
      </c>
      <c r="B400">
        <f t="shared" si="61"/>
        <v>67.653846153846416</v>
      </c>
      <c r="C400">
        <f t="shared" si="62"/>
        <v>4.0140343070879964E-2</v>
      </c>
      <c r="D400">
        <f t="shared" si="63"/>
        <v>4.0140343070879962E-3</v>
      </c>
      <c r="E400">
        <f t="shared" si="64"/>
        <v>2.8738438673892443E-2</v>
      </c>
      <c r="F400" s="9">
        <f t="shared" si="65"/>
        <v>2.8738438673892443E-2</v>
      </c>
      <c r="G400">
        <f t="shared" si="67"/>
        <v>0.70467175326558285</v>
      </c>
      <c r="H400">
        <f t="shared" si="68"/>
        <v>0.1463943072909217</v>
      </c>
      <c r="I400">
        <f t="shared" si="69"/>
        <v>0.14893393944349523</v>
      </c>
      <c r="J400">
        <f t="shared" si="70"/>
        <v>0.14893393944349545</v>
      </c>
    </row>
    <row r="401" spans="1:10" x14ac:dyDescent="0.3">
      <c r="A401" s="8">
        <f t="shared" si="66"/>
        <v>7.6730769230771898</v>
      </c>
      <c r="B401">
        <f t="shared" si="61"/>
        <v>67.67307692307719</v>
      </c>
      <c r="C401">
        <f t="shared" si="62"/>
        <v>4.0246066666741458E-2</v>
      </c>
      <c r="D401">
        <f t="shared" si="63"/>
        <v>4.0246066666741456E-3</v>
      </c>
      <c r="E401">
        <f t="shared" si="64"/>
        <v>2.8785994189851942E-2</v>
      </c>
      <c r="F401" s="9">
        <f t="shared" si="65"/>
        <v>2.8785994189851942E-2</v>
      </c>
      <c r="G401">
        <f t="shared" si="67"/>
        <v>0.70374965134013945</v>
      </c>
      <c r="H401">
        <f t="shared" si="68"/>
        <v>0.14684605710504331</v>
      </c>
      <c r="I401">
        <f t="shared" si="69"/>
        <v>0.14940429155481705</v>
      </c>
      <c r="J401">
        <f t="shared" si="70"/>
        <v>0.14940429155481724</v>
      </c>
    </row>
    <row r="402" spans="1:10" x14ac:dyDescent="0.3">
      <c r="A402" s="8">
        <f t="shared" si="66"/>
        <v>7.6923076923079634</v>
      </c>
      <c r="B402">
        <f t="shared" si="61"/>
        <v>67.692307692307963</v>
      </c>
      <c r="C402">
        <f t="shared" si="62"/>
        <v>4.0352071525366622E-2</v>
      </c>
      <c r="D402">
        <f t="shared" si="63"/>
        <v>4.035207152536662E-3</v>
      </c>
      <c r="E402">
        <f t="shared" si="64"/>
        <v>2.8833629792643589E-2</v>
      </c>
      <c r="F402" s="9">
        <f t="shared" si="65"/>
        <v>2.8833629792643589E-2</v>
      </c>
      <c r="G402">
        <f t="shared" si="67"/>
        <v>0.70282676112593334</v>
      </c>
      <c r="H402">
        <f t="shared" si="68"/>
        <v>0.14729807725922606</v>
      </c>
      <c r="I402">
        <f t="shared" si="69"/>
        <v>0.14987516161484044</v>
      </c>
      <c r="J402">
        <f t="shared" si="70"/>
        <v>0.1498751616148406</v>
      </c>
    </row>
    <row r="403" spans="1:10" x14ac:dyDescent="0.3">
      <c r="A403" s="8">
        <f t="shared" si="66"/>
        <v>7.711538461538737</v>
      </c>
      <c r="B403">
        <f t="shared" si="61"/>
        <v>67.711538461538737</v>
      </c>
      <c r="C403">
        <f t="shared" si="62"/>
        <v>4.045835839501552E-2</v>
      </c>
      <c r="D403">
        <f t="shared" si="63"/>
        <v>4.0458358395015518E-3</v>
      </c>
      <c r="E403">
        <f t="shared" si="64"/>
        <v>2.8881345617139263E-2</v>
      </c>
      <c r="F403" s="9">
        <f t="shared" si="65"/>
        <v>2.8881345617139263E-2</v>
      </c>
      <c r="G403">
        <f t="shared" si="67"/>
        <v>0.70190308450826699</v>
      </c>
      <c r="H403">
        <f t="shared" si="68"/>
        <v>0.14775036570636305</v>
      </c>
      <c r="I403">
        <f t="shared" si="69"/>
        <v>0.15034654978536982</v>
      </c>
      <c r="J403">
        <f t="shared" si="70"/>
        <v>0.15034654978536996</v>
      </c>
    </row>
    <row r="404" spans="1:10" x14ac:dyDescent="0.3">
      <c r="A404" s="8">
        <f t="shared" si="66"/>
        <v>7.7307692307695106</v>
      </c>
      <c r="B404">
        <f t="shared" si="61"/>
        <v>67.730769230769511</v>
      </c>
      <c r="C404">
        <f t="shared" si="62"/>
        <v>4.0564928025938814E-2</v>
      </c>
      <c r="D404">
        <f t="shared" si="63"/>
        <v>4.0564928025938812E-3</v>
      </c>
      <c r="E404">
        <f t="shared" si="64"/>
        <v>2.8929141798437905E-2</v>
      </c>
      <c r="F404" s="9">
        <f t="shared" si="65"/>
        <v>2.8929141798437905E-2</v>
      </c>
      <c r="G404">
        <f t="shared" si="67"/>
        <v>0.70097862338518724</v>
      </c>
      <c r="H404">
        <f t="shared" si="68"/>
        <v>0.14820292038808813</v>
      </c>
      <c r="I404">
        <f t="shared" si="69"/>
        <v>0.15081845622672452</v>
      </c>
      <c r="J404">
        <f t="shared" si="70"/>
        <v>0.15081845622672463</v>
      </c>
    </row>
    <row r="405" spans="1:10" x14ac:dyDescent="0.3">
      <c r="A405" s="8">
        <f t="shared" si="66"/>
        <v>7.7500000000002842</v>
      </c>
      <c r="B405">
        <f t="shared" si="61"/>
        <v>67.750000000000284</v>
      </c>
      <c r="C405">
        <f t="shared" si="62"/>
        <v>4.0671781170383149E-2</v>
      </c>
      <c r="D405">
        <f t="shared" si="63"/>
        <v>4.0671781170383151E-3</v>
      </c>
      <c r="E405">
        <f t="shared" si="64"/>
        <v>2.8977018471866074E-2</v>
      </c>
      <c r="F405" s="9">
        <f t="shared" si="65"/>
        <v>2.8977018471866074E-2</v>
      </c>
      <c r="G405">
        <f t="shared" si="67"/>
        <v>0.70005337966751324</v>
      </c>
      <c r="H405">
        <f t="shared" si="68"/>
        <v>0.14865573923475381</v>
      </c>
      <c r="I405">
        <f t="shared" si="69"/>
        <v>0.15129088109773287</v>
      </c>
      <c r="J405">
        <f t="shared" si="70"/>
        <v>0.15129088109773295</v>
      </c>
    </row>
    <row r="406" spans="1:10" x14ac:dyDescent="0.3">
      <c r="A406" s="8">
        <f t="shared" si="66"/>
        <v>7.7692307692310578</v>
      </c>
      <c r="B406">
        <f t="shared" si="61"/>
        <v>67.769230769231058</v>
      </c>
      <c r="C406">
        <f t="shared" si="62"/>
        <v>4.0778918582596371E-2</v>
      </c>
      <c r="D406">
        <f t="shared" si="63"/>
        <v>4.0778918582596371E-3</v>
      </c>
      <c r="E406">
        <f t="shared" si="64"/>
        <v>2.9024975772978117E-2</v>
      </c>
      <c r="F406" s="9">
        <f t="shared" si="65"/>
        <v>2.9024975772978117E-2</v>
      </c>
      <c r="G406">
        <f t="shared" si="67"/>
        <v>0.69912735527886416</v>
      </c>
      <c r="H406">
        <f t="shared" si="68"/>
        <v>0.14910882016540924</v>
      </c>
      <c r="I406">
        <f t="shared" si="69"/>
        <v>0.15176382455572657</v>
      </c>
      <c r="J406">
        <f t="shared" si="70"/>
        <v>0.1517638245557266</v>
      </c>
    </row>
    <row r="407" spans="1:10" x14ac:dyDescent="0.3">
      <c r="A407" s="8">
        <f t="shared" si="66"/>
        <v>7.7884615384618314</v>
      </c>
      <c r="B407">
        <f t="shared" si="61"/>
        <v>67.788461538461831</v>
      </c>
      <c r="C407">
        <f t="shared" si="62"/>
        <v>4.0886341018832921E-2</v>
      </c>
      <c r="D407">
        <f t="shared" si="63"/>
        <v>4.0886341018832924E-3</v>
      </c>
      <c r="E407">
        <f t="shared" si="64"/>
        <v>2.9073013837556772E-2</v>
      </c>
      <c r="F407" s="9">
        <f t="shared" si="65"/>
        <v>2.9073013837556772E-2</v>
      </c>
      <c r="G407">
        <f t="shared" si="67"/>
        <v>0.69820055215568666</v>
      </c>
      <c r="H407">
        <f t="shared" si="68"/>
        <v>0.14956216108777842</v>
      </c>
      <c r="I407">
        <f t="shared" si="69"/>
        <v>0.15223728675653492</v>
      </c>
      <c r="J407">
        <f t="shared" si="70"/>
        <v>0.15223728675653492</v>
      </c>
    </row>
    <row r="408" spans="1:10" x14ac:dyDescent="0.3">
      <c r="A408" s="8">
        <f t="shared" si="66"/>
        <v>7.807692307692605</v>
      </c>
      <c r="B408">
        <f t="shared" si="61"/>
        <v>67.807692307692605</v>
      </c>
      <c r="C408">
        <f t="shared" si="62"/>
        <v>4.0994049237359144E-2</v>
      </c>
      <c r="D408">
        <f t="shared" si="63"/>
        <v>4.0994049237359142E-3</v>
      </c>
      <c r="E408">
        <f t="shared" si="64"/>
        <v>2.9121132801613353E-2</v>
      </c>
      <c r="F408" s="9">
        <f t="shared" si="65"/>
        <v>2.9121132801613353E-2</v>
      </c>
      <c r="G408">
        <f t="shared" si="67"/>
        <v>0.69727297224728257</v>
      </c>
      <c r="H408">
        <f t="shared" si="68"/>
        <v>0.15001575989823843</v>
      </c>
      <c r="I408">
        <f t="shared" si="69"/>
        <v>0.152711267854479</v>
      </c>
      <c r="J408">
        <f t="shared" si="70"/>
        <v>0.152711267854479</v>
      </c>
    </row>
    <row r="409" spans="1:10" x14ac:dyDescent="0.3">
      <c r="A409" s="8">
        <f t="shared" si="66"/>
        <v>7.8269230769233786</v>
      </c>
      <c r="B409">
        <f t="shared" si="61"/>
        <v>67.826923076923379</v>
      </c>
      <c r="C409">
        <f t="shared" si="62"/>
        <v>4.1102043998458633E-2</v>
      </c>
      <c r="D409">
        <f t="shared" si="63"/>
        <v>4.1102043998458631E-3</v>
      </c>
      <c r="E409">
        <f t="shared" si="64"/>
        <v>2.9169332801388285E-2</v>
      </c>
      <c r="F409" s="9">
        <f t="shared" si="65"/>
        <v>2.9169332801388285E-2</v>
      </c>
      <c r="G409">
        <f t="shared" si="67"/>
        <v>0.69634461751583621</v>
      </c>
      <c r="H409">
        <f t="shared" si="68"/>
        <v>0.15046961448179783</v>
      </c>
      <c r="I409">
        <f t="shared" si="69"/>
        <v>0.15318576800236594</v>
      </c>
      <c r="J409">
        <f t="shared" si="70"/>
        <v>0.15318576800236597</v>
      </c>
    </row>
    <row r="410" spans="1:10" x14ac:dyDescent="0.3">
      <c r="A410" s="8">
        <f t="shared" si="66"/>
        <v>7.8461538461541522</v>
      </c>
      <c r="B410">
        <f t="shared" si="61"/>
        <v>67.846153846154152</v>
      </c>
      <c r="C410">
        <f t="shared" si="62"/>
        <v>4.1210326064437641E-2</v>
      </c>
      <c r="D410">
        <f t="shared" si="63"/>
        <v>4.1210326064437643E-3</v>
      </c>
      <c r="E410">
        <f t="shared" si="64"/>
        <v>2.9217613973351448E-2</v>
      </c>
      <c r="F410" s="9">
        <f t="shared" si="65"/>
        <v>2.9217613973351448E-2</v>
      </c>
      <c r="G410">
        <f t="shared" si="67"/>
        <v>0.69541548993644164</v>
      </c>
      <c r="H410">
        <f t="shared" si="68"/>
        <v>0.15092372271207519</v>
      </c>
      <c r="I410">
        <f t="shared" si="69"/>
        <v>0.15366078735148309</v>
      </c>
      <c r="J410">
        <f t="shared" si="70"/>
        <v>0.15366078735148317</v>
      </c>
    </row>
    <row r="411" spans="1:10" x14ac:dyDescent="0.3">
      <c r="A411" s="8">
        <f t="shared" si="66"/>
        <v>7.8653846153849258</v>
      </c>
      <c r="B411">
        <f t="shared" si="61"/>
        <v>67.865384615384926</v>
      </c>
      <c r="C411">
        <f t="shared" si="62"/>
        <v>4.1318896199630403E-2</v>
      </c>
      <c r="D411">
        <f t="shared" si="63"/>
        <v>4.1318896199630407E-3</v>
      </c>
      <c r="E411">
        <f t="shared" si="64"/>
        <v>2.9265976454202456E-2</v>
      </c>
      <c r="F411" s="9">
        <f t="shared" si="65"/>
        <v>2.9265976454202456E-2</v>
      </c>
      <c r="G411">
        <f t="shared" si="67"/>
        <v>0.69448559149712985</v>
      </c>
      <c r="H411">
        <f t="shared" si="68"/>
        <v>0.15137808245127782</v>
      </c>
      <c r="I411">
        <f t="shared" si="69"/>
        <v>0.15413632605159222</v>
      </c>
      <c r="J411">
        <f t="shared" si="70"/>
        <v>0.15413632605159233</v>
      </c>
    </row>
    <row r="412" spans="1:10" x14ac:dyDescent="0.3">
      <c r="A412" s="8">
        <f t="shared" si="66"/>
        <v>7.8846153846156994</v>
      </c>
      <c r="B412">
        <f t="shared" si="61"/>
        <v>67.884615384615699</v>
      </c>
      <c r="C412">
        <f t="shared" si="62"/>
        <v>4.1427755170404555E-2</v>
      </c>
      <c r="D412">
        <f t="shared" si="63"/>
        <v>4.142775517040456E-3</v>
      </c>
      <c r="E412">
        <f t="shared" si="64"/>
        <v>2.9314420380871242E-2</v>
      </c>
      <c r="F412" s="9">
        <f t="shared" si="65"/>
        <v>2.9314420380871242E-2</v>
      </c>
      <c r="G412">
        <f t="shared" si="67"/>
        <v>0.69355492419889564</v>
      </c>
      <c r="H412">
        <f t="shared" si="68"/>
        <v>0.15183269155018045</v>
      </c>
      <c r="I412">
        <f t="shared" si="69"/>
        <v>0.15461238425092375</v>
      </c>
      <c r="J412">
        <f t="shared" si="70"/>
        <v>0.15461238425092391</v>
      </c>
    </row>
    <row r="413" spans="1:10" x14ac:dyDescent="0.3">
      <c r="A413" s="8">
        <f t="shared" si="66"/>
        <v>7.903846153846473</v>
      </c>
      <c r="B413">
        <f t="shared" si="61"/>
        <v>67.903846153846473</v>
      </c>
      <c r="C413">
        <f t="shared" si="62"/>
        <v>4.153690374516656E-2</v>
      </c>
      <c r="D413">
        <f t="shared" si="63"/>
        <v>4.1536903745166562E-3</v>
      </c>
      <c r="E413">
        <f t="shared" si="64"/>
        <v>2.9362945890518247E-2</v>
      </c>
      <c r="F413" s="9">
        <f t="shared" si="65"/>
        <v>2.9362945890518247E-2</v>
      </c>
      <c r="G413">
        <f t="shared" si="67"/>
        <v>0.69262349005572466</v>
      </c>
      <c r="H413">
        <f t="shared" si="68"/>
        <v>0.15228754784810428</v>
      </c>
      <c r="I413">
        <f t="shared" si="69"/>
        <v>0.15508896209617087</v>
      </c>
      <c r="J413">
        <f t="shared" si="70"/>
        <v>0.15508896209617107</v>
      </c>
    </row>
    <row r="414" spans="1:10" x14ac:dyDescent="0.3">
      <c r="A414" s="8">
        <f t="shared" si="66"/>
        <v>7.9230769230772466</v>
      </c>
      <c r="B414">
        <f t="shared" si="61"/>
        <v>67.923076923077247</v>
      </c>
      <c r="C414">
        <f t="shared" si="62"/>
        <v>4.1646342694367122E-2</v>
      </c>
      <c r="D414">
        <f t="shared" si="63"/>
        <v>4.164634269436712E-3</v>
      </c>
      <c r="E414">
        <f t="shared" si="64"/>
        <v>2.9411553120534985E-2</v>
      </c>
      <c r="F414" s="9">
        <f t="shared" si="65"/>
        <v>2.9411553120534985E-2</v>
      </c>
      <c r="G414">
        <f t="shared" si="67"/>
        <v>0.69169129109462002</v>
      </c>
      <c r="H414">
        <f t="shared" si="68"/>
        <v>0.15274264917289596</v>
      </c>
      <c r="I414">
        <f t="shared" si="69"/>
        <v>0.1555660597324838</v>
      </c>
      <c r="J414">
        <f t="shared" si="70"/>
        <v>0.15556605973248402</v>
      </c>
    </row>
    <row r="415" spans="1:10" x14ac:dyDescent="0.3">
      <c r="A415" s="8">
        <f t="shared" si="66"/>
        <v>7.9423076923080203</v>
      </c>
      <c r="B415">
        <f t="shared" si="61"/>
        <v>67.94230769230802</v>
      </c>
      <c r="C415">
        <f t="shared" si="62"/>
        <v>4.1756072790506603E-2</v>
      </c>
      <c r="D415">
        <f t="shared" si="63"/>
        <v>4.1756072790506606E-3</v>
      </c>
      <c r="E415">
        <f t="shared" si="64"/>
        <v>2.9460242208544252E-2</v>
      </c>
      <c r="F415" s="9">
        <f t="shared" si="65"/>
        <v>2.9460242208544252E-2</v>
      </c>
      <c r="G415">
        <f t="shared" si="67"/>
        <v>0.69075832935562909</v>
      </c>
      <c r="H415">
        <f t="shared" si="68"/>
        <v>0.15319799334090684</v>
      </c>
      <c r="I415">
        <f t="shared" si="69"/>
        <v>0.15604367730346383</v>
      </c>
      <c r="J415">
        <f t="shared" si="70"/>
        <v>0.15604367730346408</v>
      </c>
    </row>
    <row r="416" spans="1:10" x14ac:dyDescent="0.3">
      <c r="A416" s="8">
        <f t="shared" si="66"/>
        <v>7.9615384615387939</v>
      </c>
      <c r="B416">
        <f t="shared" si="61"/>
        <v>67.961538461538794</v>
      </c>
      <c r="C416">
        <f t="shared" si="62"/>
        <v>4.1866094808140505E-2</v>
      </c>
      <c r="D416">
        <f t="shared" si="63"/>
        <v>4.1866094808140509E-3</v>
      </c>
      <c r="E416">
        <f t="shared" si="64"/>
        <v>2.9509013292400698E-2</v>
      </c>
      <c r="F416" s="9">
        <f t="shared" si="65"/>
        <v>2.9509013292400698E-2</v>
      </c>
      <c r="G416">
        <f t="shared" si="67"/>
        <v>0.68982460689186986</v>
      </c>
      <c r="H416">
        <f t="shared" si="68"/>
        <v>0.15365357815697234</v>
      </c>
      <c r="I416">
        <f t="shared" si="69"/>
        <v>0.15652181495115752</v>
      </c>
      <c r="J416">
        <f t="shared" si="70"/>
        <v>0.1565218149511578</v>
      </c>
    </row>
    <row r="417" spans="1:10" x14ac:dyDescent="0.3">
      <c r="A417" s="8">
        <f t="shared" si="66"/>
        <v>7.9807692307695675</v>
      </c>
      <c r="B417">
        <f t="shared" si="61"/>
        <v>67.980769230769567</v>
      </c>
      <c r="C417">
        <f t="shared" si="62"/>
        <v>4.1976409523884921E-2</v>
      </c>
      <c r="D417">
        <f t="shared" si="63"/>
        <v>4.1976409523884926E-3</v>
      </c>
      <c r="E417">
        <f t="shared" si="64"/>
        <v>2.955786651019111E-2</v>
      </c>
      <c r="F417" s="9">
        <f t="shared" si="65"/>
        <v>2.955786651019111E-2</v>
      </c>
      <c r="G417">
        <f t="shared" si="67"/>
        <v>0.68889012576955744</v>
      </c>
      <c r="H417">
        <f t="shared" si="68"/>
        <v>0.15410940141439139</v>
      </c>
      <c r="I417">
        <f t="shared" si="69"/>
        <v>0.15700047281605092</v>
      </c>
      <c r="J417">
        <f t="shared" si="70"/>
        <v>0.15700047281605117</v>
      </c>
    </row>
    <row r="418" spans="1:10" x14ac:dyDescent="0.3">
      <c r="A418" s="8">
        <f t="shared" si="66"/>
        <v>8.0000000000003411</v>
      </c>
      <c r="B418">
        <f t="shared" ref="B418:B436" si="71">B417+$L$7</f>
        <v>68.000000000000341</v>
      </c>
      <c r="C418">
        <f t="shared" si="62"/>
        <v>4.208701771642203E-2</v>
      </c>
      <c r="D418">
        <f t="shared" si="63"/>
        <v>4.2087017716422028E-3</v>
      </c>
      <c r="E418">
        <f t="shared" si="64"/>
        <v>2.9606802000234755E-2</v>
      </c>
      <c r="F418" s="9">
        <f t="shared" si="65"/>
        <v>2.9606802000234755E-2</v>
      </c>
      <c r="G418">
        <f t="shared" si="67"/>
        <v>0.68795488806803007</v>
      </c>
      <c r="H418">
        <f t="shared" si="68"/>
        <v>0.15456546089490614</v>
      </c>
      <c r="I418">
        <f t="shared" si="69"/>
        <v>0.15747965103706357</v>
      </c>
      <c r="J418">
        <f t="shared" si="70"/>
        <v>0.15747965103706379</v>
      </c>
    </row>
    <row r="419" spans="1:10" x14ac:dyDescent="0.3">
      <c r="A419" s="8">
        <f t="shared" si="66"/>
        <v>8.0192307692311147</v>
      </c>
      <c r="B419">
        <f t="shared" si="71"/>
        <v>68.019230769231115</v>
      </c>
      <c r="C419">
        <f t="shared" si="62"/>
        <v>4.2197920166505587E-2</v>
      </c>
      <c r="D419">
        <f t="shared" si="63"/>
        <v>4.2197920166505585E-3</v>
      </c>
      <c r="E419">
        <f t="shared" si="64"/>
        <v>2.965581990108395E-2</v>
      </c>
      <c r="F419" s="9">
        <f t="shared" si="65"/>
        <v>2.965581990108395E-2</v>
      </c>
      <c r="G419">
        <f t="shared" si="67"/>
        <v>0.68701889587977549</v>
      </c>
      <c r="H419">
        <f t="shared" si="68"/>
        <v>0.15502175436868162</v>
      </c>
      <c r="I419">
        <f t="shared" si="69"/>
        <v>0.15795934975154269</v>
      </c>
      <c r="J419">
        <f t="shared" si="70"/>
        <v>0.15795934975154288</v>
      </c>
    </row>
    <row r="420" spans="1:10" x14ac:dyDescent="0.3">
      <c r="A420" s="8">
        <f t="shared" si="66"/>
        <v>8.0384615384618883</v>
      </c>
      <c r="B420">
        <f t="shared" si="71"/>
        <v>68.038461538461888</v>
      </c>
      <c r="C420">
        <f t="shared" si="62"/>
        <v>4.2309117656966412E-2</v>
      </c>
      <c r="D420">
        <f t="shared" si="63"/>
        <v>4.230911765696641E-3</v>
      </c>
      <c r="E420">
        <f t="shared" si="64"/>
        <v>2.9704920351524229E-2</v>
      </c>
      <c r="F420" s="9">
        <f t="shared" si="65"/>
        <v>2.9704920351524229E-2</v>
      </c>
      <c r="G420">
        <f t="shared" si="67"/>
        <v>0.68608215131045669</v>
      </c>
      <c r="H420">
        <f t="shared" si="68"/>
        <v>0.15547827959428578</v>
      </c>
      <c r="I420">
        <f t="shared" si="69"/>
        <v>0.1584395690952573</v>
      </c>
      <c r="J420">
        <f t="shared" si="70"/>
        <v>0.15843956909525753</v>
      </c>
    </row>
    <row r="421" spans="1:10" x14ac:dyDescent="0.3">
      <c r="A421" s="8">
        <f t="shared" si="66"/>
        <v>8.0576923076926619</v>
      </c>
      <c r="B421">
        <f t="shared" si="71"/>
        <v>68.057692307692662</v>
      </c>
      <c r="C421">
        <f t="shared" si="62"/>
        <v>4.2420610972717959E-2</v>
      </c>
      <c r="D421">
        <f t="shared" si="63"/>
        <v>4.2420610972717957E-3</v>
      </c>
      <c r="E421">
        <f t="shared" si="64"/>
        <v>2.9754103490574963E-2</v>
      </c>
      <c r="F421" s="9">
        <f t="shared" si="65"/>
        <v>2.9754103490574963E-2</v>
      </c>
      <c r="G421">
        <f t="shared" si="67"/>
        <v>0.68514465647893796</v>
      </c>
      <c r="H421">
        <f t="shared" si="68"/>
        <v>0.15593503431866948</v>
      </c>
      <c r="I421">
        <f t="shared" si="69"/>
        <v>0.15892030920239231</v>
      </c>
      <c r="J421">
        <f t="shared" si="70"/>
        <v>0.15892030920239256</v>
      </c>
    </row>
    <row r="422" spans="1:10" x14ac:dyDescent="0.3">
      <c r="A422" s="8">
        <f t="shared" si="66"/>
        <v>8.0769230769234355</v>
      </c>
      <c r="B422">
        <f t="shared" si="71"/>
        <v>68.076923076923435</v>
      </c>
      <c r="C422">
        <f t="shared" si="62"/>
        <v>4.2532400900761831E-2</v>
      </c>
      <c r="D422">
        <f t="shared" si="63"/>
        <v>4.2532400900761836E-3</v>
      </c>
      <c r="E422">
        <f t="shared" si="64"/>
        <v>2.9803369457489522E-2</v>
      </c>
      <c r="F422" s="9">
        <f t="shared" si="65"/>
        <v>2.9803369457489522E-2</v>
      </c>
      <c r="G422">
        <f t="shared" si="67"/>
        <v>0.68420641351731037</v>
      </c>
      <c r="H422">
        <f t="shared" si="68"/>
        <v>0.1563920162771468</v>
      </c>
      <c r="I422">
        <f t="shared" si="69"/>
        <v>0.15940157020554255</v>
      </c>
      <c r="J422">
        <f t="shared" si="70"/>
        <v>0.15940157020554283</v>
      </c>
    </row>
    <row r="423" spans="1:10" x14ac:dyDescent="0.3">
      <c r="A423" s="8">
        <f t="shared" si="66"/>
        <v>8.0961538461542091</v>
      </c>
      <c r="B423">
        <f t="shared" si="71"/>
        <v>68.096153846154209</v>
      </c>
      <c r="C423">
        <f t="shared" si="62"/>
        <v>4.2644488230193324E-2</v>
      </c>
      <c r="D423">
        <f t="shared" si="63"/>
        <v>4.2644488230193329E-3</v>
      </c>
      <c r="E423">
        <f t="shared" si="64"/>
        <v>2.9852718391755892E-2</v>
      </c>
      <c r="F423" s="9">
        <f t="shared" si="65"/>
        <v>2.9852718391755892E-2</v>
      </c>
      <c r="G423">
        <f t="shared" si="67"/>
        <v>0.68326742457091738</v>
      </c>
      <c r="H423">
        <f t="shared" si="68"/>
        <v>0.15684922319337533</v>
      </c>
      <c r="I423">
        <f t="shared" si="69"/>
        <v>0.15988335223570696</v>
      </c>
      <c r="J423">
        <f t="shared" si="70"/>
        <v>0.15988335223570729</v>
      </c>
    </row>
    <row r="424" spans="1:10" x14ac:dyDescent="0.3">
      <c r="A424" s="8">
        <f t="shared" si="66"/>
        <v>8.1153846153849827</v>
      </c>
      <c r="B424">
        <f t="shared" si="71"/>
        <v>68.115384615384983</v>
      </c>
      <c r="C424">
        <f t="shared" si="62"/>
        <v>4.275687375220702E-2</v>
      </c>
      <c r="D424">
        <f t="shared" si="63"/>
        <v>4.275687375220702E-3</v>
      </c>
      <c r="E424">
        <f t="shared" si="64"/>
        <v>2.9902150433096939E-2</v>
      </c>
      <c r="F424" s="9">
        <f t="shared" si="65"/>
        <v>2.9902150433096939E-2</v>
      </c>
      <c r="G424">
        <f t="shared" si="67"/>
        <v>0.68232769179838038</v>
      </c>
      <c r="H424">
        <f t="shared" si="68"/>
        <v>0.15730665277933673</v>
      </c>
      <c r="I424">
        <f t="shared" si="69"/>
        <v>0.16036565542228259</v>
      </c>
      <c r="J424">
        <f t="shared" si="70"/>
        <v>0.1603656554222829</v>
      </c>
    </row>
    <row r="425" spans="1:10" x14ac:dyDescent="0.3">
      <c r="A425" s="8">
        <f t="shared" si="66"/>
        <v>8.1346153846157563</v>
      </c>
      <c r="B425">
        <f t="shared" si="71"/>
        <v>68.134615384615756</v>
      </c>
      <c r="C425">
        <f t="shared" si="62"/>
        <v>4.2869558260102358E-2</v>
      </c>
      <c r="D425">
        <f t="shared" si="63"/>
        <v>4.2869558260102362E-3</v>
      </c>
      <c r="E425">
        <f t="shared" si="64"/>
        <v>2.9951665721470781E-2</v>
      </c>
      <c r="F425" s="9">
        <f t="shared" si="65"/>
        <v>2.9951665721470781E-2</v>
      </c>
      <c r="G425">
        <f t="shared" si="67"/>
        <v>0.68138721737162355</v>
      </c>
      <c r="H425">
        <f t="shared" si="68"/>
        <v>0.15776430273531744</v>
      </c>
      <c r="I425">
        <f t="shared" si="69"/>
        <v>0.1608484798930587</v>
      </c>
      <c r="J425">
        <f t="shared" si="70"/>
        <v>0.160848479893059</v>
      </c>
    </row>
    <row r="426" spans="1:10" x14ac:dyDescent="0.3">
      <c r="A426" s="8">
        <f t="shared" si="66"/>
        <v>8.1538461538465299</v>
      </c>
      <c r="B426">
        <f t="shared" si="71"/>
        <v>68.15384615384653</v>
      </c>
      <c r="C426">
        <f t="shared" si="62"/>
        <v>4.2982542549289258E-2</v>
      </c>
      <c r="D426">
        <f t="shared" si="63"/>
        <v>4.2982542549289257E-3</v>
      </c>
      <c r="E426">
        <f t="shared" si="64"/>
        <v>3.0001264397071317E-2</v>
      </c>
      <c r="F426" s="9">
        <f t="shared" si="65"/>
        <v>3.0001264397071317E-2</v>
      </c>
      <c r="G426">
        <f t="shared" si="67"/>
        <v>0.68044600347589945</v>
      </c>
      <c r="H426">
        <f t="shared" si="68"/>
        <v>0.15822217074988945</v>
      </c>
      <c r="I426">
        <f t="shared" si="69"/>
        <v>0.16133182577421076</v>
      </c>
      <c r="J426">
        <f t="shared" si="70"/>
        <v>0.1613318257742111</v>
      </c>
    </row>
    <row r="427" spans="1:10" x14ac:dyDescent="0.3">
      <c r="A427" s="8">
        <f t="shared" si="66"/>
        <v>8.1730769230773035</v>
      </c>
      <c r="B427">
        <f t="shared" si="71"/>
        <v>68.173076923077303</v>
      </c>
      <c r="C427">
        <f t="shared" si="62"/>
        <v>4.3095827417293696E-2</v>
      </c>
      <c r="D427">
        <f t="shared" si="63"/>
        <v>4.3095827417293699E-3</v>
      </c>
      <c r="E427">
        <f t="shared" si="64"/>
        <v>3.0050946600328445E-2</v>
      </c>
      <c r="F427" s="9">
        <f t="shared" si="65"/>
        <v>3.0050946600328445E-2</v>
      </c>
      <c r="G427">
        <f t="shared" si="67"/>
        <v>0.6795040523098137</v>
      </c>
      <c r="H427">
        <f t="shared" si="68"/>
        <v>0.1586802544998914</v>
      </c>
      <c r="I427">
        <f t="shared" si="69"/>
        <v>0.16181569319029454</v>
      </c>
      <c r="J427">
        <f t="shared" si="70"/>
        <v>0.1618156931902949</v>
      </c>
    </row>
    <row r="428" spans="1:10" x14ac:dyDescent="0.3">
      <c r="A428" s="8">
        <f t="shared" si="66"/>
        <v>8.1923076923080771</v>
      </c>
      <c r="B428">
        <f t="shared" si="71"/>
        <v>68.192307692308077</v>
      </c>
      <c r="C428">
        <f t="shared" si="62"/>
        <v>4.3209413663763352E-2</v>
      </c>
      <c r="D428">
        <f t="shared" si="63"/>
        <v>4.3209413663763355E-3</v>
      </c>
      <c r="E428">
        <f t="shared" si="64"/>
        <v>3.0100712471908674E-2</v>
      </c>
      <c r="F428" s="9">
        <f t="shared" si="65"/>
        <v>3.0100712471908674E-2</v>
      </c>
      <c r="G428">
        <f t="shared" si="67"/>
        <v>0.67856136608534989</v>
      </c>
      <c r="H428">
        <f t="shared" si="68"/>
        <v>0.1591385516504096</v>
      </c>
      <c r="I428">
        <f t="shared" si="69"/>
        <v>0.16230008226424014</v>
      </c>
      <c r="J428">
        <f t="shared" si="70"/>
        <v>0.1623000822642405</v>
      </c>
    </row>
    <row r="429" spans="1:10" x14ac:dyDescent="0.3">
      <c r="A429" s="8">
        <f t="shared" si="66"/>
        <v>8.2115384615388507</v>
      </c>
      <c r="B429">
        <f t="shared" si="71"/>
        <v>68.211538461538851</v>
      </c>
      <c r="C429">
        <f t="shared" si="62"/>
        <v>4.3323302090473262E-2</v>
      </c>
      <c r="D429">
        <f t="shared" si="63"/>
        <v>4.332330209047326E-3</v>
      </c>
      <c r="E429">
        <f t="shared" si="64"/>
        <v>3.0150562152715277E-2</v>
      </c>
      <c r="F429" s="9">
        <f t="shared" si="65"/>
        <v>3.0150562152715277E-2</v>
      </c>
      <c r="G429">
        <f t="shared" si="67"/>
        <v>0.67761794702789413</v>
      </c>
      <c r="H429">
        <f t="shared" si="68"/>
        <v>0.1595970598547595</v>
      </c>
      <c r="I429">
        <f t="shared" si="69"/>
        <v>0.16278499311734601</v>
      </c>
      <c r="J429">
        <f t="shared" si="70"/>
        <v>0.16278499311734637</v>
      </c>
    </row>
    <row r="430" spans="1:10" x14ac:dyDescent="0.3">
      <c r="A430" s="8">
        <f t="shared" si="66"/>
        <v>8.2307692307696243</v>
      </c>
      <c r="B430">
        <f t="shared" si="71"/>
        <v>68.230769230769624</v>
      </c>
      <c r="C430">
        <f t="shared" si="62"/>
        <v>4.3437493501331484E-2</v>
      </c>
      <c r="D430">
        <f t="shared" si="63"/>
        <v>4.3437493501331482E-3</v>
      </c>
      <c r="E430">
        <f t="shared" si="64"/>
        <v>3.0200495783888916E-2</v>
      </c>
      <c r="F430" s="9">
        <f t="shared" si="65"/>
        <v>3.0200495783888916E-2</v>
      </c>
      <c r="G430">
        <f t="shared" si="67"/>
        <v>0.67667379737625966</v>
      </c>
      <c r="H430">
        <f t="shared" si="68"/>
        <v>0.160055776754467</v>
      </c>
      <c r="I430">
        <f t="shared" si="69"/>
        <v>0.16327042586927296</v>
      </c>
      <c r="J430">
        <f t="shared" si="70"/>
        <v>0.16327042586927334</v>
      </c>
    </row>
    <row r="431" spans="1:10" x14ac:dyDescent="0.3">
      <c r="A431" s="8">
        <f t="shared" si="66"/>
        <v>8.2500000000003979</v>
      </c>
      <c r="B431">
        <f t="shared" si="71"/>
        <v>68.250000000000398</v>
      </c>
      <c r="C431">
        <f t="shared" si="62"/>
        <v>4.3551988702384747E-2</v>
      </c>
      <c r="D431">
        <f t="shared" si="63"/>
        <v>4.3551988702384753E-3</v>
      </c>
      <c r="E431">
        <f t="shared" si="64"/>
        <v>3.0250513506807939E-2</v>
      </c>
      <c r="F431" s="9">
        <f t="shared" si="65"/>
        <v>3.0250513506807939E-2</v>
      </c>
      <c r="G431">
        <f t="shared" si="67"/>
        <v>0.67572891938271118</v>
      </c>
      <c r="H431">
        <f t="shared" si="68"/>
        <v>0.16051469997925027</v>
      </c>
      <c r="I431">
        <f t="shared" si="69"/>
        <v>0.16375638063803816</v>
      </c>
      <c r="J431">
        <f t="shared" si="70"/>
        <v>0.16375638063803855</v>
      </c>
    </row>
    <row r="432" spans="1:10" x14ac:dyDescent="0.3">
      <c r="A432" s="8">
        <f t="shared" si="66"/>
        <v>8.2692307692311715</v>
      </c>
      <c r="B432">
        <f t="shared" si="71"/>
        <v>68.269230769231172</v>
      </c>
      <c r="C432">
        <f t="shared" si="62"/>
        <v>4.3666788501824157E-2</v>
      </c>
      <c r="D432">
        <f t="shared" si="63"/>
        <v>4.3666788501824155E-3</v>
      </c>
      <c r="E432">
        <f t="shared" si="64"/>
        <v>3.0300615463088702E-2</v>
      </c>
      <c r="F432" s="9">
        <f t="shared" si="65"/>
        <v>3.0300615463088702E-2</v>
      </c>
      <c r="G432">
        <f t="shared" si="67"/>
        <v>0.67478331531298907</v>
      </c>
      <c r="H432">
        <f t="shared" si="68"/>
        <v>0.16097382714700145</v>
      </c>
      <c r="I432">
        <f t="shared" si="69"/>
        <v>0.16424285754000914</v>
      </c>
      <c r="J432">
        <f t="shared" si="70"/>
        <v>0.16424285754000947</v>
      </c>
    </row>
    <row r="433" spans="1:10" x14ac:dyDescent="0.3">
      <c r="A433" s="8">
        <f t="shared" si="66"/>
        <v>8.2884615384619451</v>
      </c>
      <c r="B433">
        <f t="shared" si="71"/>
        <v>68.288461538461945</v>
      </c>
      <c r="C433">
        <f t="shared" si="62"/>
        <v>4.3781893709990895E-2</v>
      </c>
      <c r="D433">
        <f t="shared" si="63"/>
        <v>4.3781893709990893E-3</v>
      </c>
      <c r="E433">
        <f t="shared" si="64"/>
        <v>3.0350801794586161E-2</v>
      </c>
      <c r="F433" s="9">
        <f t="shared" si="65"/>
        <v>3.0350801794586161E-2</v>
      </c>
      <c r="G433">
        <f t="shared" si="67"/>
        <v>0.67383698744633325</v>
      </c>
      <c r="H433">
        <f t="shared" si="68"/>
        <v>0.16143315586376863</v>
      </c>
      <c r="I433">
        <f t="shared" si="69"/>
        <v>0.16472985668989779</v>
      </c>
      <c r="J433">
        <f t="shared" si="70"/>
        <v>0.16472985668989812</v>
      </c>
    </row>
    <row r="434" spans="1:10" x14ac:dyDescent="0.3">
      <c r="A434" s="8">
        <f t="shared" si="66"/>
        <v>8.3076923076927187</v>
      </c>
      <c r="B434">
        <f t="shared" si="71"/>
        <v>68.307692307692719</v>
      </c>
      <c r="C434">
        <f t="shared" si="62"/>
        <v>4.3897305139381941E-2</v>
      </c>
      <c r="D434">
        <f t="shared" si="63"/>
        <v>4.3897305139381946E-3</v>
      </c>
      <c r="E434">
        <f t="shared" si="64"/>
        <v>3.0401072643394055E-2</v>
      </c>
      <c r="F434" s="9">
        <f t="shared" si="65"/>
        <v>3.0401072643394055E-2</v>
      </c>
      <c r="G434">
        <f t="shared" si="67"/>
        <v>0.67288993807550723</v>
      </c>
      <c r="H434">
        <f t="shared" si="68"/>
        <v>0.16189268372373808</v>
      </c>
      <c r="I434">
        <f t="shared" si="69"/>
        <v>0.16521737820075433</v>
      </c>
      <c r="J434">
        <f t="shared" si="70"/>
        <v>0.16521737820075469</v>
      </c>
    </row>
    <row r="435" spans="1:10" x14ac:dyDescent="0.3">
      <c r="A435" s="8">
        <f t="shared" si="66"/>
        <v>8.3269230769234923</v>
      </c>
      <c r="B435">
        <f t="shared" si="71"/>
        <v>68.326923076923492</v>
      </c>
      <c r="C435">
        <f t="shared" si="62"/>
        <v>4.4013023604655824E-2</v>
      </c>
      <c r="D435">
        <f t="shared" si="63"/>
        <v>4.4013023604655829E-3</v>
      </c>
      <c r="E435">
        <f t="shared" si="64"/>
        <v>3.0451428151845539E-2</v>
      </c>
      <c r="F435" s="9">
        <f t="shared" si="65"/>
        <v>3.0451428151845539E-2</v>
      </c>
      <c r="G435">
        <f t="shared" si="67"/>
        <v>0.67194216950682195</v>
      </c>
      <c r="H435">
        <f t="shared" si="68"/>
        <v>0.16235240830921646</v>
      </c>
      <c r="I435">
        <f t="shared" si="69"/>
        <v>0.16570542218396128</v>
      </c>
      <c r="J435">
        <f t="shared" si="70"/>
        <v>0.16570542218396159</v>
      </c>
    </row>
    <row r="436" spans="1:10" x14ac:dyDescent="0.3">
      <c r="A436" s="8">
        <f t="shared" si="66"/>
        <v>8.3461538461542659</v>
      </c>
      <c r="B436">
        <f t="shared" si="71"/>
        <v>68.346153846154266</v>
      </c>
      <c r="C436">
        <f t="shared" si="62"/>
        <v>4.4129049922638337E-2</v>
      </c>
      <c r="D436">
        <f t="shared" si="63"/>
        <v>4.4129049922638341E-3</v>
      </c>
      <c r="E436">
        <f t="shared" si="64"/>
        <v>3.0501868462513345E-2</v>
      </c>
      <c r="F436" s="9">
        <f t="shared" si="65"/>
        <v>3.0501868462513345E-2</v>
      </c>
      <c r="G436">
        <f t="shared" si="67"/>
        <v>0.6709936840601588</v>
      </c>
      <c r="H436">
        <f t="shared" si="68"/>
        <v>0.16281232719061342</v>
      </c>
      <c r="I436">
        <f t="shared" si="69"/>
        <v>0.16619398874922742</v>
      </c>
      <c r="J436">
        <f t="shared" si="70"/>
        <v>0.16619398874922778</v>
      </c>
    </row>
    <row r="437" spans="1:10" x14ac:dyDescent="0.3">
      <c r="A437" s="8">
        <f t="shared" si="66"/>
        <v>8.3653846153850395</v>
      </c>
      <c r="B437">
        <f>B436+$L$7</f>
        <v>68.36538461538504</v>
      </c>
      <c r="C437">
        <f t="shared" si="62"/>
        <v>4.424538491232833E-2</v>
      </c>
      <c r="D437">
        <f t="shared" si="63"/>
        <v>4.4245384912328335E-3</v>
      </c>
      <c r="E437">
        <f t="shared" si="64"/>
        <v>3.0552393718210391E-2</v>
      </c>
      <c r="F437" s="9">
        <f t="shared" si="65"/>
        <v>3.0552393718210391E-2</v>
      </c>
      <c r="G437">
        <f t="shared" si="67"/>
        <v>0.67004448406899375</v>
      </c>
      <c r="H437">
        <f t="shared" si="68"/>
        <v>0.16327243792642421</v>
      </c>
      <c r="I437">
        <f t="shared" si="69"/>
        <v>0.16668307800458174</v>
      </c>
      <c r="J437">
        <f t="shared" si="70"/>
        <v>0.16668307800458204</v>
      </c>
    </row>
    <row r="438" spans="1:10" x14ac:dyDescent="0.3">
      <c r="A438" s="8">
        <f t="shared" si="66"/>
        <v>8.3846153846158131</v>
      </c>
      <c r="B438">
        <f t="shared" ref="B438:B449" si="72">B437+$L$7</f>
        <v>68.384615384615813</v>
      </c>
      <c r="C438">
        <f t="shared" si="62"/>
        <v>4.4362029394903489E-2</v>
      </c>
      <c r="D438">
        <f t="shared" si="63"/>
        <v>4.4362029394903494E-3</v>
      </c>
      <c r="E438">
        <f t="shared" si="64"/>
        <v>3.0603004061990114E-2</v>
      </c>
      <c r="F438" s="9">
        <f t="shared" si="65"/>
        <v>3.0603004061990114E-2</v>
      </c>
      <c r="G438">
        <f t="shared" si="67"/>
        <v>0.66909457188041987</v>
      </c>
      <c r="H438">
        <f t="shared" si="68"/>
        <v>0.16373273806321251</v>
      </c>
      <c r="I438">
        <f t="shared" si="69"/>
        <v>0.16717269005636734</v>
      </c>
      <c r="J438">
        <f t="shared" si="70"/>
        <v>0.16717269005636762</v>
      </c>
    </row>
    <row r="439" spans="1:10" x14ac:dyDescent="0.3">
      <c r="A439" s="8">
        <f t="shared" si="66"/>
        <v>8.4038461538465867</v>
      </c>
      <c r="B439">
        <f t="shared" si="72"/>
        <v>68.403846153846587</v>
      </c>
      <c r="C439">
        <f t="shared" si="62"/>
        <v>4.4478984193726132E-2</v>
      </c>
      <c r="D439">
        <f t="shared" si="63"/>
        <v>4.4478984193726135E-3</v>
      </c>
      <c r="E439">
        <f t="shared" si="64"/>
        <v>3.0653699637146765E-2</v>
      </c>
      <c r="F439" s="9">
        <f t="shared" si="65"/>
        <v>3.0653699637146765E-2</v>
      </c>
      <c r="G439">
        <f t="shared" si="67"/>
        <v>0.66814394985517078</v>
      </c>
      <c r="H439">
        <f t="shared" si="68"/>
        <v>0.16419322513559353</v>
      </c>
      <c r="I439">
        <f t="shared" si="69"/>
        <v>0.16766282500923543</v>
      </c>
      <c r="J439">
        <f t="shared" si="70"/>
        <v>0.16766282500923568</v>
      </c>
    </row>
    <row r="440" spans="1:10" x14ac:dyDescent="0.3">
      <c r="A440" s="8">
        <f t="shared" si="66"/>
        <v>8.4230769230773603</v>
      </c>
      <c r="B440">
        <f t="shared" si="72"/>
        <v>68.42307692307736</v>
      </c>
      <c r="C440">
        <f t="shared" si="62"/>
        <v>4.4596250134349001E-2</v>
      </c>
      <c r="D440">
        <f t="shared" si="63"/>
        <v>4.4596250134348999E-3</v>
      </c>
      <c r="E440">
        <f t="shared" si="64"/>
        <v>3.0704480587216039E-2</v>
      </c>
      <c r="F440" s="9">
        <f t="shared" si="65"/>
        <v>3.0704480587216039E-2</v>
      </c>
      <c r="G440">
        <f t="shared" si="67"/>
        <v>0.66719262036764337</v>
      </c>
      <c r="H440">
        <f t="shared" si="68"/>
        <v>0.16465389666621716</v>
      </c>
      <c r="I440">
        <f t="shared" si="69"/>
        <v>0.16815348296613924</v>
      </c>
      <c r="J440">
        <f t="shared" si="70"/>
        <v>0.16815348296613947</v>
      </c>
    </row>
    <row r="441" spans="1:10" x14ac:dyDescent="0.3">
      <c r="A441" s="8">
        <f t="shared" si="66"/>
        <v>8.4423076923081339</v>
      </c>
      <c r="B441">
        <f t="shared" si="72"/>
        <v>68.442307692308134</v>
      </c>
      <c r="C441">
        <f t="shared" si="62"/>
        <v>4.471382804452112E-2</v>
      </c>
      <c r="D441">
        <f t="shared" si="63"/>
        <v>4.471382804452112E-3</v>
      </c>
      <c r="E441">
        <f t="shared" si="64"/>
        <v>3.0755347055975227E-2</v>
      </c>
      <c r="F441" s="9">
        <f t="shared" si="65"/>
        <v>3.0755347055975227E-2</v>
      </c>
      <c r="G441">
        <f t="shared" si="67"/>
        <v>0.66624058580592049</v>
      </c>
      <c r="H441">
        <f t="shared" si="68"/>
        <v>0.16511475016575133</v>
      </c>
      <c r="I441">
        <f t="shared" si="69"/>
        <v>0.1686446640283279</v>
      </c>
      <c r="J441">
        <f t="shared" si="70"/>
        <v>0.16864466402832817</v>
      </c>
    </row>
    <row r="442" spans="1:10" x14ac:dyDescent="0.3">
      <c r="A442" s="8">
        <f t="shared" si="66"/>
        <v>8.4615384615389075</v>
      </c>
      <c r="B442">
        <f t="shared" si="72"/>
        <v>68.461538461538908</v>
      </c>
      <c r="C442">
        <f t="shared" si="62"/>
        <v>4.4831718754193603E-2</v>
      </c>
      <c r="D442">
        <f t="shared" si="63"/>
        <v>4.4831718754193605E-3</v>
      </c>
      <c r="E442">
        <f t="shared" si="64"/>
        <v>3.0806299187443868E-2</v>
      </c>
      <c r="F442" s="9">
        <f t="shared" si="65"/>
        <v>3.0806299187443868E-2</v>
      </c>
      <c r="G442">
        <f t="shared" si="67"/>
        <v>0.66528784857179368</v>
      </c>
      <c r="H442">
        <f t="shared" si="68"/>
        <v>0.16557578313286569</v>
      </c>
      <c r="I442">
        <f t="shared" si="69"/>
        <v>0.16913636829534032</v>
      </c>
      <c r="J442">
        <f t="shared" si="70"/>
        <v>0.16913636829534062</v>
      </c>
    </row>
    <row r="443" spans="1:10" x14ac:dyDescent="0.3">
      <c r="A443" s="8">
        <f t="shared" si="66"/>
        <v>8.4807692307696811</v>
      </c>
      <c r="B443">
        <f t="shared" si="72"/>
        <v>68.480769230769681</v>
      </c>
      <c r="C443">
        <f t="shared" si="62"/>
        <v>4.4949923095525569E-2</v>
      </c>
      <c r="D443">
        <f t="shared" si="63"/>
        <v>4.4949923095525569E-3</v>
      </c>
      <c r="E443">
        <f t="shared" si="64"/>
        <v>3.0857337125883941E-2</v>
      </c>
      <c r="F443" s="9">
        <f t="shared" si="65"/>
        <v>3.0857337125883941E-2</v>
      </c>
      <c r="G443">
        <f t="shared" si="67"/>
        <v>0.66433441108078528</v>
      </c>
      <c r="H443">
        <f t="shared" si="68"/>
        <v>0.16603699305421521</v>
      </c>
      <c r="I443">
        <f t="shared" si="69"/>
        <v>0.16962859586499915</v>
      </c>
      <c r="J443">
        <f t="shared" si="70"/>
        <v>0.16962859586499951</v>
      </c>
    </row>
    <row r="444" spans="1:10" x14ac:dyDescent="0.3">
      <c r="A444" s="8">
        <f t="shared" si="66"/>
        <v>8.5000000000004547</v>
      </c>
      <c r="B444">
        <f t="shared" si="72"/>
        <v>68.500000000000455</v>
      </c>
      <c r="C444">
        <f t="shared" si="62"/>
        <v>4.5068441902889854E-2</v>
      </c>
      <c r="D444">
        <f t="shared" si="63"/>
        <v>4.5068441902889854E-3</v>
      </c>
      <c r="E444">
        <f t="shared" si="64"/>
        <v>3.0908461015800442E-2</v>
      </c>
      <c r="F444" s="9">
        <f t="shared" si="65"/>
        <v>3.0908461015800442E-2</v>
      </c>
      <c r="G444">
        <f t="shared" si="67"/>
        <v>0.66338027576217073</v>
      </c>
      <c r="H444">
        <f t="shared" si="68"/>
        <v>0.16649837740442425</v>
      </c>
      <c r="I444">
        <f t="shared" si="69"/>
        <v>0.17012134683340469</v>
      </c>
      <c r="J444">
        <f t="shared" si="70"/>
        <v>0.17012134683340502</v>
      </c>
    </row>
    <row r="445" spans="1:10" x14ac:dyDescent="0.3">
      <c r="A445" s="8">
        <f t="shared" si="66"/>
        <v>8.5192307692312284</v>
      </c>
      <c r="B445">
        <f t="shared" si="72"/>
        <v>68.519230769231228</v>
      </c>
      <c r="C445">
        <f t="shared" si="62"/>
        <v>4.51872760128793E-2</v>
      </c>
      <c r="D445">
        <f t="shared" si="63"/>
        <v>4.5187276012879302E-3</v>
      </c>
      <c r="E445">
        <f t="shared" si="64"/>
        <v>3.0959671001941722E-2</v>
      </c>
      <c r="F445" s="9">
        <f t="shared" si="65"/>
        <v>3.0959671001941722E-2</v>
      </c>
      <c r="G445">
        <f t="shared" si="67"/>
        <v>0.66242544505900036</v>
      </c>
      <c r="H445">
        <f t="shared" si="68"/>
        <v>0.16695993364607067</v>
      </c>
      <c r="I445">
        <f t="shared" si="69"/>
        <v>0.17061462129492863</v>
      </c>
      <c r="J445">
        <f t="shared" si="70"/>
        <v>0.17061462129492896</v>
      </c>
    </row>
    <row r="446" spans="1:10" x14ac:dyDescent="0.3">
      <c r="A446" s="8">
        <f t="shared" si="66"/>
        <v>8.538461538462002</v>
      </c>
      <c r="B446">
        <f t="shared" si="72"/>
        <v>68.538461538462002</v>
      </c>
      <c r="C446">
        <f t="shared" si="62"/>
        <v>4.5306426264312138E-2</v>
      </c>
      <c r="D446">
        <f t="shared" si="63"/>
        <v>4.5306426264312138E-3</v>
      </c>
      <c r="E446">
        <f t="shared" si="64"/>
        <v>3.101096722929983E-2</v>
      </c>
      <c r="F446" s="9">
        <f t="shared" si="65"/>
        <v>3.101096722929983E-2</v>
      </c>
      <c r="G446">
        <f t="shared" si="67"/>
        <v>0.66146992142812144</v>
      </c>
      <c r="H446">
        <f t="shared" si="68"/>
        <v>0.16742165922967012</v>
      </c>
      <c r="I446">
        <f t="shared" si="69"/>
        <v>0.17110841934220805</v>
      </c>
      <c r="J446">
        <f t="shared" si="70"/>
        <v>0.17110841934220844</v>
      </c>
    </row>
    <row r="447" spans="1:10" x14ac:dyDescent="0.3">
      <c r="A447" s="8">
        <f t="shared" si="66"/>
        <v>8.5576923076927756</v>
      </c>
      <c r="B447">
        <f t="shared" si="72"/>
        <v>68.557692307692776</v>
      </c>
      <c r="C447">
        <f t="shared" si="62"/>
        <v>4.5425893498238223E-2</v>
      </c>
      <c r="D447">
        <f t="shared" si="63"/>
        <v>4.5425893498238223E-3</v>
      </c>
      <c r="E447">
        <f t="shared" si="64"/>
        <v>3.1062349843111091E-2</v>
      </c>
      <c r="F447" s="9">
        <f t="shared" si="65"/>
        <v>3.1062349843111091E-2</v>
      </c>
      <c r="G447">
        <f t="shared" si="67"/>
        <v>0.66051370734019976</v>
      </c>
      <c r="H447">
        <f t="shared" si="68"/>
        <v>0.16788355159366056</v>
      </c>
      <c r="I447">
        <f t="shared" si="69"/>
        <v>0.17160274106613924</v>
      </c>
      <c r="J447">
        <f t="shared" si="70"/>
        <v>0.17160274106613968</v>
      </c>
    </row>
    <row r="448" spans="1:10" x14ac:dyDescent="0.3">
      <c r="A448" s="8">
        <f t="shared" si="66"/>
        <v>8.5769230769235492</v>
      </c>
      <c r="B448">
        <f t="shared" si="72"/>
        <v>68.576923076923549</v>
      </c>
      <c r="C448">
        <f t="shared" si="62"/>
        <v>4.5545678557944919E-2</v>
      </c>
      <c r="D448">
        <f t="shared" si="63"/>
        <v>4.5545678557944924E-3</v>
      </c>
      <c r="E448">
        <f t="shared" si="64"/>
        <v>3.1113818988856307E-2</v>
      </c>
      <c r="F448" s="9">
        <f t="shared" si="65"/>
        <v>3.1113818988856307E-2</v>
      </c>
      <c r="G448">
        <f t="shared" si="67"/>
        <v>0.65955680527974103</v>
      </c>
      <c r="H448">
        <f t="shared" si="68"/>
        <v>0.16834560816438701</v>
      </c>
      <c r="I448">
        <f t="shared" si="69"/>
        <v>0.17209758655587151</v>
      </c>
      <c r="J448">
        <f t="shared" si="70"/>
        <v>0.17209758655587196</v>
      </c>
    </row>
    <row r="449" spans="1:10" x14ac:dyDescent="0.3">
      <c r="A449" s="8">
        <f t="shared" si="66"/>
        <v>8.5961538461543228</v>
      </c>
      <c r="B449">
        <f t="shared" si="72"/>
        <v>68.596153846154323</v>
      </c>
      <c r="C449">
        <f t="shared" si="62"/>
        <v>4.5665782288963036E-2</v>
      </c>
      <c r="D449">
        <f t="shared" si="63"/>
        <v>4.5665782288963038E-3</v>
      </c>
      <c r="E449">
        <f t="shared" si="64"/>
        <v>3.1165374812261389E-2</v>
      </c>
      <c r="F449" s="9">
        <f t="shared" si="65"/>
        <v>3.1165374812261389E-2</v>
      </c>
      <c r="G449">
        <f t="shared" si="67"/>
        <v>0.65859921774511199</v>
      </c>
      <c r="H449">
        <f t="shared" si="68"/>
        <v>0.16880782635608646</v>
      </c>
      <c r="I449">
        <f t="shared" si="69"/>
        <v>0.17259295589880108</v>
      </c>
      <c r="J449">
        <f t="shared" si="70"/>
        <v>0.17259295589880155</v>
      </c>
    </row>
    <row r="450" spans="1:10" x14ac:dyDescent="0.3">
      <c r="A450" s="8">
        <f t="shared" si="66"/>
        <v>8.6153846153850964</v>
      </c>
      <c r="B450">
        <f>B449+$L$7</f>
        <v>68.615384615385096</v>
      </c>
      <c r="C450">
        <f t="shared" si="62"/>
        <v>4.5786205539072797E-2</v>
      </c>
      <c r="D450">
        <f t="shared" si="63"/>
        <v>4.5786205539072797E-3</v>
      </c>
      <c r="E450">
        <f t="shared" si="64"/>
        <v>3.1217017459297568E-2</v>
      </c>
      <c r="F450" s="9">
        <f t="shared" si="65"/>
        <v>3.1217017459297568E-2</v>
      </c>
      <c r="G450">
        <f t="shared" si="67"/>
        <v>0.6576409472485617</v>
      </c>
      <c r="H450">
        <f t="shared" si="68"/>
        <v>0.16927020357087288</v>
      </c>
      <c r="I450">
        <f t="shared" si="69"/>
        <v>0.17308884918056491</v>
      </c>
      <c r="J450">
        <f t="shared" si="70"/>
        <v>0.17308884918056541</v>
      </c>
    </row>
    <row r="451" spans="1:10" x14ac:dyDescent="0.3">
      <c r="A451" s="8">
        <f t="shared" si="66"/>
        <v>8.63461538461587</v>
      </c>
      <c r="B451">
        <f t="shared" ref="B451:B459" si="73">B450+$L$7</f>
        <v>68.63461538461587</v>
      </c>
      <c r="C451">
        <f t="shared" ref="C451:C514" si="74">$L$1 +$L$3 * EXP($L$5*B451)</f>
        <v>4.5906949158309826E-2</v>
      </c>
      <c r="D451">
        <f t="shared" ref="D451:D514" si="75">0.1 *C451</f>
        <v>4.5906949158309824E-3</v>
      </c>
      <c r="E451">
        <f t="shared" ref="E451:E514" si="76">$L$2 + $L$4 * EXP($L$6 *B451)</f>
        <v>3.1268747076181963E-2</v>
      </c>
      <c r="F451" s="9">
        <f t="shared" ref="F451:F514" si="77">E451</f>
        <v>3.1268747076181963E-2</v>
      </c>
      <c r="G451">
        <f t="shared" si="67"/>
        <v>0.65668199631624236</v>
      </c>
      <c r="H451">
        <f t="shared" si="68"/>
        <v>0.16973273719872267</v>
      </c>
      <c r="I451">
        <f t="shared" si="69"/>
        <v>0.1735852664850345</v>
      </c>
      <c r="J451">
        <f t="shared" si="70"/>
        <v>0.17358526648503497</v>
      </c>
    </row>
    <row r="452" spans="1:10" x14ac:dyDescent="0.3">
      <c r="A452" s="8">
        <f t="shared" ref="A452:A515" si="78">B452-60</f>
        <v>8.6538461538466436</v>
      </c>
      <c r="B452">
        <f t="shared" si="73"/>
        <v>68.653846153846644</v>
      </c>
      <c r="C452">
        <f t="shared" si="74"/>
        <v>4.6028013998971141E-2</v>
      </c>
      <c r="D452">
        <f t="shared" si="75"/>
        <v>4.6028013998971147E-3</v>
      </c>
      <c r="E452">
        <f t="shared" si="76"/>
        <v>3.1320563809377935E-2</v>
      </c>
      <c r="F452" s="9">
        <f t="shared" si="77"/>
        <v>3.1320563809377935E-2</v>
      </c>
      <c r="G452">
        <f t="shared" ref="G452:G515" si="79">$L$7*(G451*(-C451-E451)+H451*D451)+G451</f>
        <v>0.65572236748822976</v>
      </c>
      <c r="H452">
        <f t="shared" ref="H452:H515" si="80">$L$7*(G451*C451+H451*(-D451-F451))+H451</f>
        <v>0.17019542461746007</v>
      </c>
      <c r="I452">
        <f t="shared" ref="I452:I515" si="81">$L$7*(G451*E451+H451*F451)+I451</f>
        <v>0.1740822078943097</v>
      </c>
      <c r="J452">
        <f t="shared" ref="J452:J515" si="82">1-G452-H452</f>
        <v>0.17408220789431017</v>
      </c>
    </row>
    <row r="453" spans="1:10" x14ac:dyDescent="0.3">
      <c r="A453" s="8">
        <f t="shared" si="78"/>
        <v>8.6730769230774172</v>
      </c>
      <c r="B453">
        <f t="shared" si="73"/>
        <v>68.673076923077417</v>
      </c>
      <c r="C453">
        <f t="shared" si="74"/>
        <v>4.6149400915621197E-2</v>
      </c>
      <c r="D453">
        <f t="shared" si="75"/>
        <v>4.6149400915621195E-3</v>
      </c>
      <c r="E453">
        <f t="shared" si="76"/>
        <v>3.1372467805595432E-2</v>
      </c>
      <c r="F453" s="9">
        <f t="shared" si="77"/>
        <v>3.1372467805595432E-2</v>
      </c>
      <c r="G453">
        <f t="shared" si="79"/>
        <v>0.65476206331854414</v>
      </c>
      <c r="H453">
        <f t="shared" si="80"/>
        <v>0.17065826319274288</v>
      </c>
      <c r="I453">
        <f t="shared" si="81"/>
        <v>0.17457967348871253</v>
      </c>
      <c r="J453">
        <f t="shared" si="82"/>
        <v>0.17457967348871298</v>
      </c>
    </row>
    <row r="454" spans="1:10" x14ac:dyDescent="0.3">
      <c r="A454" s="8">
        <f t="shared" si="78"/>
        <v>8.6923076923081908</v>
      </c>
      <c r="B454">
        <f t="shared" si="73"/>
        <v>68.692307692308191</v>
      </c>
      <c r="C454">
        <f t="shared" si="74"/>
        <v>4.6271110765097871E-2</v>
      </c>
      <c r="D454">
        <f t="shared" si="75"/>
        <v>4.6271110765097869E-3</v>
      </c>
      <c r="E454">
        <f t="shared" si="76"/>
        <v>3.1424459211791558E-2</v>
      </c>
      <c r="F454" s="9">
        <f t="shared" si="77"/>
        <v>3.1424459211791558E-2</v>
      </c>
      <c r="G454">
        <f t="shared" si="79"/>
        <v>0.65380108637517009</v>
      </c>
      <c r="H454">
        <f t="shared" si="80"/>
        <v>0.17112125027804845</v>
      </c>
      <c r="I454">
        <f t="shared" si="81"/>
        <v>0.17507766334678099</v>
      </c>
      <c r="J454">
        <f t="shared" si="82"/>
        <v>0.17507766334678146</v>
      </c>
    </row>
    <row r="455" spans="1:10" x14ac:dyDescent="0.3">
      <c r="A455" s="8">
        <f t="shared" si="78"/>
        <v>8.7115384615389644</v>
      </c>
      <c r="B455">
        <f t="shared" si="73"/>
        <v>68.711538461538964</v>
      </c>
      <c r="C455">
        <f t="shared" si="74"/>
        <v>4.6393144406518552E-2</v>
      </c>
      <c r="D455">
        <f t="shared" si="75"/>
        <v>4.6393144406518556E-3</v>
      </c>
      <c r="E455">
        <f t="shared" si="76"/>
        <v>3.1476538175170821E-2</v>
      </c>
      <c r="F455" s="9">
        <f t="shared" si="77"/>
        <v>3.1476538175170821E-2</v>
      </c>
      <c r="G455">
        <f t="shared" si="79"/>
        <v>0.65283943924007704</v>
      </c>
      <c r="H455">
        <f t="shared" si="80"/>
        <v>0.17158438321465971</v>
      </c>
      <c r="I455">
        <f t="shared" si="81"/>
        <v>0.17557617754526281</v>
      </c>
      <c r="J455">
        <f t="shared" si="82"/>
        <v>0.17557617754526325</v>
      </c>
    </row>
    <row r="456" spans="1:10" x14ac:dyDescent="0.3">
      <c r="A456" s="8">
        <f t="shared" si="78"/>
        <v>8.730769230769738</v>
      </c>
      <c r="B456">
        <f t="shared" si="73"/>
        <v>68.730769230769738</v>
      </c>
      <c r="C456">
        <f t="shared" si="74"/>
        <v>4.6515502701286182E-2</v>
      </c>
      <c r="D456">
        <f t="shared" si="75"/>
        <v>4.6515502701286182E-3</v>
      </c>
      <c r="E456">
        <f t="shared" si="76"/>
        <v>3.1528704843185727E-2</v>
      </c>
      <c r="F456" s="9">
        <f t="shared" si="77"/>
        <v>3.1528704843185727E-2</v>
      </c>
      <c r="G456">
        <f t="shared" si="79"/>
        <v>0.65187712450923863</v>
      </c>
      <c r="H456">
        <f t="shared" si="80"/>
        <v>0.17204765933165159</v>
      </c>
      <c r="I456">
        <f t="shared" si="81"/>
        <v>0.17607521615910929</v>
      </c>
      <c r="J456">
        <f t="shared" si="82"/>
        <v>0.17607521615910979</v>
      </c>
    </row>
    <row r="457" spans="1:10" x14ac:dyDescent="0.3">
      <c r="A457" s="8">
        <f t="shared" si="78"/>
        <v>8.7500000000005116</v>
      </c>
      <c r="B457">
        <f t="shared" si="73"/>
        <v>68.750000000000512</v>
      </c>
      <c r="C457">
        <f t="shared" si="74"/>
        <v>4.6638186513095356E-2</v>
      </c>
      <c r="D457">
        <f t="shared" si="75"/>
        <v>4.6638186513095359E-3</v>
      </c>
      <c r="E457">
        <f t="shared" si="76"/>
        <v>3.1580959363536991E-2</v>
      </c>
      <c r="F457" s="9">
        <f t="shared" si="77"/>
        <v>3.1580959363536991E-2</v>
      </c>
      <c r="G457">
        <f t="shared" si="79"/>
        <v>0.65091414479265297</v>
      </c>
      <c r="H457">
        <f t="shared" si="80"/>
        <v>0.17251107594587753</v>
      </c>
      <c r="I457">
        <f t="shared" si="81"/>
        <v>0.176574779261469</v>
      </c>
      <c r="J457">
        <f t="shared" si="82"/>
        <v>0.1765747792614695</v>
      </c>
    </row>
    <row r="458" spans="1:10" x14ac:dyDescent="0.3">
      <c r="A458" s="8">
        <f t="shared" si="78"/>
        <v>8.7692307692312852</v>
      </c>
      <c r="B458">
        <f t="shared" si="73"/>
        <v>68.769230769231285</v>
      </c>
      <c r="C458">
        <f t="shared" si="74"/>
        <v>4.6761196707938407E-2</v>
      </c>
      <c r="D458">
        <f t="shared" si="75"/>
        <v>4.6761196707938409E-3</v>
      </c>
      <c r="E458">
        <f t="shared" si="76"/>
        <v>3.1633301884174146E-2</v>
      </c>
      <c r="F458" s="9">
        <f t="shared" si="77"/>
        <v>3.1633301884174146E-2</v>
      </c>
      <c r="G458">
        <f t="shared" si="79"/>
        <v>0.64995050271436172</v>
      </c>
      <c r="H458">
        <f t="shared" si="80"/>
        <v>0.17297463036195621</v>
      </c>
      <c r="I458">
        <f t="shared" si="81"/>
        <v>0.1770748669236816</v>
      </c>
      <c r="J458">
        <f t="shared" si="82"/>
        <v>0.17707486692368207</v>
      </c>
    </row>
    <row r="459" spans="1:10" x14ac:dyDescent="0.3">
      <c r="A459" s="8">
        <f t="shared" si="78"/>
        <v>8.7884615384620588</v>
      </c>
      <c r="B459">
        <f t="shared" si="73"/>
        <v>68.788461538462059</v>
      </c>
      <c r="C459">
        <f t="shared" si="74"/>
        <v>4.68845341541115E-2</v>
      </c>
      <c r="D459">
        <f t="shared" si="75"/>
        <v>4.6884534154111503E-3</v>
      </c>
      <c r="E459">
        <f t="shared" si="76"/>
        <v>3.1685732553295889E-2</v>
      </c>
      <c r="F459" s="9">
        <f t="shared" si="77"/>
        <v>3.1685732553295889E-2</v>
      </c>
      <c r="G459">
        <f t="shared" si="79"/>
        <v>0.64898620091246939</v>
      </c>
      <c r="H459">
        <f t="shared" si="80"/>
        <v>0.17343831987225858</v>
      </c>
      <c r="I459">
        <f t="shared" si="81"/>
        <v>0.17757547921527156</v>
      </c>
      <c r="J459">
        <f t="shared" si="82"/>
        <v>0.17757547921527203</v>
      </c>
    </row>
    <row r="460" spans="1:10" x14ac:dyDescent="0.3">
      <c r="A460" s="8">
        <f t="shared" si="78"/>
        <v>8.8076923076928324</v>
      </c>
      <c r="B460">
        <f>B459+$L$7</f>
        <v>68.807692307692832</v>
      </c>
      <c r="C460">
        <f t="shared" si="74"/>
        <v>4.7008199722220791E-2</v>
      </c>
      <c r="D460">
        <f t="shared" si="75"/>
        <v>4.7008199722220791E-3</v>
      </c>
      <c r="E460">
        <f t="shared" si="76"/>
        <v>3.1738251519350419E-2</v>
      </c>
      <c r="F460" s="9">
        <f t="shared" si="77"/>
        <v>3.1738251519350419E-2</v>
      </c>
      <c r="G460">
        <f t="shared" si="79"/>
        <v>0.64802124203916267</v>
      </c>
      <c r="H460">
        <f t="shared" si="80"/>
        <v>0.173902141756895</v>
      </c>
      <c r="I460">
        <f t="shared" si="81"/>
        <v>0.17807661620394188</v>
      </c>
      <c r="J460">
        <f t="shared" si="82"/>
        <v>0.17807661620394233</v>
      </c>
    </row>
    <row r="461" spans="1:10" x14ac:dyDescent="0.3">
      <c r="A461" s="8">
        <f t="shared" si="78"/>
        <v>8.826923076923606</v>
      </c>
      <c r="B461">
        <f t="shared" ref="B461:B522" si="83">B460+$L$7</f>
        <v>68.826923076923606</v>
      </c>
      <c r="C461">
        <f t="shared" si="74"/>
        <v>4.7132194285188576E-2</v>
      </c>
      <c r="D461">
        <f t="shared" si="75"/>
        <v>4.7132194285188578E-3</v>
      </c>
      <c r="E461">
        <f t="shared" si="76"/>
        <v>3.1790858931036017E-2</v>
      </c>
      <c r="F461" s="9">
        <f t="shared" si="77"/>
        <v>3.1790858931036017E-2</v>
      </c>
      <c r="G461">
        <f t="shared" si="79"/>
        <v>0.64705562876072886</v>
      </c>
      <c r="H461">
        <f t="shared" si="80"/>
        <v>0.17436609328370273</v>
      </c>
      <c r="I461">
        <f t="shared" si="81"/>
        <v>0.17857827795556794</v>
      </c>
      <c r="J461">
        <f t="shared" si="82"/>
        <v>0.17857827795556841</v>
      </c>
    </row>
    <row r="462" spans="1:10" x14ac:dyDescent="0.3">
      <c r="A462" s="8">
        <f t="shared" si="78"/>
        <v>8.8461538461543796</v>
      </c>
      <c r="B462">
        <f t="shared" si="83"/>
        <v>68.84615384615438</v>
      </c>
      <c r="C462">
        <f t="shared" si="74"/>
        <v>4.7256518718259408E-2</v>
      </c>
      <c r="D462">
        <f t="shared" si="75"/>
        <v>4.7256518718259413E-3</v>
      </c>
      <c r="E462">
        <f t="shared" si="76"/>
        <v>3.1843554937301309E-2</v>
      </c>
      <c r="F462" s="9">
        <f t="shared" si="77"/>
        <v>3.1843554937301309E-2</v>
      </c>
      <c r="G462">
        <f t="shared" si="79"/>
        <v>0.64608936375757497</v>
      </c>
      <c r="H462">
        <f t="shared" si="80"/>
        <v>0.17483017170823345</v>
      </c>
      <c r="I462">
        <f t="shared" si="81"/>
        <v>0.17908046453419108</v>
      </c>
      <c r="J462">
        <f t="shared" si="82"/>
        <v>0.17908046453419157</v>
      </c>
    </row>
    <row r="463" spans="1:10" x14ac:dyDescent="0.3">
      <c r="A463" s="8">
        <f t="shared" si="78"/>
        <v>8.8653846153851532</v>
      </c>
      <c r="B463">
        <f t="shared" si="83"/>
        <v>68.865384615385153</v>
      </c>
      <c r="C463">
        <f t="shared" si="74"/>
        <v>4.7381173899006333E-2</v>
      </c>
      <c r="D463">
        <f t="shared" si="75"/>
        <v>4.7381173899006335E-3</v>
      </c>
      <c r="E463">
        <f t="shared" si="76"/>
        <v>3.1896339687345836E-2</v>
      </c>
      <c r="F463" s="9">
        <f t="shared" si="77"/>
        <v>3.1896339687345836E-2</v>
      </c>
      <c r="G463">
        <f t="shared" si="79"/>
        <v>0.64512244972424582</v>
      </c>
      <c r="H463">
        <f t="shared" si="80"/>
        <v>0.17529437427374123</v>
      </c>
      <c r="I463">
        <f t="shared" si="81"/>
        <v>0.1795831760020124</v>
      </c>
      <c r="J463">
        <f t="shared" si="82"/>
        <v>0.17958317600201296</v>
      </c>
    </row>
    <row r="464" spans="1:10" x14ac:dyDescent="0.3">
      <c r="A464" s="8">
        <f t="shared" si="78"/>
        <v>8.8846153846159268</v>
      </c>
      <c r="B464">
        <f t="shared" si="83"/>
        <v>68.884615384615927</v>
      </c>
      <c r="C464">
        <f t="shared" si="74"/>
        <v>4.7506160707337042E-2</v>
      </c>
      <c r="D464">
        <f t="shared" si="75"/>
        <v>4.7506160707337045E-3</v>
      </c>
      <c r="E464">
        <f t="shared" si="76"/>
        <v>3.1949213330620306E-2</v>
      </c>
      <c r="F464" s="9">
        <f t="shared" si="77"/>
        <v>3.1949213330620306E-2</v>
      </c>
      <c r="G464">
        <f t="shared" si="79"/>
        <v>0.64415488936944243</v>
      </c>
      <c r="H464">
        <f t="shared" si="80"/>
        <v>0.17575869821117052</v>
      </c>
      <c r="I464">
        <f t="shared" si="81"/>
        <v>0.1800864124193865</v>
      </c>
      <c r="J464">
        <f t="shared" si="82"/>
        <v>0.18008641241938705</v>
      </c>
    </row>
    <row r="465" spans="1:10" x14ac:dyDescent="0.3">
      <c r="A465" s="8">
        <f t="shared" si="78"/>
        <v>8.9038461538467004</v>
      </c>
      <c r="B465">
        <f t="shared" si="83"/>
        <v>68.9038461538467</v>
      </c>
      <c r="C465">
        <f t="shared" si="74"/>
        <v>4.7631480025500099E-2</v>
      </c>
      <c r="D465">
        <f t="shared" si="75"/>
        <v>4.7631480025500106E-3</v>
      </c>
      <c r="E465">
        <f t="shared" si="76"/>
        <v>3.2002176016827207E-2</v>
      </c>
      <c r="F465" s="9">
        <f t="shared" si="77"/>
        <v>3.2002176016827207E-2</v>
      </c>
      <c r="G465">
        <f t="shared" si="79"/>
        <v>0.64318668541603985</v>
      </c>
      <c r="H465">
        <f t="shared" si="80"/>
        <v>0.1762231407391445</v>
      </c>
      <c r="I465">
        <f t="shared" si="81"/>
        <v>0.1805901738448151</v>
      </c>
      <c r="J465">
        <f t="shared" si="82"/>
        <v>0.18059017384481565</v>
      </c>
    </row>
    <row r="466" spans="1:10" x14ac:dyDescent="0.3">
      <c r="A466" s="8">
        <f t="shared" si="78"/>
        <v>8.923076923077474</v>
      </c>
      <c r="B466">
        <f t="shared" si="83"/>
        <v>68.923076923077474</v>
      </c>
      <c r="C466">
        <f t="shared" si="74"/>
        <v>4.7757132738091165E-2</v>
      </c>
      <c r="D466">
        <f t="shared" si="75"/>
        <v>4.7757132738091169E-3</v>
      </c>
      <c r="E466">
        <f t="shared" si="76"/>
        <v>3.2055227895921107E-2</v>
      </c>
      <c r="F466" s="9">
        <f t="shared" si="77"/>
        <v>3.2055227895921107E-2</v>
      </c>
      <c r="G466">
        <f t="shared" si="79"/>
        <v>0.64221784060110498</v>
      </c>
      <c r="H466">
        <f t="shared" si="80"/>
        <v>0.17668769906395362</v>
      </c>
      <c r="I466">
        <f t="shared" si="81"/>
        <v>0.18109446033494078</v>
      </c>
      <c r="J466">
        <f t="shared" si="82"/>
        <v>0.18109446033494139</v>
      </c>
    </row>
    <row r="467" spans="1:10" x14ac:dyDescent="0.3">
      <c r="A467" s="8">
        <f t="shared" si="78"/>
        <v>8.9423076923082476</v>
      </c>
      <c r="B467">
        <f t="shared" si="83"/>
        <v>68.942307692308248</v>
      </c>
      <c r="C467">
        <f t="shared" si="74"/>
        <v>4.7883119732059255E-2</v>
      </c>
      <c r="D467">
        <f t="shared" si="75"/>
        <v>4.7883119732059255E-3</v>
      </c>
      <c r="E467">
        <f t="shared" si="76"/>
        <v>3.2108369118109062E-2</v>
      </c>
      <c r="F467" s="9">
        <f t="shared" si="77"/>
        <v>3.2108369118109062E-2</v>
      </c>
      <c r="G467">
        <f t="shared" si="79"/>
        <v>0.64124835767591437</v>
      </c>
      <c r="H467">
        <f t="shared" si="80"/>
        <v>0.17715237037954434</v>
      </c>
      <c r="I467">
        <f t="shared" si="81"/>
        <v>0.1815992719445407</v>
      </c>
      <c r="J467">
        <f t="shared" si="82"/>
        <v>0.18159927194454129</v>
      </c>
    </row>
    <row r="468" spans="1:10" x14ac:dyDescent="0.3">
      <c r="A468" s="8">
        <f t="shared" si="78"/>
        <v>8.9615384615390212</v>
      </c>
      <c r="B468">
        <f t="shared" si="83"/>
        <v>68.961538461539021</v>
      </c>
      <c r="C468">
        <f t="shared" si="74"/>
        <v>4.8009441896712968E-2</v>
      </c>
      <c r="D468">
        <f t="shared" si="75"/>
        <v>4.8009441896712975E-3</v>
      </c>
      <c r="E468">
        <f t="shared" si="76"/>
        <v>3.2161599833851161E-2</v>
      </c>
      <c r="F468" s="9">
        <f t="shared" si="77"/>
        <v>3.2161599833851161E-2</v>
      </c>
      <c r="G468">
        <f t="shared" si="79"/>
        <v>0.64027823940597106</v>
      </c>
      <c r="H468">
        <f t="shared" si="80"/>
        <v>0.17761715186750815</v>
      </c>
      <c r="I468">
        <f t="shared" si="81"/>
        <v>0.18210460872652021</v>
      </c>
      <c r="J468">
        <f t="shared" si="82"/>
        <v>0.18210460872652079</v>
      </c>
    </row>
    <row r="469" spans="1:10" x14ac:dyDescent="0.3">
      <c r="A469" s="8">
        <f t="shared" si="78"/>
        <v>8.9807692307697948</v>
      </c>
      <c r="B469">
        <f t="shared" si="83"/>
        <v>68.980769230769795</v>
      </c>
      <c r="C469">
        <f t="shared" si="74"/>
        <v>4.8136100123726794E-2</v>
      </c>
      <c r="D469">
        <f t="shared" si="75"/>
        <v>4.8136100123726796E-3</v>
      </c>
      <c r="E469">
        <f t="shared" si="76"/>
        <v>3.2214920193860803E-2</v>
      </c>
      <c r="F469" s="9">
        <f t="shared" si="77"/>
        <v>3.2214920193860803E-2</v>
      </c>
      <c r="G469">
        <f t="shared" si="79"/>
        <v>0.63930748857102215</v>
      </c>
      <c r="H469">
        <f t="shared" si="80"/>
        <v>0.17808204069707076</v>
      </c>
      <c r="I469">
        <f t="shared" si="81"/>
        <v>0.18261047073190653</v>
      </c>
      <c r="J469">
        <f t="shared" si="82"/>
        <v>0.18261047073190709</v>
      </c>
    </row>
    <row r="470" spans="1:10" x14ac:dyDescent="0.3">
      <c r="A470" s="8">
        <f t="shared" si="78"/>
        <v>9.0000000000005684</v>
      </c>
      <c r="B470">
        <f t="shared" si="83"/>
        <v>69.000000000000568</v>
      </c>
      <c r="C470">
        <f t="shared" si="74"/>
        <v>4.8263095307147397E-2</v>
      </c>
      <c r="D470">
        <f t="shared" si="75"/>
        <v>4.8263095307147404E-3</v>
      </c>
      <c r="E470">
        <f t="shared" si="76"/>
        <v>3.2268330349105277E-2</v>
      </c>
      <c r="F470" s="9">
        <f t="shared" si="77"/>
        <v>3.2268330349105277E-2</v>
      </c>
      <c r="G470">
        <f t="shared" si="79"/>
        <v>0.63833610796507534</v>
      </c>
      <c r="H470">
        <f t="shared" si="80"/>
        <v>0.1785470340250816</v>
      </c>
      <c r="I470">
        <f t="shared" si="81"/>
        <v>0.18311685800984248</v>
      </c>
      <c r="J470">
        <f t="shared" si="82"/>
        <v>0.18311685800984306</v>
      </c>
    </row>
    <row r="471" spans="1:10" x14ac:dyDescent="0.3">
      <c r="A471" s="8">
        <f t="shared" si="78"/>
        <v>9.019230769231342</v>
      </c>
      <c r="B471">
        <f t="shared" si="83"/>
        <v>69.019230769231342</v>
      </c>
      <c r="C471">
        <f t="shared" si="74"/>
        <v>4.839042834339994E-2</v>
      </c>
      <c r="D471">
        <f t="shared" si="75"/>
        <v>4.8390428343399947E-3</v>
      </c>
      <c r="E471">
        <f t="shared" si="76"/>
        <v>3.232183045080602E-2</v>
      </c>
      <c r="F471" s="9">
        <f t="shared" si="77"/>
        <v>3.232183045080602E-2</v>
      </c>
      <c r="G471">
        <f t="shared" si="79"/>
        <v>0.63736410039641578</v>
      </c>
      <c r="H471">
        <f t="shared" si="80"/>
        <v>0.17901212899600355</v>
      </c>
      <c r="I471">
        <f t="shared" si="81"/>
        <v>0.18362377060758006</v>
      </c>
      <c r="J471">
        <f t="shared" si="82"/>
        <v>0.18362377060758067</v>
      </c>
    </row>
    <row r="472" spans="1:10" x14ac:dyDescent="0.3">
      <c r="A472" s="8">
        <f t="shared" si="78"/>
        <v>9.0384615384621156</v>
      </c>
      <c r="B472">
        <f t="shared" si="83"/>
        <v>69.038461538462116</v>
      </c>
      <c r="C472">
        <f t="shared" si="74"/>
        <v>4.8518100131294359E-2</v>
      </c>
      <c r="D472">
        <f t="shared" si="75"/>
        <v>4.8518100131294366E-3</v>
      </c>
      <c r="E472">
        <f t="shared" si="76"/>
        <v>3.2375420650439225E-2</v>
      </c>
      <c r="F472" s="9">
        <f t="shared" si="77"/>
        <v>3.2375420650439225E-2</v>
      </c>
      <c r="G472">
        <f t="shared" si="79"/>
        <v>0.63639146868762242</v>
      </c>
      <c r="H472">
        <f t="shared" si="80"/>
        <v>0.17947732274190284</v>
      </c>
      <c r="I472">
        <f t="shared" si="81"/>
        <v>0.1841312085704741</v>
      </c>
      <c r="J472">
        <f t="shared" si="82"/>
        <v>0.18413120857047474</v>
      </c>
    </row>
    <row r="473" spans="1:10" x14ac:dyDescent="0.3">
      <c r="A473" s="8">
        <f t="shared" si="78"/>
        <v>9.0576923076928892</v>
      </c>
      <c r="B473">
        <f t="shared" si="83"/>
        <v>69.057692307692889</v>
      </c>
      <c r="C473">
        <f t="shared" si="74"/>
        <v>4.8646111572031796E-2</v>
      </c>
      <c r="D473">
        <f t="shared" si="75"/>
        <v>4.8646111572031797E-3</v>
      </c>
      <c r="E473">
        <f t="shared" si="76"/>
        <v>3.2429101099736159E-2</v>
      </c>
      <c r="F473" s="9">
        <f t="shared" si="77"/>
        <v>3.2429101099736159E-2</v>
      </c>
      <c r="G473">
        <f t="shared" si="79"/>
        <v>0.6354182156755841</v>
      </c>
      <c r="H473">
        <f t="shared" si="80"/>
        <v>0.17994261238243928</v>
      </c>
      <c r="I473">
        <f t="shared" si="81"/>
        <v>0.18463917194197596</v>
      </c>
      <c r="J473">
        <f t="shared" si="82"/>
        <v>0.18463917194197663</v>
      </c>
    </row>
    <row r="474" spans="1:10" x14ac:dyDescent="0.3">
      <c r="A474" s="8">
        <f t="shared" si="78"/>
        <v>9.0769230769236628</v>
      </c>
      <c r="B474">
        <f t="shared" si="83"/>
        <v>69.076923076923663</v>
      </c>
      <c r="C474">
        <f t="shared" si="74"/>
        <v>4.8774463569210884E-2</v>
      </c>
      <c r="D474">
        <f t="shared" si="75"/>
        <v>4.8774463569210887E-3</v>
      </c>
      <c r="E474">
        <f t="shared" si="76"/>
        <v>3.2482871950683556E-2</v>
      </c>
      <c r="F474" s="9">
        <f t="shared" si="77"/>
        <v>3.2482871950683556E-2</v>
      </c>
      <c r="G474">
        <f t="shared" si="79"/>
        <v>0.63444434421151563</v>
      </c>
      <c r="H474">
        <f t="shared" si="80"/>
        <v>0.18040799502485663</v>
      </c>
      <c r="I474">
        <f t="shared" si="81"/>
        <v>0.18514766076362707</v>
      </c>
      <c r="J474">
        <f t="shared" si="82"/>
        <v>0.18514766076362774</v>
      </c>
    </row>
    <row r="475" spans="1:10" x14ac:dyDescent="0.3">
      <c r="A475" s="8">
        <f t="shared" si="78"/>
        <v>9.0961538461544365</v>
      </c>
      <c r="B475">
        <f t="shared" si="83"/>
        <v>69.096153846154436</v>
      </c>
      <c r="C475">
        <f t="shared" si="74"/>
        <v>4.890315702883416E-2</v>
      </c>
      <c r="D475">
        <f t="shared" si="75"/>
        <v>4.8903157028834165E-3</v>
      </c>
      <c r="E475">
        <f t="shared" si="76"/>
        <v>3.2536733355524199E-2</v>
      </c>
      <c r="F475" s="9">
        <f t="shared" si="77"/>
        <v>3.2536733355524199E-2</v>
      </c>
      <c r="G475">
        <f t="shared" si="79"/>
        <v>0.63346985716097326</v>
      </c>
      <c r="H475">
        <f t="shared" si="80"/>
        <v>0.18087346776397339</v>
      </c>
      <c r="I475">
        <f t="shared" si="81"/>
        <v>0.18565667507505265</v>
      </c>
      <c r="J475">
        <f t="shared" si="82"/>
        <v>0.18565667507505335</v>
      </c>
    </row>
    <row r="476" spans="1:10" x14ac:dyDescent="0.3">
      <c r="A476" s="8">
        <f t="shared" si="78"/>
        <v>9.1153846153852101</v>
      </c>
      <c r="B476">
        <f t="shared" si="83"/>
        <v>69.11538461538521</v>
      </c>
      <c r="C476">
        <f t="shared" si="74"/>
        <v>4.9032192859314448E-2</v>
      </c>
      <c r="D476">
        <f t="shared" si="75"/>
        <v>4.9032192859314455E-3</v>
      </c>
      <c r="E476">
        <f t="shared" si="76"/>
        <v>3.2590685466757155E-2</v>
      </c>
      <c r="F476" s="9">
        <f t="shared" si="77"/>
        <v>3.2590685466757155E-2</v>
      </c>
      <c r="G476">
        <f t="shared" si="79"/>
        <v>0.63249475740387051</v>
      </c>
      <c r="H476">
        <f t="shared" si="80"/>
        <v>0.18133902768217358</v>
      </c>
      <c r="I476">
        <f t="shared" si="81"/>
        <v>0.18616621491395524</v>
      </c>
      <c r="J476">
        <f t="shared" si="82"/>
        <v>0.18616621491395591</v>
      </c>
    </row>
    <row r="477" spans="1:10" x14ac:dyDescent="0.3">
      <c r="A477" s="8">
        <f t="shared" si="78"/>
        <v>9.1346153846159837</v>
      </c>
      <c r="B477">
        <f t="shared" si="83"/>
        <v>69.134615384615984</v>
      </c>
      <c r="C477">
        <f t="shared" si="74"/>
        <v>4.9161571971481285E-2</v>
      </c>
      <c r="D477">
        <f t="shared" si="75"/>
        <v>4.9161571971481285E-3</v>
      </c>
      <c r="E477">
        <f t="shared" si="76"/>
        <v>3.2644728437138427E-2</v>
      </c>
      <c r="F477" s="9">
        <f t="shared" si="77"/>
        <v>3.2644728437138427E-2</v>
      </c>
      <c r="G477">
        <f t="shared" si="79"/>
        <v>0.63151904783449297</v>
      </c>
      <c r="H477">
        <f t="shared" si="80"/>
        <v>0.18180467184939803</v>
      </c>
      <c r="I477">
        <f t="shared" si="81"/>
        <v>0.18667628031610831</v>
      </c>
      <c r="J477">
        <f t="shared" si="82"/>
        <v>0.186676280316109</v>
      </c>
    </row>
    <row r="478" spans="1:10" x14ac:dyDescent="0.3">
      <c r="A478" s="8">
        <f t="shared" si="78"/>
        <v>9.1538461538467573</v>
      </c>
      <c r="B478">
        <f t="shared" si="83"/>
        <v>69.153846153846757</v>
      </c>
      <c r="C478">
        <f t="shared" si="74"/>
        <v>4.9291295278587333E-2</v>
      </c>
      <c r="D478">
        <f t="shared" si="75"/>
        <v>4.9291295278587333E-3</v>
      </c>
      <c r="E478">
        <f t="shared" si="76"/>
        <v>3.2698862419681139E-2</v>
      </c>
      <c r="F478" s="9">
        <f t="shared" si="77"/>
        <v>3.2698862419681139E-2</v>
      </c>
      <c r="G478">
        <f t="shared" si="79"/>
        <v>0.63054273136151362</v>
      </c>
      <c r="H478">
        <f t="shared" si="80"/>
        <v>0.18227039732313577</v>
      </c>
      <c r="I478">
        <f t="shared" si="81"/>
        <v>0.18718687131534992</v>
      </c>
      <c r="J478">
        <f t="shared" si="82"/>
        <v>0.18718687131535061</v>
      </c>
    </row>
    <row r="479" spans="1:10" x14ac:dyDescent="0.3">
      <c r="A479" s="8">
        <f t="shared" si="78"/>
        <v>9.1730769230775309</v>
      </c>
      <c r="B479">
        <f t="shared" si="83"/>
        <v>69.173076923077531</v>
      </c>
      <c r="C479">
        <f t="shared" si="74"/>
        <v>4.9421363696314849E-2</v>
      </c>
      <c r="D479">
        <f t="shared" si="75"/>
        <v>4.9421363696314849E-3</v>
      </c>
      <c r="E479">
        <f t="shared" si="76"/>
        <v>3.2753087567656221E-2</v>
      </c>
      <c r="F479" s="9">
        <f t="shared" si="77"/>
        <v>3.2753087567656221E-2</v>
      </c>
      <c r="G479">
        <f t="shared" si="79"/>
        <v>0.62956581090800734</v>
      </c>
      <c r="H479">
        <f t="shared" si="80"/>
        <v>0.18273620114841571</v>
      </c>
      <c r="I479">
        <f t="shared" si="81"/>
        <v>0.18769798794357626</v>
      </c>
      <c r="J479">
        <f t="shared" si="82"/>
        <v>0.18769798794357695</v>
      </c>
    </row>
    <row r="480" spans="1:10" x14ac:dyDescent="0.3">
      <c r="A480" s="8">
        <f t="shared" si="78"/>
        <v>9.1923076923083045</v>
      </c>
      <c r="B480">
        <f t="shared" si="83"/>
        <v>69.192307692308304</v>
      </c>
      <c r="C480">
        <f t="shared" si="74"/>
        <v>4.9551778142782117E-2</v>
      </c>
      <c r="D480">
        <f t="shared" si="75"/>
        <v>4.9551778142782124E-3</v>
      </c>
      <c r="E480">
        <f t="shared" si="76"/>
        <v>3.2807404034592674E-2</v>
      </c>
      <c r="F480" s="9">
        <f t="shared" si="77"/>
        <v>3.2807404034592674E-2</v>
      </c>
      <c r="G480">
        <f t="shared" si="79"/>
        <v>0.6285882894114655</v>
      </c>
      <c r="H480">
        <f t="shared" si="80"/>
        <v>0.18320208035779861</v>
      </c>
      <c r="I480">
        <f t="shared" si="81"/>
        <v>0.18820963023073525</v>
      </c>
      <c r="J480">
        <f t="shared" si="82"/>
        <v>0.18820963023073589</v>
      </c>
    </row>
    <row r="481" spans="1:10" x14ac:dyDescent="0.3">
      <c r="A481" s="8">
        <f t="shared" si="78"/>
        <v>9.2115384615390781</v>
      </c>
      <c r="B481">
        <f t="shared" si="83"/>
        <v>69.211538461539078</v>
      </c>
      <c r="C481">
        <f t="shared" si="74"/>
        <v>4.9682539538549945E-2</v>
      </c>
      <c r="D481">
        <f t="shared" si="75"/>
        <v>4.9682539538549947E-3</v>
      </c>
      <c r="E481">
        <f t="shared" si="76"/>
        <v>3.2861811974278003E-2</v>
      </c>
      <c r="F481" s="9">
        <f t="shared" si="77"/>
        <v>3.2861811974278003E-2</v>
      </c>
      <c r="G481">
        <f t="shared" si="79"/>
        <v>0.62761016982381002</v>
      </c>
      <c r="H481">
        <f t="shared" si="80"/>
        <v>0.18366803197136924</v>
      </c>
      <c r="I481">
        <f t="shared" si="81"/>
        <v>0.1887217982048201</v>
      </c>
      <c r="J481">
        <f t="shared" si="82"/>
        <v>0.18872179820482074</v>
      </c>
    </row>
    <row r="482" spans="1:10" x14ac:dyDescent="0.3">
      <c r="A482" s="8">
        <f t="shared" si="78"/>
        <v>9.2307692307698517</v>
      </c>
      <c r="B482">
        <f t="shared" si="83"/>
        <v>69.230769230769852</v>
      </c>
      <c r="C482">
        <f t="shared" si="74"/>
        <v>4.981364880662819E-2</v>
      </c>
      <c r="D482">
        <f t="shared" si="75"/>
        <v>4.981364880662819E-3</v>
      </c>
      <c r="E482">
        <f t="shared" si="76"/>
        <v>3.2916311540758809E-2</v>
      </c>
      <c r="F482" s="9">
        <f t="shared" si="77"/>
        <v>3.2916311540758809E-2</v>
      </c>
      <c r="G482">
        <f t="shared" si="79"/>
        <v>0.62663145511140761</v>
      </c>
      <c r="H482">
        <f t="shared" si="80"/>
        <v>0.18413405299672886</v>
      </c>
      <c r="I482">
        <f t="shared" si="81"/>
        <v>0.18923449189186287</v>
      </c>
      <c r="J482">
        <f t="shared" si="82"/>
        <v>0.18923449189186353</v>
      </c>
    </row>
    <row r="483" spans="1:10" x14ac:dyDescent="0.3">
      <c r="A483" s="8">
        <f t="shared" si="78"/>
        <v>9.2500000000006253</v>
      </c>
      <c r="B483">
        <f t="shared" si="83"/>
        <v>69.250000000000625</v>
      </c>
      <c r="C483">
        <f t="shared" si="74"/>
        <v>4.9945106872482214E-2</v>
      </c>
      <c r="D483">
        <f t="shared" si="75"/>
        <v>4.9945106872482216E-3</v>
      </c>
      <c r="E483">
        <f t="shared" si="76"/>
        <v>3.2970902888341001E-2</v>
      </c>
      <c r="F483" s="9">
        <f t="shared" si="77"/>
        <v>3.2970902888341001E-2</v>
      </c>
      <c r="G483">
        <f t="shared" si="79"/>
        <v>0.62565214825508342</v>
      </c>
      <c r="H483">
        <f t="shared" si="80"/>
        <v>0.18460014042898792</v>
      </c>
      <c r="I483">
        <f t="shared" si="81"/>
        <v>0.18974771131592805</v>
      </c>
      <c r="J483">
        <f t="shared" si="82"/>
        <v>0.18974771131592866</v>
      </c>
    </row>
    <row r="484" spans="1:10" x14ac:dyDescent="0.3">
      <c r="A484" s="8">
        <f t="shared" si="78"/>
        <v>9.2692307692313989</v>
      </c>
      <c r="B484">
        <f t="shared" si="83"/>
        <v>69.269230769231399</v>
      </c>
      <c r="C484">
        <f t="shared" si="74"/>
        <v>5.0076914664039469E-2</v>
      </c>
      <c r="D484">
        <f t="shared" si="75"/>
        <v>5.0076914664039475E-3</v>
      </c>
      <c r="E484">
        <f t="shared" si="76"/>
        <v>3.3025586171590446E-2</v>
      </c>
      <c r="F484" s="9">
        <f t="shared" si="77"/>
        <v>3.3025586171590446E-2</v>
      </c>
      <c r="G484">
        <f t="shared" si="79"/>
        <v>0.62467225225013423</v>
      </c>
      <c r="H484">
        <f t="shared" si="80"/>
        <v>0.18506629125075907</v>
      </c>
      <c r="I484">
        <f t="shared" si="81"/>
        <v>0.19026145649910609</v>
      </c>
      <c r="J484">
        <f t="shared" si="82"/>
        <v>0.1902614564991067</v>
      </c>
    </row>
    <row r="485" spans="1:10" x14ac:dyDescent="0.3">
      <c r="A485" s="8">
        <f t="shared" si="78"/>
        <v>9.2884615384621725</v>
      </c>
      <c r="B485">
        <f t="shared" si="83"/>
        <v>69.288461538462172</v>
      </c>
      <c r="C485">
        <f t="shared" si="74"/>
        <v>5.0209073111696027E-2</v>
      </c>
      <c r="D485">
        <f t="shared" si="75"/>
        <v>5.0209073111696029E-3</v>
      </c>
      <c r="E485">
        <f t="shared" si="76"/>
        <v>3.3080361545333233E-2</v>
      </c>
      <c r="F485" s="9">
        <f t="shared" si="77"/>
        <v>3.3080361545333233E-2</v>
      </c>
      <c r="G485">
        <f t="shared" si="79"/>
        <v>0.62369177010634202</v>
      </c>
      <c r="H485">
        <f t="shared" si="80"/>
        <v>0.18553250243215041</v>
      </c>
      <c r="I485">
        <f t="shared" si="81"/>
        <v>0.19077572746150698</v>
      </c>
      <c r="J485">
        <f t="shared" si="82"/>
        <v>0.19077572746150756</v>
      </c>
    </row>
    <row r="486" spans="1:10" x14ac:dyDescent="0.3">
      <c r="A486" s="8">
        <f t="shared" si="78"/>
        <v>9.3076923076929461</v>
      </c>
      <c r="B486">
        <f t="shared" si="83"/>
        <v>69.307692307692946</v>
      </c>
      <c r="C486">
        <f t="shared" si="74"/>
        <v>5.0341583148323127E-2</v>
      </c>
      <c r="D486">
        <f t="shared" si="75"/>
        <v>5.0341583148323134E-3</v>
      </c>
      <c r="E486">
        <f t="shared" si="76"/>
        <v>3.3135229164656242E-2</v>
      </c>
      <c r="F486" s="9">
        <f t="shared" si="77"/>
        <v>3.3135229164656242E-2</v>
      </c>
      <c r="G486">
        <f t="shared" si="79"/>
        <v>0.62271070484798663</v>
      </c>
      <c r="H486">
        <f t="shared" si="80"/>
        <v>0.18599877093075898</v>
      </c>
      <c r="I486">
        <f t="shared" si="81"/>
        <v>0.19129052422125375</v>
      </c>
      <c r="J486">
        <f t="shared" si="82"/>
        <v>0.19129052422125439</v>
      </c>
    </row>
    <row r="487" spans="1:10" x14ac:dyDescent="0.3">
      <c r="A487" s="8">
        <f t="shared" si="78"/>
        <v>9.3269230769237197</v>
      </c>
      <c r="B487">
        <f t="shared" si="83"/>
        <v>69.32692307692372</v>
      </c>
      <c r="C487">
        <f t="shared" si="74"/>
        <v>5.0474445709273813E-2</v>
      </c>
      <c r="D487">
        <f t="shared" si="75"/>
        <v>5.0474445709273816E-3</v>
      </c>
      <c r="E487">
        <f t="shared" si="76"/>
        <v>3.3190189184907556E-2</v>
      </c>
      <c r="F487" s="9">
        <f t="shared" si="77"/>
        <v>3.3190189184907556E-2</v>
      </c>
      <c r="G487">
        <f t="shared" si="79"/>
        <v>0.62172905951385882</v>
      </c>
      <c r="H487">
        <f t="shared" si="80"/>
        <v>0.18646509369166459</v>
      </c>
      <c r="I487">
        <f t="shared" si="81"/>
        <v>0.19180584679447601</v>
      </c>
      <c r="J487">
        <f t="shared" si="82"/>
        <v>0.1918058467944766</v>
      </c>
    </row>
    <row r="488" spans="1:10" x14ac:dyDescent="0.3">
      <c r="A488" s="8">
        <f t="shared" si="78"/>
        <v>9.3461538461544933</v>
      </c>
      <c r="B488">
        <f t="shared" si="83"/>
        <v>69.346153846154493</v>
      </c>
      <c r="C488">
        <f t="shared" si="74"/>
        <v>5.0607661732389495E-2</v>
      </c>
      <c r="D488">
        <f t="shared" si="75"/>
        <v>5.0607661732389496E-3</v>
      </c>
      <c r="E488">
        <f t="shared" si="76"/>
        <v>3.324524176169677E-2</v>
      </c>
      <c r="F488" s="9">
        <f t="shared" si="77"/>
        <v>3.324524176169677E-2</v>
      </c>
      <c r="G488">
        <f t="shared" si="79"/>
        <v>0.62074683715727208</v>
      </c>
      <c r="H488">
        <f t="shared" si="80"/>
        <v>0.18693146764742383</v>
      </c>
      <c r="I488">
        <f t="shared" si="81"/>
        <v>0.19232169519530345</v>
      </c>
      <c r="J488">
        <f t="shared" si="82"/>
        <v>0.19232169519530409</v>
      </c>
    </row>
    <row r="489" spans="1:10" x14ac:dyDescent="0.3">
      <c r="A489" s="8">
        <f t="shared" si="78"/>
        <v>9.3653846153852669</v>
      </c>
      <c r="B489">
        <f t="shared" si="83"/>
        <v>69.365384615385267</v>
      </c>
      <c r="C489">
        <f t="shared" si="74"/>
        <v>5.074123215800655E-2</v>
      </c>
      <c r="D489">
        <f t="shared" si="75"/>
        <v>5.074123215800655E-3</v>
      </c>
      <c r="E489">
        <f t="shared" si="76"/>
        <v>3.3300387050895656E-2</v>
      </c>
      <c r="F489" s="9">
        <f t="shared" si="77"/>
        <v>3.3300387050895656E-2</v>
      </c>
      <c r="G489">
        <f t="shared" si="79"/>
        <v>0.6197640408460755</v>
      </c>
      <c r="H489">
        <f t="shared" si="80"/>
        <v>0.18739788971806448</v>
      </c>
      <c r="I489">
        <f t="shared" si="81"/>
        <v>0.1928380694358594</v>
      </c>
      <c r="J489">
        <f t="shared" si="82"/>
        <v>0.19283806943586002</v>
      </c>
    </row>
    <row r="490" spans="1:10" x14ac:dyDescent="0.3">
      <c r="A490" s="8">
        <f t="shared" si="78"/>
        <v>9.3846153846160405</v>
      </c>
      <c r="B490">
        <f t="shared" si="83"/>
        <v>69.384615384616041</v>
      </c>
      <c r="C490">
        <f t="shared" si="74"/>
        <v>5.0875157928963015E-2</v>
      </c>
      <c r="D490">
        <f t="shared" si="75"/>
        <v>5.0875157928963015E-3</v>
      </c>
      <c r="E490">
        <f t="shared" si="76"/>
        <v>3.3355625208638377E-2</v>
      </c>
      <c r="F490" s="9">
        <f t="shared" si="77"/>
        <v>3.3355625208638377E-2</v>
      </c>
      <c r="G490">
        <f t="shared" si="79"/>
        <v>0.61878067366266498</v>
      </c>
      <c r="H490">
        <f t="shared" si="80"/>
        <v>0.1878643568110801</v>
      </c>
      <c r="I490">
        <f t="shared" si="81"/>
        <v>0.19335496952625428</v>
      </c>
      <c r="J490">
        <f t="shared" si="82"/>
        <v>0.19335496952625492</v>
      </c>
    </row>
    <row r="491" spans="1:10" x14ac:dyDescent="0.3">
      <c r="A491" s="8">
        <f t="shared" si="78"/>
        <v>9.4038461538468141</v>
      </c>
      <c r="B491">
        <f t="shared" si="83"/>
        <v>69.403846153846814</v>
      </c>
      <c r="C491">
        <f t="shared" si="74"/>
        <v>5.100943999060522E-2</v>
      </c>
      <c r="D491">
        <f t="shared" si="75"/>
        <v>5.100943999060522E-3</v>
      </c>
      <c r="E491">
        <f t="shared" si="76"/>
        <v>3.3410956391322154E-2</v>
      </c>
      <c r="F491" s="9">
        <f t="shared" si="77"/>
        <v>3.3410956391322154E-2</v>
      </c>
      <c r="G491">
        <f t="shared" si="79"/>
        <v>0.61779673870399532</v>
      </c>
      <c r="H491">
        <f t="shared" si="80"/>
        <v>0.18833086582142486</v>
      </c>
      <c r="I491">
        <f t="shared" si="81"/>
        <v>0.19387239547457913</v>
      </c>
      <c r="J491">
        <f t="shared" si="82"/>
        <v>0.19387239547457982</v>
      </c>
    </row>
    <row r="492" spans="1:10" x14ac:dyDescent="0.3">
      <c r="A492" s="8">
        <f t="shared" si="78"/>
        <v>9.4230769230775877</v>
      </c>
      <c r="B492">
        <f t="shared" si="83"/>
        <v>69.423076923077588</v>
      </c>
      <c r="C492">
        <f t="shared" si="74"/>
        <v>5.1144079290794439E-2</v>
      </c>
      <c r="D492">
        <f t="shared" si="75"/>
        <v>5.1144079290794441E-3</v>
      </c>
      <c r="E492">
        <f t="shared" si="76"/>
        <v>3.3466380755607456E-2</v>
      </c>
      <c r="F492" s="9">
        <f t="shared" si="77"/>
        <v>3.3466380755607456E-2</v>
      </c>
      <c r="G492">
        <f t="shared" si="79"/>
        <v>0.61681223908159144</v>
      </c>
      <c r="H492">
        <f t="shared" si="80"/>
        <v>0.18879741363150879</v>
      </c>
      <c r="I492">
        <f t="shared" si="81"/>
        <v>0.19439034728689913</v>
      </c>
      <c r="J492">
        <f t="shared" si="82"/>
        <v>0.19439034728689977</v>
      </c>
    </row>
    <row r="493" spans="1:10" x14ac:dyDescent="0.3">
      <c r="A493" s="8">
        <f t="shared" si="78"/>
        <v>9.4423076923083613</v>
      </c>
      <c r="B493">
        <f t="shared" si="83"/>
        <v>69.442307692308361</v>
      </c>
      <c r="C493">
        <f t="shared" si="74"/>
        <v>5.1279076779913606E-2</v>
      </c>
      <c r="D493">
        <f t="shared" si="75"/>
        <v>5.1279076779913611E-3</v>
      </c>
      <c r="E493">
        <f t="shared" si="76"/>
        <v>3.3521898458418679E-2</v>
      </c>
      <c r="F493" s="9">
        <f t="shared" si="77"/>
        <v>3.3521898458418679E-2</v>
      </c>
      <c r="G493">
        <f t="shared" si="79"/>
        <v>0.61582717792155917</v>
      </c>
      <c r="H493">
        <f t="shared" si="80"/>
        <v>0.18926399711119318</v>
      </c>
      <c r="I493">
        <f t="shared" si="81"/>
        <v>0.19490882496724701</v>
      </c>
      <c r="J493">
        <f t="shared" si="82"/>
        <v>0.19490882496724765</v>
      </c>
    </row>
    <row r="494" spans="1:10" x14ac:dyDescent="0.3">
      <c r="A494" s="8">
        <f t="shared" si="78"/>
        <v>9.4615384615391349</v>
      </c>
      <c r="B494">
        <f t="shared" si="83"/>
        <v>69.461538461539135</v>
      </c>
      <c r="C494">
        <f t="shared" si="74"/>
        <v>5.1414433410874011E-2</v>
      </c>
      <c r="D494">
        <f t="shared" si="75"/>
        <v>5.1414433410874013E-3</v>
      </c>
      <c r="E494">
        <f t="shared" si="76"/>
        <v>3.3577509656944504E-2</v>
      </c>
      <c r="F494" s="9">
        <f t="shared" si="77"/>
        <v>3.3577509656944504E-2</v>
      </c>
      <c r="G494">
        <f t="shared" si="79"/>
        <v>0.61484155836459642</v>
      </c>
      <c r="H494">
        <f t="shared" si="80"/>
        <v>0.18973061311778641</v>
      </c>
      <c r="I494">
        <f t="shared" si="81"/>
        <v>0.19542782851761656</v>
      </c>
      <c r="J494">
        <f t="shared" si="82"/>
        <v>0.19542782851761717</v>
      </c>
    </row>
    <row r="495" spans="1:10" x14ac:dyDescent="0.3">
      <c r="A495" s="8">
        <f t="shared" si="78"/>
        <v>9.4807692307699085</v>
      </c>
      <c r="B495">
        <f t="shared" si="83"/>
        <v>69.480769230769909</v>
      </c>
      <c r="C495">
        <f t="shared" si="74"/>
        <v>5.1550150139122036E-2</v>
      </c>
      <c r="D495">
        <f t="shared" si="75"/>
        <v>5.1550150139122036E-3</v>
      </c>
      <c r="E495">
        <f t="shared" si="76"/>
        <v>3.3633214508638223E-2</v>
      </c>
      <c r="F495" s="9">
        <f t="shared" si="77"/>
        <v>3.3633214508638223E-2</v>
      </c>
      <c r="G495">
        <f t="shared" si="79"/>
        <v>0.61385538356600333</v>
      </c>
      <c r="H495">
        <f t="shared" si="80"/>
        <v>0.19019725849603986</v>
      </c>
      <c r="I495">
        <f t="shared" si="81"/>
        <v>0.19594735793795615</v>
      </c>
      <c r="J495">
        <f t="shared" si="82"/>
        <v>0.19594735793795681</v>
      </c>
    </row>
    <row r="496" spans="1:10" x14ac:dyDescent="0.3">
      <c r="A496" s="8">
        <f t="shared" si="78"/>
        <v>9.5000000000006821</v>
      </c>
      <c r="B496">
        <f t="shared" si="83"/>
        <v>69.500000000000682</v>
      </c>
      <c r="C496">
        <f t="shared" si="74"/>
        <v>5.1686227922645891E-2</v>
      </c>
      <c r="D496">
        <f t="shared" si="75"/>
        <v>5.1686227922645893E-3</v>
      </c>
      <c r="E496">
        <f t="shared" si="76"/>
        <v>3.3689013171218411E-2</v>
      </c>
      <c r="F496" s="9">
        <f t="shared" si="77"/>
        <v>3.3689013171218411E-2</v>
      </c>
      <c r="G496">
        <f t="shared" si="79"/>
        <v>0.6128686566956929</v>
      </c>
      <c r="H496">
        <f t="shared" si="80"/>
        <v>0.19066393007814431</v>
      </c>
      <c r="I496">
        <f t="shared" si="81"/>
        <v>0.1964674132261621</v>
      </c>
      <c r="J496">
        <f t="shared" si="82"/>
        <v>0.19646741322616279</v>
      </c>
    </row>
    <row r="497" spans="1:10" x14ac:dyDescent="0.3">
      <c r="A497" s="8">
        <f t="shared" si="78"/>
        <v>9.5192307692314557</v>
      </c>
      <c r="B497">
        <f t="shared" si="83"/>
        <v>69.519230769231456</v>
      </c>
      <c r="C497">
        <f t="shared" si="74"/>
        <v>5.1822667721982366E-2</v>
      </c>
      <c r="D497">
        <f t="shared" si="75"/>
        <v>5.1822667721982373E-3</v>
      </c>
      <c r="E497">
        <f t="shared" si="76"/>
        <v>3.3744905802669145E-2</v>
      </c>
      <c r="F497" s="9">
        <f t="shared" si="77"/>
        <v>3.3744905802669145E-2</v>
      </c>
      <c r="G497">
        <f t="shared" si="79"/>
        <v>0.61188138093820055</v>
      </c>
      <c r="H497">
        <f t="shared" si="80"/>
        <v>0.19113062468372655</v>
      </c>
      <c r="I497">
        <f t="shared" si="81"/>
        <v>0.19698799437807224</v>
      </c>
      <c r="J497">
        <f t="shared" si="82"/>
        <v>0.19698799437807291</v>
      </c>
    </row>
    <row r="498" spans="1:10" x14ac:dyDescent="0.3">
      <c r="A498" s="8">
        <f t="shared" si="78"/>
        <v>9.5384615384622293</v>
      </c>
      <c r="B498">
        <f t="shared" si="83"/>
        <v>69.538461538462229</v>
      </c>
      <c r="C498">
        <f t="shared" si="74"/>
        <v>5.1959470500223565E-2</v>
      </c>
      <c r="D498">
        <f t="shared" si="75"/>
        <v>5.1959470500223572E-3</v>
      </c>
      <c r="E498">
        <f t="shared" si="76"/>
        <v>3.3800892561240657E-2</v>
      </c>
      <c r="F498" s="9">
        <f t="shared" si="77"/>
        <v>3.3800892561240657E-2</v>
      </c>
      <c r="G498">
        <f t="shared" si="79"/>
        <v>0.61089355949269386</v>
      </c>
      <c r="H498">
        <f t="shared" si="80"/>
        <v>0.19159733911984622</v>
      </c>
      <c r="I498">
        <f t="shared" si="81"/>
        <v>0.19750910138745925</v>
      </c>
      <c r="J498">
        <f t="shared" si="82"/>
        <v>0.19750910138745992</v>
      </c>
    </row>
    <row r="499" spans="1:10" x14ac:dyDescent="0.3">
      <c r="A499" s="8">
        <f t="shared" si="78"/>
        <v>9.5576923076930029</v>
      </c>
      <c r="B499">
        <f t="shared" si="83"/>
        <v>69.557692307693003</v>
      </c>
      <c r="C499">
        <f t="shared" si="74"/>
        <v>5.2096637223024003E-2</v>
      </c>
      <c r="D499">
        <f t="shared" si="75"/>
        <v>5.2096637223024008E-3</v>
      </c>
      <c r="E499">
        <f t="shared" si="76"/>
        <v>3.3856973605449585E-2</v>
      </c>
      <c r="F499" s="9">
        <f t="shared" si="77"/>
        <v>3.3856973605449585E-2</v>
      </c>
      <c r="G499">
        <f t="shared" si="79"/>
        <v>0.60990519557298206</v>
      </c>
      <c r="H499">
        <f t="shared" si="80"/>
        <v>0.19206407018099306</v>
      </c>
      <c r="I499">
        <f t="shared" si="81"/>
        <v>0.19803073424602419</v>
      </c>
      <c r="J499">
        <f t="shared" si="82"/>
        <v>0.19803073424602488</v>
      </c>
    </row>
    <row r="500" spans="1:10" x14ac:dyDescent="0.3">
      <c r="A500" s="8">
        <f t="shared" si="78"/>
        <v>9.5769230769237765</v>
      </c>
      <c r="B500">
        <f t="shared" si="83"/>
        <v>69.576923076923777</v>
      </c>
      <c r="C500">
        <f t="shared" si="74"/>
        <v>5.2234168858606933E-2</v>
      </c>
      <c r="D500">
        <f t="shared" si="75"/>
        <v>5.2234168858606937E-3</v>
      </c>
      <c r="E500">
        <f t="shared" si="76"/>
        <v>3.3913149094079602E-2</v>
      </c>
      <c r="F500" s="9">
        <f t="shared" si="77"/>
        <v>3.3913149094079602E-2</v>
      </c>
      <c r="G500">
        <f t="shared" si="79"/>
        <v>0.60891629240752509</v>
      </c>
      <c r="H500">
        <f t="shared" si="80"/>
        <v>0.19253081464908442</v>
      </c>
      <c r="I500">
        <f t="shared" si="81"/>
        <v>0.19855289294338985</v>
      </c>
      <c r="J500">
        <f t="shared" si="82"/>
        <v>0.19855289294339049</v>
      </c>
    </row>
    <row r="501" spans="1:10" x14ac:dyDescent="0.3">
      <c r="A501" s="8">
        <f t="shared" si="78"/>
        <v>9.5961538461545501</v>
      </c>
      <c r="B501">
        <f t="shared" si="83"/>
        <v>69.59615384615455</v>
      </c>
      <c r="C501">
        <f t="shared" si="74"/>
        <v>5.2372066377771503E-2</v>
      </c>
      <c r="D501">
        <f t="shared" si="75"/>
        <v>5.2372066377771509E-3</v>
      </c>
      <c r="E501">
        <f t="shared" si="76"/>
        <v>3.3969419186181772E-2</v>
      </c>
      <c r="F501" s="9">
        <f t="shared" si="77"/>
        <v>3.3969419186181772E-2</v>
      </c>
      <c r="G501">
        <f t="shared" si="79"/>
        <v>0.60792685323944207</v>
      </c>
      <c r="H501">
        <f t="shared" si="80"/>
        <v>0.19299756929346298</v>
      </c>
      <c r="I501">
        <f t="shared" si="81"/>
        <v>0.19907557746709426</v>
      </c>
      <c r="J501">
        <f t="shared" si="82"/>
        <v>0.19907557746709495</v>
      </c>
    </row>
    <row r="502" spans="1:10" x14ac:dyDescent="0.3">
      <c r="A502" s="8">
        <f t="shared" si="78"/>
        <v>9.6153846153853237</v>
      </c>
      <c r="B502">
        <f t="shared" si="83"/>
        <v>69.615384615385324</v>
      </c>
      <c r="C502">
        <f t="shared" si="74"/>
        <v>5.2510330753899548E-2</v>
      </c>
      <c r="D502">
        <f t="shared" si="75"/>
        <v>5.2510330753899551E-3</v>
      </c>
      <c r="E502">
        <f t="shared" si="76"/>
        <v>3.4025784041074945E-2</v>
      </c>
      <c r="F502" s="9">
        <f t="shared" si="77"/>
        <v>3.4025784041074945E-2</v>
      </c>
      <c r="G502">
        <f t="shared" si="79"/>
        <v>0.60693688132652024</v>
      </c>
      <c r="H502">
        <f t="shared" si="80"/>
        <v>0.19346433087089498</v>
      </c>
      <c r="I502">
        <f t="shared" si="81"/>
        <v>0.19959878780258408</v>
      </c>
      <c r="J502">
        <f t="shared" si="82"/>
        <v>0.19959878780258478</v>
      </c>
    </row>
    <row r="503" spans="1:10" x14ac:dyDescent="0.3">
      <c r="A503" s="8">
        <f t="shared" si="78"/>
        <v>9.6346153846160973</v>
      </c>
      <c r="B503">
        <f t="shared" si="83"/>
        <v>69.634615384616097</v>
      </c>
      <c r="C503">
        <f t="shared" si="74"/>
        <v>5.2648962962962446E-2</v>
      </c>
      <c r="D503">
        <f t="shared" si="75"/>
        <v>5.2648962962962452E-3</v>
      </c>
      <c r="E503">
        <f t="shared" si="76"/>
        <v>3.4082243818346375E-2</v>
      </c>
      <c r="F503" s="9">
        <f t="shared" si="77"/>
        <v>3.4082243818346375E-2</v>
      </c>
      <c r="G503">
        <f t="shared" si="79"/>
        <v>0.6059463799412228</v>
      </c>
      <c r="H503">
        <f t="shared" si="80"/>
        <v>0.19393109612556844</v>
      </c>
      <c r="I503">
        <f t="shared" si="81"/>
        <v>0.20012252393320801</v>
      </c>
      <c r="J503">
        <f t="shared" si="82"/>
        <v>0.20012252393320876</v>
      </c>
    </row>
    <row r="504" spans="1:10" x14ac:dyDescent="0.3">
      <c r="A504" s="8">
        <f t="shared" si="78"/>
        <v>9.6538461538468709</v>
      </c>
      <c r="B504">
        <f t="shared" si="83"/>
        <v>69.653846153846871</v>
      </c>
      <c r="C504">
        <f t="shared" si="74"/>
        <v>5.2787963983528016E-2</v>
      </c>
      <c r="D504">
        <f t="shared" si="75"/>
        <v>5.2787963983528018E-3</v>
      </c>
      <c r="E504">
        <f t="shared" si="76"/>
        <v>3.4138798677851967E-2</v>
      </c>
      <c r="F504" s="9">
        <f t="shared" si="77"/>
        <v>3.4138798677851967E-2</v>
      </c>
      <c r="G504">
        <f t="shared" si="79"/>
        <v>0.60495535237069709</v>
      </c>
      <c r="H504">
        <f t="shared" si="80"/>
        <v>0.19439786178909205</v>
      </c>
      <c r="I504">
        <f t="shared" si="81"/>
        <v>0.20064678584021015</v>
      </c>
      <c r="J504">
        <f t="shared" si="82"/>
        <v>0.20064678584021087</v>
      </c>
    </row>
    <row r="505" spans="1:10" x14ac:dyDescent="0.3">
      <c r="A505" s="8">
        <f t="shared" si="78"/>
        <v>9.6730769230776446</v>
      </c>
      <c r="B505">
        <f t="shared" si="83"/>
        <v>69.673076923077645</v>
      </c>
      <c r="C505">
        <f t="shared" si="74"/>
        <v>5.2927334796767395E-2</v>
      </c>
      <c r="D505">
        <f t="shared" si="75"/>
        <v>5.2927334796767402E-3</v>
      </c>
      <c r="E505">
        <f t="shared" si="76"/>
        <v>3.419544877971694E-2</v>
      </c>
      <c r="F505" s="9">
        <f t="shared" si="77"/>
        <v>3.419544877971694E-2</v>
      </c>
      <c r="G505">
        <f t="shared" si="79"/>
        <v>0.60396380191678167</v>
      </c>
      <c r="H505">
        <f t="shared" si="80"/>
        <v>0.19486462458049406</v>
      </c>
      <c r="I505">
        <f t="shared" si="81"/>
        <v>0.20117157350272352</v>
      </c>
      <c r="J505">
        <f t="shared" si="82"/>
        <v>0.20117157350272427</v>
      </c>
    </row>
    <row r="506" spans="1:10" x14ac:dyDescent="0.3">
      <c r="A506" s="8">
        <f t="shared" si="78"/>
        <v>9.6923076923084182</v>
      </c>
      <c r="B506">
        <f t="shared" si="83"/>
        <v>69.692307692308418</v>
      </c>
      <c r="C506">
        <f t="shared" si="74"/>
        <v>5.3067076386462013E-2</v>
      </c>
      <c r="D506">
        <f t="shared" si="75"/>
        <v>5.3067076386462018E-3</v>
      </c>
      <c r="E506">
        <f t="shared" si="76"/>
        <v>3.4252194284336068E-2</v>
      </c>
      <c r="F506" s="9">
        <f t="shared" si="77"/>
        <v>3.4252194284336068E-2</v>
      </c>
      <c r="G506">
        <f t="shared" si="79"/>
        <v>0.60297173189601427</v>
      </c>
      <c r="H506">
        <f t="shared" si="80"/>
        <v>0.19533138120622165</v>
      </c>
      <c r="I506">
        <f t="shared" si="81"/>
        <v>0.20169688689776333</v>
      </c>
      <c r="J506">
        <f t="shared" si="82"/>
        <v>0.20169688689776408</v>
      </c>
    </row>
    <row r="507" spans="1:10" x14ac:dyDescent="0.3">
      <c r="A507" s="8">
        <f t="shared" si="78"/>
        <v>9.7115384615391918</v>
      </c>
      <c r="B507">
        <f t="shared" si="83"/>
        <v>69.711538461539192</v>
      </c>
      <c r="C507">
        <f t="shared" si="74"/>
        <v>5.3207189739010501E-2</v>
      </c>
      <c r="D507">
        <f t="shared" si="75"/>
        <v>5.3207189739010504E-3</v>
      </c>
      <c r="E507">
        <f t="shared" si="76"/>
        <v>3.4309035352374326E-2</v>
      </c>
      <c r="F507" s="9">
        <f t="shared" si="77"/>
        <v>3.4309035352374326E-2</v>
      </c>
      <c r="G507">
        <f t="shared" si="79"/>
        <v>0.60197914563963828</v>
      </c>
      <c r="H507">
        <f t="shared" si="80"/>
        <v>0.1957981283601406</v>
      </c>
      <c r="I507">
        <f t="shared" si="81"/>
        <v>0.2022227260002204</v>
      </c>
      <c r="J507">
        <f t="shared" si="82"/>
        <v>0.20222272600022112</v>
      </c>
    </row>
    <row r="508" spans="1:10" x14ac:dyDescent="0.3">
      <c r="A508" s="8">
        <f t="shared" si="78"/>
        <v>9.7307692307699654</v>
      </c>
      <c r="B508">
        <f t="shared" si="83"/>
        <v>69.730769230769965</v>
      </c>
      <c r="C508">
        <f t="shared" si="74"/>
        <v>5.334767584343568E-2</v>
      </c>
      <c r="D508">
        <f t="shared" si="75"/>
        <v>5.3347675843435681E-3</v>
      </c>
      <c r="E508">
        <f t="shared" si="76"/>
        <v>3.4365972144767255E-2</v>
      </c>
      <c r="F508" s="9">
        <f t="shared" si="77"/>
        <v>3.4365972144767255E-2</v>
      </c>
      <c r="G508">
        <f t="shared" si="79"/>
        <v>0.60098604649360943</v>
      </c>
      <c r="H508">
        <f t="shared" si="80"/>
        <v>0.19626486272353519</v>
      </c>
      <c r="I508">
        <f t="shared" si="81"/>
        <v>0.20274909078285461</v>
      </c>
      <c r="J508">
        <f t="shared" si="82"/>
        <v>0.20274909078285538</v>
      </c>
    </row>
    <row r="509" spans="1:10" x14ac:dyDescent="0.3">
      <c r="A509" s="8">
        <f t="shared" si="78"/>
        <v>9.750000000000739</v>
      </c>
      <c r="B509">
        <f t="shared" si="83"/>
        <v>69.750000000000739</v>
      </c>
      <c r="C509">
        <f t="shared" si="74"/>
        <v>5.3488535691391496E-2</v>
      </c>
      <c r="D509">
        <f t="shared" si="75"/>
        <v>5.3488535691391496E-3</v>
      </c>
      <c r="E509">
        <f t="shared" si="76"/>
        <v>3.4423004822721349E-2</v>
      </c>
      <c r="F509" s="9">
        <f t="shared" si="77"/>
        <v>3.4423004822721349E-2</v>
      </c>
      <c r="G509">
        <f t="shared" si="79"/>
        <v>0.59999243781860256</v>
      </c>
      <c r="H509">
        <f t="shared" si="80"/>
        <v>0.19673158096510851</v>
      </c>
      <c r="I509">
        <f t="shared" si="81"/>
        <v>0.2032759812162882</v>
      </c>
      <c r="J509">
        <f t="shared" si="82"/>
        <v>0.20327598121628893</v>
      </c>
    </row>
    <row r="510" spans="1:10" x14ac:dyDescent="0.3">
      <c r="A510" s="8">
        <f t="shared" si="78"/>
        <v>9.7692307692315126</v>
      </c>
      <c r="B510">
        <f t="shared" si="83"/>
        <v>69.769230769231513</v>
      </c>
      <c r="C510">
        <f t="shared" si="74"/>
        <v>5.3629770277170086E-2</v>
      </c>
      <c r="D510">
        <f t="shared" si="75"/>
        <v>5.3629770277170089E-3</v>
      </c>
      <c r="E510">
        <f t="shared" si="76"/>
        <v>3.4480133547714689E-2</v>
      </c>
      <c r="F510" s="9">
        <f t="shared" si="77"/>
        <v>3.4480133547714689E-2</v>
      </c>
      <c r="G510">
        <f t="shared" si="79"/>
        <v>0.5989983229900171</v>
      </c>
      <c r="H510">
        <f t="shared" si="80"/>
        <v>0.197198279740983</v>
      </c>
      <c r="I510">
        <f t="shared" si="81"/>
        <v>0.20380339726899915</v>
      </c>
      <c r="J510">
        <f t="shared" si="82"/>
        <v>0.2038033972689999</v>
      </c>
    </row>
    <row r="511" spans="1:10" x14ac:dyDescent="0.3">
      <c r="A511" s="8">
        <f t="shared" si="78"/>
        <v>9.7884615384622862</v>
      </c>
      <c r="B511">
        <f t="shared" si="83"/>
        <v>69.788461538462286</v>
      </c>
      <c r="C511">
        <f t="shared" si="74"/>
        <v>5.3771380597708737E-2</v>
      </c>
      <c r="D511">
        <f t="shared" si="75"/>
        <v>5.3771380597708741E-3</v>
      </c>
      <c r="E511">
        <f t="shared" si="76"/>
        <v>3.4537358481497173E-2</v>
      </c>
      <c r="F511" s="9">
        <f t="shared" si="77"/>
        <v>3.4537358481497173E-2</v>
      </c>
      <c r="G511">
        <f t="shared" si="79"/>
        <v>0.5980037053979832</v>
      </c>
      <c r="H511">
        <f t="shared" si="80"/>
        <v>0.19766495569470147</v>
      </c>
      <c r="I511">
        <f t="shared" si="81"/>
        <v>0.20433133890731456</v>
      </c>
      <c r="J511">
        <f t="shared" si="82"/>
        <v>0.20433133890731534</v>
      </c>
    </row>
    <row r="512" spans="1:10" x14ac:dyDescent="0.3">
      <c r="A512" s="8">
        <f t="shared" si="78"/>
        <v>9.8076923076930598</v>
      </c>
      <c r="B512">
        <f t="shared" si="83"/>
        <v>69.80769230769306</v>
      </c>
      <c r="C512">
        <f t="shared" si="74"/>
        <v>5.3913367652596945E-2</v>
      </c>
      <c r="D512">
        <f t="shared" si="75"/>
        <v>5.3913367652596951E-3</v>
      </c>
      <c r="E512">
        <f t="shared" si="76"/>
        <v>3.4594679786091237E-2</v>
      </c>
      <c r="F512" s="9">
        <f t="shared" si="77"/>
        <v>3.4594679786091237E-2</v>
      </c>
      <c r="G512">
        <f t="shared" si="79"/>
        <v>0.59700858844736704</v>
      </c>
      <c r="H512">
        <f t="shared" si="80"/>
        <v>0.19813160545722819</v>
      </c>
      <c r="I512">
        <f t="shared" si="81"/>
        <v>0.204859806095404</v>
      </c>
      <c r="J512">
        <f t="shared" si="82"/>
        <v>0.20485980609540477</v>
      </c>
    </row>
    <row r="513" spans="1:10" x14ac:dyDescent="0.3">
      <c r="A513" s="8">
        <f t="shared" si="78"/>
        <v>9.8269230769238334</v>
      </c>
      <c r="B513">
        <f t="shared" si="83"/>
        <v>69.826923076923833</v>
      </c>
      <c r="C513">
        <f t="shared" si="74"/>
        <v>5.4055732444083508E-2</v>
      </c>
      <c r="D513">
        <f t="shared" si="75"/>
        <v>5.4055732444083515E-3</v>
      </c>
      <c r="E513">
        <f t="shared" si="76"/>
        <v>3.4652097623792032E-2</v>
      </c>
      <c r="F513" s="9">
        <f t="shared" si="77"/>
        <v>3.4652097623792032E-2</v>
      </c>
      <c r="G513">
        <f t="shared" si="79"/>
        <v>0.59601297555777588</v>
      </c>
      <c r="H513">
        <f t="shared" si="80"/>
        <v>0.19859822564695054</v>
      </c>
      <c r="I513">
        <f t="shared" si="81"/>
        <v>0.20538879879527283</v>
      </c>
      <c r="J513">
        <f t="shared" si="82"/>
        <v>0.20538879879527358</v>
      </c>
    </row>
    <row r="514" spans="1:10" x14ac:dyDescent="0.3">
      <c r="A514" s="8">
        <f t="shared" si="78"/>
        <v>9.846153846154607</v>
      </c>
      <c r="B514">
        <f t="shared" si="83"/>
        <v>69.846153846154607</v>
      </c>
      <c r="C514">
        <f t="shared" si="74"/>
        <v>5.4198475977083528E-2</v>
      </c>
      <c r="D514">
        <f t="shared" si="75"/>
        <v>5.4198475977083535E-3</v>
      </c>
      <c r="E514">
        <f t="shared" si="76"/>
        <v>3.470961215716814E-2</v>
      </c>
      <c r="F514" s="9">
        <f t="shared" si="77"/>
        <v>3.470961215716814E-2</v>
      </c>
      <c r="G514">
        <f t="shared" si="79"/>
        <v>0.59501687016356275</v>
      </c>
      <c r="H514">
        <f t="shared" si="80"/>
        <v>0.19906481286968092</v>
      </c>
      <c r="I514">
        <f t="shared" si="81"/>
        <v>0.20591831696675561</v>
      </c>
      <c r="J514">
        <f t="shared" si="82"/>
        <v>0.20591831696675633</v>
      </c>
    </row>
    <row r="515" spans="1:10" x14ac:dyDescent="0.3">
      <c r="A515" s="8">
        <f t="shared" si="78"/>
        <v>9.8653846153853806</v>
      </c>
      <c r="B515">
        <f t="shared" si="83"/>
        <v>69.865384615385381</v>
      </c>
      <c r="C515">
        <f t="shared" ref="C515:C522" si="84">$L$1 +$L$3 * EXP($L$5*B515)</f>
        <v>5.4341599259185552E-2</v>
      </c>
      <c r="D515">
        <f t="shared" ref="D515:D522" si="85">0.1 *C515</f>
        <v>5.4341599259185554E-3</v>
      </c>
      <c r="E515">
        <f t="shared" ref="E515:E522" si="86">$L$2 + $L$4 * EXP($L$6 *B515)</f>
        <v>3.4767223549061893E-2</v>
      </c>
      <c r="F515" s="9">
        <f t="shared" ref="F515:F522" si="87">E515</f>
        <v>3.4767223549061893E-2</v>
      </c>
      <c r="G515">
        <f t="shared" si="79"/>
        <v>0.59402027571383109</v>
      </c>
      <c r="H515">
        <f t="shared" si="80"/>
        <v>0.19953136371865887</v>
      </c>
      <c r="I515">
        <f t="shared" si="81"/>
        <v>0.20644836056750937</v>
      </c>
      <c r="J515">
        <f t="shared" si="82"/>
        <v>0.20644836056751004</v>
      </c>
    </row>
    <row r="516" spans="1:10" x14ac:dyDescent="0.3">
      <c r="A516" s="8">
        <f t="shared" ref="A516:A522" si="88">B516-60</f>
        <v>9.8846153846161542</v>
      </c>
      <c r="B516">
        <f t="shared" si="83"/>
        <v>69.884615384616154</v>
      </c>
      <c r="C516">
        <f t="shared" si="84"/>
        <v>5.4485103300658692E-2</v>
      </c>
      <c r="D516">
        <f t="shared" si="85"/>
        <v>5.4485103300658698E-3</v>
      </c>
      <c r="E516">
        <f t="shared" si="86"/>
        <v>3.4824931962589789E-2</v>
      </c>
      <c r="F516" s="9">
        <f t="shared" si="87"/>
        <v>3.4824931962589789E-2</v>
      </c>
      <c r="G516">
        <f t="shared" ref="G516:G522" si="89">$L$7*(G515*(-C515-E515)+H515*D515)+G515</f>
        <v>0.59302319567243866</v>
      </c>
      <c r="H516">
        <f t="shared" ref="H516:H522" si="90">$L$7*(G515*C515+H515*(-D515-F515))+H515</f>
        <v>0.19999787477455372</v>
      </c>
      <c r="I516">
        <f t="shared" ref="I516:I522" si="91">$L$7*(G515*E515+H515*F515)+I515</f>
        <v>0.20697892955300695</v>
      </c>
      <c r="J516">
        <f t="shared" ref="J516:J522" si="92">1-G516-H516</f>
        <v>0.20697892955300762</v>
      </c>
    </row>
    <row r="517" spans="1:10" x14ac:dyDescent="0.3">
      <c r="A517" s="8">
        <f t="shared" si="88"/>
        <v>9.9038461538469278</v>
      </c>
      <c r="B517">
        <f t="shared" si="83"/>
        <v>69.903846153846928</v>
      </c>
      <c r="C517">
        <f t="shared" si="84"/>
        <v>5.4628989114459715E-2</v>
      </c>
      <c r="D517">
        <f t="shared" si="85"/>
        <v>5.4628989114459715E-3</v>
      </c>
      <c r="E517">
        <f t="shared" si="86"/>
        <v>3.4882737561143143E-2</v>
      </c>
      <c r="F517" s="9">
        <f t="shared" si="87"/>
        <v>3.4882737561143143E-2</v>
      </c>
      <c r="G517">
        <f t="shared" si="89"/>
        <v>0.59202563351800153</v>
      </c>
      <c r="H517">
        <f t="shared" si="90"/>
        <v>0.20046434260546742</v>
      </c>
      <c r="I517">
        <f t="shared" si="91"/>
        <v>0.20751002387653034</v>
      </c>
      <c r="J517">
        <f t="shared" si="92"/>
        <v>0.20751002387653106</v>
      </c>
    </row>
    <row r="518" spans="1:10" x14ac:dyDescent="0.3">
      <c r="A518" s="8">
        <f t="shared" si="88"/>
        <v>9.9230769230777014</v>
      </c>
      <c r="B518">
        <f t="shared" si="83"/>
        <v>69.923076923077701</v>
      </c>
      <c r="C518">
        <f t="shared" si="84"/>
        <v>5.477325771624024E-2</v>
      </c>
      <c r="D518">
        <f t="shared" si="85"/>
        <v>5.4773257716240241E-3</v>
      </c>
      <c r="E518">
        <f t="shared" si="86"/>
        <v>3.4940640508388313E-2</v>
      </c>
      <c r="F518" s="9">
        <f t="shared" si="87"/>
        <v>3.4940640508388313E-2</v>
      </c>
      <c r="G518">
        <f t="shared" si="89"/>
        <v>0.59102759274389749</v>
      </c>
      <c r="H518">
        <f t="shared" si="90"/>
        <v>0.20093076376693778</v>
      </c>
      <c r="I518">
        <f t="shared" si="91"/>
        <v>0.20804164348916401</v>
      </c>
      <c r="J518">
        <f t="shared" si="92"/>
        <v>0.20804164348916473</v>
      </c>
    </row>
    <row r="519" spans="1:10" x14ac:dyDescent="0.3">
      <c r="A519" s="8">
        <f t="shared" si="88"/>
        <v>9.942307692308475</v>
      </c>
      <c r="B519">
        <f t="shared" si="83"/>
        <v>69.942307692308475</v>
      </c>
      <c r="C519">
        <f t="shared" si="84"/>
        <v>5.4917910124353854E-2</v>
      </c>
      <c r="D519">
        <f t="shared" si="85"/>
        <v>5.4917910124353854E-3</v>
      </c>
      <c r="E519">
        <f t="shared" si="86"/>
        <v>3.4998640968267387E-2</v>
      </c>
      <c r="F519" s="9">
        <f t="shared" si="87"/>
        <v>3.4998640968267387E-2</v>
      </c>
      <c r="G519">
        <f t="shared" si="89"/>
        <v>0.590029076858269</v>
      </c>
      <c r="H519">
        <f t="shared" si="90"/>
        <v>0.20139713480194205</v>
      </c>
      <c r="I519">
        <f t="shared" si="91"/>
        <v>0.20857378833978824</v>
      </c>
      <c r="J519">
        <f t="shared" si="92"/>
        <v>0.20857378833978896</v>
      </c>
    </row>
    <row r="520" spans="1:10" x14ac:dyDescent="0.3">
      <c r="A520" s="8">
        <f t="shared" si="88"/>
        <v>9.9615384615392486</v>
      </c>
      <c r="B520">
        <f t="shared" si="83"/>
        <v>69.961538461539249</v>
      </c>
      <c r="C520">
        <f t="shared" si="84"/>
        <v>5.5062947359863369E-2</v>
      </c>
      <c r="D520">
        <f t="shared" si="85"/>
        <v>5.5062947359863371E-3</v>
      </c>
      <c r="E520">
        <f t="shared" si="86"/>
        <v>3.5056739104998451E-2</v>
      </c>
      <c r="F520" s="9">
        <f t="shared" si="87"/>
        <v>3.5056739104998451E-2</v>
      </c>
      <c r="G520">
        <f t="shared" si="89"/>
        <v>0.58903008938402623</v>
      </c>
      <c r="H520">
        <f t="shared" si="90"/>
        <v>0.20186345224090071</v>
      </c>
      <c r="I520">
        <f t="shared" si="91"/>
        <v>0.2091064583750723</v>
      </c>
      <c r="J520">
        <f t="shared" si="92"/>
        <v>0.20910645837507305</v>
      </c>
    </row>
    <row r="521" spans="1:10" x14ac:dyDescent="0.3">
      <c r="A521" s="8">
        <f t="shared" si="88"/>
        <v>9.9807692307700222</v>
      </c>
      <c r="B521">
        <f t="shared" si="83"/>
        <v>69.980769230770022</v>
      </c>
      <c r="C521">
        <f t="shared" si="84"/>
        <v>5.5208370446547951E-2</v>
      </c>
      <c r="D521">
        <f t="shared" si="85"/>
        <v>5.5208370446547953E-3</v>
      </c>
      <c r="E521">
        <f t="shared" si="86"/>
        <v>3.511493508307624E-2</v>
      </c>
      <c r="F521" s="9">
        <f t="shared" si="87"/>
        <v>3.511493508307624E-2</v>
      </c>
      <c r="G521">
        <f t="shared" si="89"/>
        <v>0.58803063385884935</v>
      </c>
      <c r="H521">
        <f t="shared" si="90"/>
        <v>0.20232971260168192</v>
      </c>
      <c r="I521">
        <f t="shared" si="91"/>
        <v>0.20963965353946795</v>
      </c>
      <c r="J521">
        <f t="shared" si="92"/>
        <v>0.20963965353946873</v>
      </c>
    </row>
    <row r="522" spans="1:10" ht="15" thickBot="1" x14ac:dyDescent="0.35">
      <c r="A522" s="13">
        <f t="shared" si="88"/>
        <v>10.000000000000796</v>
      </c>
      <c r="B522" s="11">
        <f t="shared" si="83"/>
        <v>70.000000000000796</v>
      </c>
      <c r="C522" s="11">
        <f t="shared" si="84"/>
        <v>5.535418041091042E-2</v>
      </c>
      <c r="D522" s="11">
        <f t="shared" si="85"/>
        <v>5.5354180410910423E-3</v>
      </c>
      <c r="E522" s="11">
        <f t="shared" si="86"/>
        <v>3.5173229067272403E-2</v>
      </c>
      <c r="F522" s="14">
        <f t="shared" si="87"/>
        <v>3.5173229067272403E-2</v>
      </c>
      <c r="G522">
        <f t="shared" si="89"/>
        <v>0.58703071383519079</v>
      </c>
      <c r="H522">
        <f t="shared" si="90"/>
        <v>0.2027959123896059</v>
      </c>
      <c r="I522">
        <f t="shared" si="91"/>
        <v>0.21017337377520257</v>
      </c>
      <c r="J522">
        <f t="shared" si="92"/>
        <v>0.21017337377520331</v>
      </c>
    </row>
  </sheetData>
  <mergeCells count="2">
    <mergeCell ref="N2:P2"/>
    <mergeCell ref="N8:P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7EDC-01A2-45AF-AFC9-061777FB73DC}">
  <dimension ref="A1:P21"/>
  <sheetViews>
    <sheetView workbookViewId="0">
      <selection activeCell="I35" sqref="I35"/>
    </sheetView>
  </sheetViews>
  <sheetFormatPr baseColWidth="10" defaultRowHeight="14.4" x14ac:dyDescent="0.3"/>
  <cols>
    <col min="5" max="6" width="11.6640625" bestFit="1" customWidth="1"/>
    <col min="7" max="7" width="12.44140625" bestFit="1" customWidth="1"/>
    <col min="8" max="11" width="11.6640625" bestFit="1" customWidth="1"/>
    <col min="13" max="13" width="12.44140625" bestFit="1" customWidth="1"/>
    <col min="14" max="14" width="40.44140625" bestFit="1" customWidth="1"/>
  </cols>
  <sheetData>
    <row r="1" spans="1:16" x14ac:dyDescent="0.3">
      <c r="A1" t="s">
        <v>6</v>
      </c>
      <c r="B1" t="s">
        <v>95</v>
      </c>
      <c r="C1" t="s">
        <v>89</v>
      </c>
      <c r="D1" t="s">
        <v>90</v>
      </c>
      <c r="E1" t="s">
        <v>91</v>
      </c>
      <c r="F1" t="s">
        <v>92</v>
      </c>
      <c r="G1" t="s">
        <v>75</v>
      </c>
      <c r="H1" t="s">
        <v>76</v>
      </c>
      <c r="I1" t="s">
        <v>93</v>
      </c>
      <c r="J1" t="s">
        <v>80</v>
      </c>
      <c r="K1" t="s">
        <v>94</v>
      </c>
      <c r="N1" t="s">
        <v>8</v>
      </c>
    </row>
    <row r="2" spans="1:16" x14ac:dyDescent="0.3">
      <c r="A2">
        <v>1</v>
      </c>
      <c r="B2">
        <v>98953.4</v>
      </c>
      <c r="C2">
        <f>1.2*(1-B2/N16)</f>
        <v>7.9100234329554375E-4</v>
      </c>
      <c r="D2">
        <f>$N$15</f>
        <v>0.05</v>
      </c>
      <c r="E2" s="3">
        <f>$N$3</f>
        <v>2250</v>
      </c>
      <c r="F2" s="3">
        <f>$O$6+$P$6*E2</f>
        <v>70.5</v>
      </c>
      <c r="G2" s="3">
        <f>$N$4</f>
        <v>100000</v>
      </c>
      <c r="H2" s="3">
        <f>G2*C2*(1+D2)^(-1)</f>
        <v>75.333556504337508</v>
      </c>
      <c r="I2" s="3">
        <f>(0+E2-F2-H2)*(1+D2)</f>
        <v>2209.3747656704454</v>
      </c>
      <c r="J2" s="3">
        <v>4500</v>
      </c>
      <c r="K2" s="3">
        <f>MAX(0,I2-J2)</f>
        <v>0</v>
      </c>
      <c r="M2" s="1" t="s">
        <v>73</v>
      </c>
      <c r="N2" s="1">
        <v>45</v>
      </c>
      <c r="O2" s="1"/>
      <c r="P2" s="1"/>
    </row>
    <row r="3" spans="1:16" x14ac:dyDescent="0.3">
      <c r="A3">
        <f>A2+1</f>
        <v>2</v>
      </c>
      <c r="B3">
        <v>98874.5</v>
      </c>
      <c r="C3">
        <f>1.2*(1-B3/B2)</f>
        <v>9.5681401548595166E-4</v>
      </c>
      <c r="D3">
        <f t="shared" ref="D3:D21" si="0">$N$15</f>
        <v>0.05</v>
      </c>
      <c r="E3" s="3">
        <f t="shared" ref="E3:E7" si="1">$N$3</f>
        <v>2250</v>
      </c>
      <c r="F3" s="3">
        <f>$O$6+$P$6*E3</f>
        <v>70.5</v>
      </c>
      <c r="G3" s="3">
        <f t="shared" ref="G3:G21" si="2">$N$4</f>
        <v>100000</v>
      </c>
      <c r="H3" s="3">
        <f t="shared" ref="H3:H21" si="3">G3*C3*(1+D3)^(-1)</f>
        <v>91.125144331995386</v>
      </c>
      <c r="I3" s="3">
        <f>(I2+E3-F3-H3)*(1+D3)</f>
        <v>4512.6371024053733</v>
      </c>
      <c r="J3" s="3">
        <v>4100</v>
      </c>
      <c r="K3" s="3">
        <f t="shared" ref="K3:K21" si="4">MAX(0,I3-J3)</f>
        <v>412.6371024053733</v>
      </c>
      <c r="M3" s="1" t="s">
        <v>74</v>
      </c>
      <c r="N3" s="1">
        <v>2250</v>
      </c>
      <c r="O3" s="1" t="s">
        <v>88</v>
      </c>
      <c r="P3" s="1"/>
    </row>
    <row r="4" spans="1:16" x14ac:dyDescent="0.3">
      <c r="A4">
        <f t="shared" ref="A4:A21" si="5">A3+1</f>
        <v>3</v>
      </c>
      <c r="B4">
        <v>98783.91</v>
      </c>
      <c r="C4">
        <f t="shared" ref="C4:C21" si="6">1.2*(1-B4/B3)</f>
        <v>1.0994543588083161E-3</v>
      </c>
      <c r="D4">
        <f t="shared" si="0"/>
        <v>0.05</v>
      </c>
      <c r="E4" s="3">
        <f t="shared" si="1"/>
        <v>2250</v>
      </c>
      <c r="F4" s="3">
        <f t="shared" ref="F4:F21" si="7">$O$6+$P$6*E4</f>
        <v>70.5</v>
      </c>
      <c r="G4" s="3">
        <f t="shared" si="2"/>
        <v>100000</v>
      </c>
      <c r="H4" s="3">
        <f t="shared" si="3"/>
        <v>104.70993893412533</v>
      </c>
      <c r="I4" s="3">
        <f t="shared" ref="I4:I21" si="8">(I3+E4-F4-H4)*(1+D4)</f>
        <v>6916.7985216448105</v>
      </c>
      <c r="J4" s="3">
        <v>3500</v>
      </c>
      <c r="K4" s="3">
        <f t="shared" si="4"/>
        <v>3416.7985216448105</v>
      </c>
      <c r="M4" s="1" t="s">
        <v>75</v>
      </c>
      <c r="N4" s="1">
        <v>100000</v>
      </c>
      <c r="O4" s="1"/>
      <c r="P4" s="1"/>
    </row>
    <row r="5" spans="1:16" x14ac:dyDescent="0.3">
      <c r="A5">
        <f t="shared" si="5"/>
        <v>4</v>
      </c>
      <c r="B5">
        <v>98684.88</v>
      </c>
      <c r="C5">
        <f t="shared" si="6"/>
        <v>1.2029894342104441E-3</v>
      </c>
      <c r="D5">
        <f t="shared" si="0"/>
        <v>0.05</v>
      </c>
      <c r="E5" s="3">
        <f t="shared" si="1"/>
        <v>2250</v>
      </c>
      <c r="F5" s="3">
        <f t="shared" si="7"/>
        <v>70.5</v>
      </c>
      <c r="G5" s="3">
        <f t="shared" si="2"/>
        <v>100000</v>
      </c>
      <c r="H5" s="3">
        <f t="shared" si="3"/>
        <v>114.57042230575658</v>
      </c>
      <c r="I5" s="3">
        <f t="shared" si="8"/>
        <v>9430.8145043060067</v>
      </c>
      <c r="J5" s="3">
        <v>3500</v>
      </c>
      <c r="K5" s="3">
        <f t="shared" si="4"/>
        <v>5930.8145043060067</v>
      </c>
      <c r="M5" s="1" t="s">
        <v>76</v>
      </c>
      <c r="N5" s="1" t="s">
        <v>77</v>
      </c>
      <c r="O5" s="1"/>
      <c r="P5" s="1"/>
    </row>
    <row r="6" spans="1:16" x14ac:dyDescent="0.3">
      <c r="A6">
        <f t="shared" si="5"/>
        <v>5</v>
      </c>
      <c r="B6">
        <v>98576.37</v>
      </c>
      <c r="C6">
        <f t="shared" si="6"/>
        <v>1.3194726486976283E-3</v>
      </c>
      <c r="D6">
        <f t="shared" si="0"/>
        <v>0.05</v>
      </c>
      <c r="E6" s="3">
        <f t="shared" si="1"/>
        <v>2250</v>
      </c>
      <c r="F6" s="3">
        <f t="shared" si="7"/>
        <v>70.5</v>
      </c>
      <c r="G6" s="3">
        <f t="shared" si="2"/>
        <v>100000</v>
      </c>
      <c r="H6" s="3">
        <f t="shared" si="3"/>
        <v>125.66406178072648</v>
      </c>
      <c r="I6" s="3">
        <f t="shared" si="8"/>
        <v>12058.882964651546</v>
      </c>
      <c r="J6" s="3">
        <v>2500</v>
      </c>
      <c r="K6" s="3">
        <f t="shared" si="4"/>
        <v>9558.882964651546</v>
      </c>
      <c r="M6" s="1" t="s">
        <v>78</v>
      </c>
      <c r="N6" s="1" t="s">
        <v>79</v>
      </c>
      <c r="O6" s="1">
        <v>48</v>
      </c>
      <c r="P6" s="1">
        <v>0.01</v>
      </c>
    </row>
    <row r="7" spans="1:16" x14ac:dyDescent="0.3">
      <c r="A7">
        <f t="shared" si="5"/>
        <v>6</v>
      </c>
      <c r="B7">
        <v>98457.24</v>
      </c>
      <c r="C7">
        <f t="shared" si="6"/>
        <v>1.4502055614341812E-3</v>
      </c>
      <c r="D7">
        <f t="shared" si="0"/>
        <v>0.05</v>
      </c>
      <c r="E7" s="3">
        <f t="shared" si="1"/>
        <v>2250</v>
      </c>
      <c r="F7" s="3">
        <f t="shared" si="7"/>
        <v>70.5</v>
      </c>
      <c r="G7" s="3">
        <f t="shared" si="2"/>
        <v>100000</v>
      </c>
      <c r="H7" s="3">
        <f t="shared" si="3"/>
        <v>138.11481537468393</v>
      </c>
      <c r="I7" s="3">
        <f t="shared" si="8"/>
        <v>14805.281556740707</v>
      </c>
      <c r="J7" s="3">
        <v>2500</v>
      </c>
      <c r="K7" s="3">
        <f t="shared" si="4"/>
        <v>12305.281556740707</v>
      </c>
      <c r="M7" s="1" t="s">
        <v>80</v>
      </c>
      <c r="N7" s="1" t="s">
        <v>85</v>
      </c>
      <c r="O7" s="1"/>
      <c r="P7" s="1"/>
    </row>
    <row r="8" spans="1:16" x14ac:dyDescent="0.3">
      <c r="A8">
        <f t="shared" si="5"/>
        <v>7</v>
      </c>
      <c r="B8">
        <v>98326.19</v>
      </c>
      <c r="C8">
        <f t="shared" si="6"/>
        <v>1.597241604578814E-3</v>
      </c>
      <c r="D8">
        <f t="shared" si="0"/>
        <v>0.05</v>
      </c>
      <c r="E8" s="3">
        <v>0</v>
      </c>
      <c r="F8" s="3">
        <f t="shared" si="7"/>
        <v>48</v>
      </c>
      <c r="G8" s="3">
        <f t="shared" si="2"/>
        <v>100000</v>
      </c>
      <c r="H8" s="3">
        <f t="shared" si="3"/>
        <v>152.11824805512512</v>
      </c>
      <c r="I8" s="3">
        <f t="shared" si="8"/>
        <v>15335.421474119861</v>
      </c>
      <c r="J8" s="3">
        <v>2500</v>
      </c>
      <c r="K8" s="3">
        <f t="shared" si="4"/>
        <v>12835.421474119861</v>
      </c>
      <c r="M8" s="1">
        <v>1</v>
      </c>
      <c r="N8" s="1">
        <v>4500</v>
      </c>
      <c r="O8" s="1"/>
      <c r="P8" s="1"/>
    </row>
    <row r="9" spans="1:16" x14ac:dyDescent="0.3">
      <c r="A9">
        <f t="shared" si="5"/>
        <v>8</v>
      </c>
      <c r="B9">
        <v>98181.77</v>
      </c>
      <c r="C9">
        <f t="shared" si="6"/>
        <v>1.762541597513323E-3</v>
      </c>
      <c r="D9">
        <f t="shared" si="0"/>
        <v>0.05</v>
      </c>
      <c r="E9" s="3">
        <v>0</v>
      </c>
      <c r="F9" s="3">
        <f t="shared" si="7"/>
        <v>48</v>
      </c>
      <c r="G9" s="3">
        <f t="shared" si="2"/>
        <v>100000</v>
      </c>
      <c r="H9" s="3">
        <f t="shared" si="3"/>
        <v>167.86110452507836</v>
      </c>
      <c r="I9" s="3">
        <f t="shared" si="8"/>
        <v>15875.538388074523</v>
      </c>
      <c r="J9" s="3">
        <v>1200</v>
      </c>
      <c r="K9" s="3">
        <f t="shared" si="4"/>
        <v>14675.538388074523</v>
      </c>
      <c r="M9" s="1">
        <v>2</v>
      </c>
      <c r="N9" s="1">
        <v>4100</v>
      </c>
      <c r="O9" s="1"/>
      <c r="P9" s="1"/>
    </row>
    <row r="10" spans="1:16" x14ac:dyDescent="0.3">
      <c r="A10">
        <f t="shared" si="5"/>
        <v>9</v>
      </c>
      <c r="B10">
        <v>98022.38</v>
      </c>
      <c r="C10">
        <f t="shared" si="6"/>
        <v>1.9481009560124551E-3</v>
      </c>
      <c r="D10">
        <f t="shared" si="0"/>
        <v>0.05</v>
      </c>
      <c r="E10" s="3">
        <v>0</v>
      </c>
      <c r="F10" s="3">
        <f t="shared" si="7"/>
        <v>48</v>
      </c>
      <c r="G10" s="3">
        <f t="shared" si="2"/>
        <v>100000</v>
      </c>
      <c r="H10" s="3">
        <f t="shared" si="3"/>
        <v>185.53342438213858</v>
      </c>
      <c r="I10" s="3">
        <f t="shared" si="8"/>
        <v>16424.105211877006</v>
      </c>
      <c r="J10" s="3">
        <v>1200</v>
      </c>
      <c r="K10" s="3">
        <f t="shared" si="4"/>
        <v>15224.105211877006</v>
      </c>
      <c r="M10" s="1" t="s">
        <v>81</v>
      </c>
      <c r="N10" s="1">
        <v>3500</v>
      </c>
      <c r="O10" s="1"/>
      <c r="P10" s="1"/>
    </row>
    <row r="11" spans="1:16" x14ac:dyDescent="0.3">
      <c r="A11">
        <f t="shared" si="5"/>
        <v>10</v>
      </c>
      <c r="B11">
        <v>97846.2</v>
      </c>
      <c r="C11">
        <f t="shared" si="6"/>
        <v>2.1568135766547145E-3</v>
      </c>
      <c r="D11">
        <f t="shared" si="0"/>
        <v>0.05</v>
      </c>
      <c r="E11" s="3">
        <v>0</v>
      </c>
      <c r="F11" s="3">
        <f t="shared" si="7"/>
        <v>48</v>
      </c>
      <c r="G11" s="3">
        <f t="shared" si="2"/>
        <v>100000</v>
      </c>
      <c r="H11" s="3">
        <f t="shared" si="3"/>
        <v>205.41081682425849</v>
      </c>
      <c r="I11" s="3">
        <f t="shared" si="8"/>
        <v>16979.229114805385</v>
      </c>
      <c r="J11" s="3">
        <v>1200</v>
      </c>
      <c r="K11" s="3">
        <f t="shared" si="4"/>
        <v>15779.229114805385</v>
      </c>
      <c r="M11" s="1" t="s">
        <v>82</v>
      </c>
      <c r="N11" s="1">
        <v>2500</v>
      </c>
      <c r="O11" s="1"/>
      <c r="P11" s="1"/>
    </row>
    <row r="12" spans="1:16" x14ac:dyDescent="0.3">
      <c r="A12">
        <f t="shared" si="5"/>
        <v>11</v>
      </c>
      <c r="B12">
        <v>97651.21</v>
      </c>
      <c r="C12">
        <f t="shared" si="6"/>
        <v>2.3913856644405926E-3</v>
      </c>
      <c r="D12">
        <f t="shared" si="0"/>
        <v>0.05</v>
      </c>
      <c r="E12" s="3">
        <v>0</v>
      </c>
      <c r="F12" s="3">
        <f t="shared" si="7"/>
        <v>48</v>
      </c>
      <c r="G12" s="3">
        <f t="shared" si="2"/>
        <v>100000</v>
      </c>
      <c r="H12" s="3">
        <f t="shared" si="3"/>
        <v>227.75101566100881</v>
      </c>
      <c r="I12" s="3">
        <f t="shared" si="8"/>
        <v>17538.652004101597</v>
      </c>
      <c r="J12" s="3">
        <v>0</v>
      </c>
      <c r="K12" s="3">
        <f t="shared" si="4"/>
        <v>17538.652004101597</v>
      </c>
      <c r="M12" s="1" t="s">
        <v>83</v>
      </c>
      <c r="N12" s="1">
        <v>1200</v>
      </c>
      <c r="O12" s="1"/>
      <c r="P12" s="1"/>
    </row>
    <row r="13" spans="1:16" x14ac:dyDescent="0.3">
      <c r="A13">
        <f t="shared" si="5"/>
        <v>12</v>
      </c>
      <c r="B13">
        <v>97435.17</v>
      </c>
      <c r="C13">
        <f t="shared" si="6"/>
        <v>2.6548365350516968E-3</v>
      </c>
      <c r="D13">
        <f t="shared" si="0"/>
        <v>0.05</v>
      </c>
      <c r="E13" s="3">
        <v>0</v>
      </c>
      <c r="F13" s="3">
        <f t="shared" si="7"/>
        <v>48</v>
      </c>
      <c r="G13" s="3">
        <f t="shared" si="2"/>
        <v>100000</v>
      </c>
      <c r="H13" s="3">
        <f t="shared" si="3"/>
        <v>252.84157476682824</v>
      </c>
      <c r="I13" s="3">
        <f t="shared" si="8"/>
        <v>18099.700950801507</v>
      </c>
      <c r="J13" s="3">
        <v>0</v>
      </c>
      <c r="K13" s="3">
        <f t="shared" si="4"/>
        <v>18099.700950801507</v>
      </c>
      <c r="M13" s="1" t="s">
        <v>84</v>
      </c>
      <c r="N13" s="1">
        <v>0</v>
      </c>
      <c r="O13" s="1"/>
      <c r="P13" s="1"/>
    </row>
    <row r="14" spans="1:16" x14ac:dyDescent="0.3">
      <c r="A14">
        <f t="shared" si="5"/>
        <v>13</v>
      </c>
      <c r="B14">
        <v>97195.56</v>
      </c>
      <c r="C14">
        <f t="shared" si="6"/>
        <v>2.9510083473965219E-3</v>
      </c>
      <c r="D14">
        <f t="shared" si="0"/>
        <v>0.05</v>
      </c>
      <c r="E14" s="3">
        <v>0</v>
      </c>
      <c r="F14" s="3">
        <f t="shared" si="7"/>
        <v>48</v>
      </c>
      <c r="G14" s="3">
        <f t="shared" si="2"/>
        <v>100000</v>
      </c>
      <c r="H14" s="3">
        <f t="shared" si="3"/>
        <v>281.04841403776402</v>
      </c>
      <c r="I14" s="3">
        <f t="shared" si="8"/>
        <v>18659.185163601931</v>
      </c>
      <c r="J14" s="3">
        <v>0</v>
      </c>
      <c r="K14" s="3">
        <f t="shared" si="4"/>
        <v>18659.185163601931</v>
      </c>
      <c r="M14" s="1" t="s">
        <v>86</v>
      </c>
      <c r="N14" s="1"/>
      <c r="O14" s="1"/>
      <c r="P14" s="1"/>
    </row>
    <row r="15" spans="1:16" x14ac:dyDescent="0.3">
      <c r="A15">
        <f t="shared" si="5"/>
        <v>14</v>
      </c>
      <c r="B15">
        <v>96929.59</v>
      </c>
      <c r="C15">
        <f t="shared" si="6"/>
        <v>3.2837302444680195E-3</v>
      </c>
      <c r="D15">
        <f t="shared" si="0"/>
        <v>0.05</v>
      </c>
      <c r="E15" s="3">
        <v>0</v>
      </c>
      <c r="F15" s="3">
        <f t="shared" si="7"/>
        <v>48</v>
      </c>
      <c r="G15" s="3">
        <f t="shared" si="2"/>
        <v>100000</v>
      </c>
      <c r="H15" s="3">
        <f t="shared" si="3"/>
        <v>312.73621375885898</v>
      </c>
      <c r="I15" s="3">
        <f t="shared" si="8"/>
        <v>19213.371397335224</v>
      </c>
      <c r="J15" s="3">
        <v>0</v>
      </c>
      <c r="K15" s="3">
        <f t="shared" si="4"/>
        <v>19213.371397335224</v>
      </c>
      <c r="M15" s="1" t="s">
        <v>87</v>
      </c>
      <c r="N15" s="1">
        <v>0.05</v>
      </c>
      <c r="O15" s="1"/>
      <c r="P15" s="1"/>
    </row>
    <row r="16" spans="1:16" x14ac:dyDescent="0.3">
      <c r="A16">
        <f t="shared" si="5"/>
        <v>15</v>
      </c>
      <c r="B16">
        <v>96634.14</v>
      </c>
      <c r="C16">
        <f t="shared" si="6"/>
        <v>3.6577065888755197E-3</v>
      </c>
      <c r="D16">
        <f t="shared" si="0"/>
        <v>0.05</v>
      </c>
      <c r="E16" s="3">
        <v>0</v>
      </c>
      <c r="F16" s="3">
        <f t="shared" si="7"/>
        <v>48</v>
      </c>
      <c r="G16" s="3">
        <f t="shared" si="2"/>
        <v>100000</v>
      </c>
      <c r="H16" s="3">
        <f t="shared" si="3"/>
        <v>348.35300846433518</v>
      </c>
      <c r="I16" s="3">
        <f t="shared" si="8"/>
        <v>19757.869308314435</v>
      </c>
      <c r="J16" s="3">
        <v>0</v>
      </c>
      <c r="K16" s="3">
        <f t="shared" si="4"/>
        <v>19757.869308314435</v>
      </c>
      <c r="M16" s="1" t="s">
        <v>96</v>
      </c>
      <c r="N16" s="1">
        <v>99018.67</v>
      </c>
    </row>
    <row r="17" spans="1:13" x14ac:dyDescent="0.3">
      <c r="A17">
        <f t="shared" si="5"/>
        <v>16</v>
      </c>
      <c r="B17">
        <v>96305.75</v>
      </c>
      <c r="C17">
        <f t="shared" si="6"/>
        <v>4.077937672959075E-3</v>
      </c>
      <c r="D17">
        <f t="shared" si="0"/>
        <v>0.05</v>
      </c>
      <c r="E17" s="3">
        <v>0</v>
      </c>
      <c r="F17" s="3">
        <f t="shared" si="7"/>
        <v>48</v>
      </c>
      <c r="G17" s="3">
        <f t="shared" si="2"/>
        <v>100000</v>
      </c>
      <c r="H17" s="3">
        <f t="shared" si="3"/>
        <v>388.37501647229283</v>
      </c>
      <c r="I17" s="3">
        <f t="shared" si="8"/>
        <v>20287.569006434253</v>
      </c>
      <c r="J17" s="3">
        <v>0</v>
      </c>
      <c r="K17" s="3">
        <f t="shared" si="4"/>
        <v>20287.569006434253</v>
      </c>
    </row>
    <row r="18" spans="1:13" x14ac:dyDescent="0.3">
      <c r="A18">
        <f t="shared" si="5"/>
        <v>17</v>
      </c>
      <c r="B18">
        <v>95940.6</v>
      </c>
      <c r="C18">
        <f t="shared" si="6"/>
        <v>4.5498840931096126E-3</v>
      </c>
      <c r="D18">
        <f t="shared" si="0"/>
        <v>0.05</v>
      </c>
      <c r="E18" s="3">
        <v>0</v>
      </c>
      <c r="F18" s="3">
        <f t="shared" si="7"/>
        <v>48</v>
      </c>
      <c r="G18" s="3">
        <f t="shared" si="2"/>
        <v>100000</v>
      </c>
      <c r="H18" s="3">
        <f t="shared" si="3"/>
        <v>433.32229458186788</v>
      </c>
      <c r="I18" s="3">
        <f t="shared" si="8"/>
        <v>20796.559047445007</v>
      </c>
      <c r="J18" s="3">
        <v>0</v>
      </c>
      <c r="K18" s="3">
        <f t="shared" si="4"/>
        <v>20796.559047445007</v>
      </c>
    </row>
    <row r="19" spans="1:13" x14ac:dyDescent="0.3">
      <c r="A19">
        <f t="shared" si="5"/>
        <v>18</v>
      </c>
      <c r="B19">
        <v>95534.43</v>
      </c>
      <c r="C19">
        <f t="shared" si="6"/>
        <v>5.0802684160826672E-3</v>
      </c>
      <c r="D19">
        <f t="shared" si="0"/>
        <v>0.05</v>
      </c>
      <c r="E19" s="3">
        <v>0</v>
      </c>
      <c r="F19" s="3">
        <f t="shared" si="7"/>
        <v>48</v>
      </c>
      <c r="G19" s="3">
        <f t="shared" si="2"/>
        <v>100000</v>
      </c>
      <c r="H19" s="3">
        <f t="shared" si="3"/>
        <v>483.83508724596828</v>
      </c>
      <c r="I19" s="3">
        <f t="shared" si="8"/>
        <v>21277.960158208993</v>
      </c>
      <c r="J19" s="3">
        <v>0</v>
      </c>
      <c r="K19" s="3">
        <f t="shared" si="4"/>
        <v>21277.960158208993</v>
      </c>
    </row>
    <row r="20" spans="1:13" x14ac:dyDescent="0.3">
      <c r="A20">
        <f t="shared" si="5"/>
        <v>19</v>
      </c>
      <c r="B20">
        <v>95082.53</v>
      </c>
      <c r="C20">
        <f t="shared" si="6"/>
        <v>5.6762781753133314E-3</v>
      </c>
      <c r="D20">
        <f t="shared" si="0"/>
        <v>0.05</v>
      </c>
      <c r="E20" s="3">
        <v>0</v>
      </c>
      <c r="F20" s="3">
        <f t="shared" si="7"/>
        <v>48</v>
      </c>
      <c r="G20" s="3">
        <f t="shared" si="2"/>
        <v>100000</v>
      </c>
      <c r="H20" s="3">
        <f t="shared" si="3"/>
        <v>540.59792145841243</v>
      </c>
      <c r="I20" s="3">
        <f t="shared" si="8"/>
        <v>21723.830348588112</v>
      </c>
      <c r="J20" s="3">
        <v>0</v>
      </c>
      <c r="K20" s="3">
        <f t="shared" si="4"/>
        <v>21723.830348588112</v>
      </c>
      <c r="M20" s="36" t="s">
        <v>97</v>
      </c>
    </row>
    <row r="21" spans="1:13" x14ac:dyDescent="0.3">
      <c r="A21">
        <f t="shared" si="5"/>
        <v>20</v>
      </c>
      <c r="B21">
        <v>94579.73</v>
      </c>
      <c r="C21">
        <f t="shared" si="6"/>
        <v>6.3456451989655884E-3</v>
      </c>
      <c r="D21">
        <f t="shared" si="0"/>
        <v>0.05</v>
      </c>
      <c r="E21" s="3">
        <v>0</v>
      </c>
      <c r="F21" s="3">
        <f t="shared" si="7"/>
        <v>48</v>
      </c>
      <c r="G21" s="3">
        <f t="shared" si="2"/>
        <v>100000</v>
      </c>
      <c r="H21" s="3">
        <f t="shared" si="3"/>
        <v>604.3471618062465</v>
      </c>
      <c r="I21" s="3">
        <f t="shared" si="8"/>
        <v>22125.057346120961</v>
      </c>
      <c r="J21" s="3">
        <v>0</v>
      </c>
      <c r="K21" s="3">
        <f t="shared" si="4"/>
        <v>22125.057346120961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4E32-E7C5-403C-B6C3-A43F53DF2AA2}">
  <dimension ref="A1:S21"/>
  <sheetViews>
    <sheetView tabSelected="1" workbookViewId="0">
      <selection activeCell="K16" sqref="K16"/>
    </sheetView>
  </sheetViews>
  <sheetFormatPr baseColWidth="10" defaultRowHeight="14.4" x14ac:dyDescent="0.3"/>
  <cols>
    <col min="6" max="6" width="11.6640625" bestFit="1" customWidth="1"/>
    <col min="7" max="8" width="12.44140625" bestFit="1" customWidth="1"/>
    <col min="9" max="10" width="11.6640625" bestFit="1" customWidth="1"/>
    <col min="11" max="11" width="12.44140625" bestFit="1" customWidth="1"/>
    <col min="12" max="13" width="11.6640625" bestFit="1" customWidth="1"/>
    <col min="15" max="15" width="12.44140625" bestFit="1" customWidth="1"/>
    <col min="16" max="16" width="40.44140625" bestFit="1" customWidth="1"/>
  </cols>
  <sheetData>
    <row r="1" spans="1:19" x14ac:dyDescent="0.3">
      <c r="A1" t="s">
        <v>6</v>
      </c>
      <c r="B1" t="s">
        <v>100</v>
      </c>
      <c r="C1" t="s">
        <v>95</v>
      </c>
      <c r="D1" t="s">
        <v>89</v>
      </c>
      <c r="E1" t="s">
        <v>90</v>
      </c>
      <c r="F1" t="s">
        <v>91</v>
      </c>
      <c r="G1" t="s">
        <v>92</v>
      </c>
      <c r="H1" t="s">
        <v>75</v>
      </c>
      <c r="I1" t="s">
        <v>76</v>
      </c>
      <c r="J1" t="s">
        <v>93</v>
      </c>
      <c r="K1" t="s">
        <v>103</v>
      </c>
      <c r="L1" t="s">
        <v>80</v>
      </c>
      <c r="M1" t="s">
        <v>94</v>
      </c>
      <c r="P1" t="s">
        <v>8</v>
      </c>
    </row>
    <row r="2" spans="1:19" x14ac:dyDescent="0.3">
      <c r="A2">
        <v>1</v>
      </c>
      <c r="B2">
        <v>2.15</v>
      </c>
      <c r="C2">
        <v>98953.4</v>
      </c>
      <c r="D2">
        <f>1.2*(1-C2/P16)</f>
        <v>7.9100234329554375E-4</v>
      </c>
      <c r="E2">
        <f>$P$15</f>
        <v>0.04</v>
      </c>
      <c r="F2" s="3">
        <v>3500</v>
      </c>
      <c r="G2" s="3">
        <f>$Q$6*F2+$R$6</f>
        <v>900</v>
      </c>
      <c r="H2" s="3">
        <f>$P$4</f>
        <v>100000</v>
      </c>
      <c r="I2" s="3">
        <f>H2*D2*(1+E2)^(-1)</f>
        <v>76.057917624571516</v>
      </c>
      <c r="J2" s="3">
        <f>MIN((0+F2-G2)*(1+E2)/(1+D2*(1+E2)^(-1)*(B2-1)*(1+E2)), (0+F2-G2-D2*(1+E2)^(-1)*$P$17)*(1+$E$2)/(1-D2*(1+E2)^(-1)*(1+E2)))</f>
        <v>2626.9777111957869</v>
      </c>
      <c r="K2" s="3">
        <f>MAX($P$17, B2*J2)</f>
        <v>100000</v>
      </c>
      <c r="L2" s="3">
        <v>2500</v>
      </c>
      <c r="M2" s="3">
        <f>MAX(0,J2-L2)</f>
        <v>126.97771119578692</v>
      </c>
      <c r="O2" s="1" t="s">
        <v>73</v>
      </c>
      <c r="P2" s="1">
        <v>45</v>
      </c>
      <c r="Q2" s="1"/>
      <c r="R2" s="1"/>
    </row>
    <row r="3" spans="1:19" x14ac:dyDescent="0.3">
      <c r="A3">
        <f>A2+1</f>
        <v>2</v>
      </c>
      <c r="B3">
        <v>2.09</v>
      </c>
      <c r="C3">
        <v>98874.5</v>
      </c>
      <c r="D3">
        <f>1.2*(1-C3/C2)</f>
        <v>9.5681401548595166E-4</v>
      </c>
      <c r="E3">
        <f t="shared" ref="E3:E21" si="0">$P$15</f>
        <v>0.04</v>
      </c>
      <c r="F3" s="3">
        <v>3500</v>
      </c>
      <c r="G3" s="3">
        <f>$S$6*F3</f>
        <v>105</v>
      </c>
      <c r="H3" s="3">
        <f t="shared" ref="H3:H21" si="1">$P$4</f>
        <v>100000</v>
      </c>
      <c r="I3" s="3">
        <f t="shared" ref="I3:I21" si="2">H3*D3*(1+E3)^(-1)</f>
        <v>92.001347642879949</v>
      </c>
      <c r="J3" s="3">
        <f>MIN((J2+F3-G3)*(1+E3)/(1+D3*(1+E3)^(-1)*(B3-1)*(1+E3)), (J2+F3-G3-D3*(1+E3)^(-1)*$P$17)*(1+$E$2)/(1-D3*(1+E3)^(-1)*(1+E3)))</f>
        <v>6173.0819093846649</v>
      </c>
      <c r="K3" s="3">
        <f t="shared" ref="K3:K21" si="3">MAX($P$17, B3*J3)</f>
        <v>100000</v>
      </c>
      <c r="L3" s="3">
        <v>2100</v>
      </c>
      <c r="M3" s="3">
        <f t="shared" ref="M3:M21" si="4">MAX(0,J3-L3)</f>
        <v>4073.0819093846649</v>
      </c>
      <c r="O3" s="1" t="s">
        <v>74</v>
      </c>
      <c r="P3" s="1">
        <v>2250</v>
      </c>
      <c r="Q3" s="1" t="s">
        <v>88</v>
      </c>
      <c r="R3" s="1"/>
    </row>
    <row r="4" spans="1:19" x14ac:dyDescent="0.3">
      <c r="A4">
        <f t="shared" ref="A4:A21" si="5">A3+1</f>
        <v>3</v>
      </c>
      <c r="B4">
        <v>2.0299999999999998</v>
      </c>
      <c r="C4">
        <v>98783.91</v>
      </c>
      <c r="D4">
        <f t="shared" ref="D4:D21" si="6">1.2*(1-C4/C3)</f>
        <v>1.0994543588083161E-3</v>
      </c>
      <c r="E4">
        <f t="shared" si="0"/>
        <v>0.04</v>
      </c>
      <c r="F4" s="3">
        <v>3500</v>
      </c>
      <c r="G4" s="3">
        <f t="shared" ref="G4:G21" si="7">$S$6*F4</f>
        <v>105</v>
      </c>
      <c r="H4" s="3">
        <f t="shared" si="1"/>
        <v>100000</v>
      </c>
      <c r="I4" s="3">
        <f t="shared" si="2"/>
        <v>105.71676527003038</v>
      </c>
      <c r="J4" s="3">
        <f t="shared" ref="J4:J21" si="8">MIN((J3+F4-G4)*(1+E4)/(1+D4*(1+E4)^(-1)*(B4-1)*(1+E4)), (J3+F4-G4-D4*(1+E4)^(-1)*$P$17)*(1+$E$2)/(1-D4*(1+E4)^(-1)*(1+E4)))</f>
        <v>9851.6912347489015</v>
      </c>
      <c r="K4" s="3">
        <f t="shared" si="3"/>
        <v>100000</v>
      </c>
      <c r="L4" s="3">
        <v>1200</v>
      </c>
      <c r="M4" s="3">
        <f t="shared" si="4"/>
        <v>8651.6912347489015</v>
      </c>
      <c r="O4" s="1" t="s">
        <v>75</v>
      </c>
      <c r="P4" s="1">
        <v>100000</v>
      </c>
      <c r="Q4" s="1"/>
      <c r="R4" s="1"/>
    </row>
    <row r="5" spans="1:19" x14ac:dyDescent="0.3">
      <c r="A5">
        <f t="shared" si="5"/>
        <v>4</v>
      </c>
      <c r="B5">
        <v>1.97</v>
      </c>
      <c r="C5">
        <v>98684.88</v>
      </c>
      <c r="D5">
        <f t="shared" si="6"/>
        <v>1.2029894342104441E-3</v>
      </c>
      <c r="E5">
        <f t="shared" si="0"/>
        <v>0.04</v>
      </c>
      <c r="F5" s="3">
        <v>3500</v>
      </c>
      <c r="G5" s="3">
        <f t="shared" si="7"/>
        <v>105</v>
      </c>
      <c r="H5" s="3">
        <f t="shared" si="1"/>
        <v>100000</v>
      </c>
      <c r="I5" s="3">
        <f t="shared" si="2"/>
        <v>115.67206098177347</v>
      </c>
      <c r="J5" s="3">
        <f t="shared" si="8"/>
        <v>13672.708064055916</v>
      </c>
      <c r="K5" s="3">
        <f t="shared" si="3"/>
        <v>100000</v>
      </c>
      <c r="L5" s="3">
        <v>1200</v>
      </c>
      <c r="M5" s="3">
        <f t="shared" si="4"/>
        <v>12472.708064055916</v>
      </c>
      <c r="O5" s="1" t="s">
        <v>76</v>
      </c>
      <c r="P5" s="1" t="s">
        <v>77</v>
      </c>
      <c r="Q5" s="1"/>
      <c r="R5" s="1"/>
    </row>
    <row r="6" spans="1:19" x14ac:dyDescent="0.3">
      <c r="A6">
        <f t="shared" si="5"/>
        <v>5</v>
      </c>
      <c r="B6">
        <v>1.91</v>
      </c>
      <c r="C6">
        <v>98576.37</v>
      </c>
      <c r="D6">
        <f t="shared" si="6"/>
        <v>1.3194726486976283E-3</v>
      </c>
      <c r="E6">
        <f t="shared" si="0"/>
        <v>0.04</v>
      </c>
      <c r="F6" s="3">
        <v>3500</v>
      </c>
      <c r="G6" s="3">
        <f t="shared" si="7"/>
        <v>105</v>
      </c>
      <c r="H6" s="3">
        <f t="shared" si="1"/>
        <v>100000</v>
      </c>
      <c r="I6" s="3">
        <f t="shared" si="2"/>
        <v>126.87237006707963</v>
      </c>
      <c r="J6" s="3">
        <f t="shared" si="8"/>
        <v>17641.746924290233</v>
      </c>
      <c r="K6" s="3">
        <f t="shared" si="3"/>
        <v>100000</v>
      </c>
      <c r="L6" s="3">
        <v>600</v>
      </c>
      <c r="M6" s="3">
        <f t="shared" si="4"/>
        <v>17041.746924290233</v>
      </c>
      <c r="O6" s="1" t="s">
        <v>78</v>
      </c>
      <c r="P6" s="1" t="s">
        <v>101</v>
      </c>
      <c r="Q6" s="1">
        <v>0.2</v>
      </c>
      <c r="R6" s="1">
        <v>200</v>
      </c>
      <c r="S6">
        <v>0.03</v>
      </c>
    </row>
    <row r="7" spans="1:19" x14ac:dyDescent="0.3">
      <c r="A7">
        <f t="shared" si="5"/>
        <v>6</v>
      </c>
      <c r="B7">
        <v>1.85</v>
      </c>
      <c r="C7">
        <v>98457.24</v>
      </c>
      <c r="D7">
        <f t="shared" si="6"/>
        <v>1.4502055614341812E-3</v>
      </c>
      <c r="E7">
        <f t="shared" si="0"/>
        <v>0.04</v>
      </c>
      <c r="F7" s="3">
        <v>3500</v>
      </c>
      <c r="G7" s="3">
        <f t="shared" si="7"/>
        <v>105</v>
      </c>
      <c r="H7" s="3">
        <f t="shared" si="1"/>
        <v>100000</v>
      </c>
      <c r="I7" s="3">
        <f t="shared" si="2"/>
        <v>139.44284244559435</v>
      </c>
      <c r="J7" s="3">
        <f t="shared" si="8"/>
        <v>21764.759620563444</v>
      </c>
      <c r="K7" s="3">
        <f t="shared" si="3"/>
        <v>100000</v>
      </c>
      <c r="L7" s="3">
        <v>600</v>
      </c>
      <c r="M7" s="3">
        <f t="shared" si="4"/>
        <v>21164.759620563444</v>
      </c>
      <c r="O7" s="1" t="s">
        <v>80</v>
      </c>
      <c r="P7" s="1" t="s">
        <v>85</v>
      </c>
      <c r="Q7" s="1"/>
      <c r="R7" s="1"/>
    </row>
    <row r="8" spans="1:19" x14ac:dyDescent="0.3">
      <c r="A8">
        <f t="shared" si="5"/>
        <v>7</v>
      </c>
      <c r="B8">
        <v>1.78</v>
      </c>
      <c r="C8">
        <v>98326.19</v>
      </c>
      <c r="D8">
        <f t="shared" si="6"/>
        <v>1.597241604578814E-3</v>
      </c>
      <c r="E8">
        <f t="shared" si="0"/>
        <v>0.04</v>
      </c>
      <c r="F8" s="3">
        <v>3500</v>
      </c>
      <c r="G8" s="3">
        <f t="shared" si="7"/>
        <v>105</v>
      </c>
      <c r="H8" s="3">
        <f t="shared" si="1"/>
        <v>100000</v>
      </c>
      <c r="I8" s="3">
        <f t="shared" si="2"/>
        <v>153.58092351719364</v>
      </c>
      <c r="J8" s="3">
        <f t="shared" si="8"/>
        <v>26048.030843508706</v>
      </c>
      <c r="K8" s="3">
        <f t="shared" si="3"/>
        <v>100000</v>
      </c>
      <c r="L8" s="3">
        <v>600</v>
      </c>
      <c r="M8" s="3">
        <f t="shared" si="4"/>
        <v>25448.030843508706</v>
      </c>
      <c r="O8" s="1">
        <v>1</v>
      </c>
      <c r="P8" s="1">
        <v>2500</v>
      </c>
      <c r="Q8" s="1"/>
      <c r="R8" s="1"/>
    </row>
    <row r="9" spans="1:19" x14ac:dyDescent="0.3">
      <c r="A9">
        <f t="shared" si="5"/>
        <v>8</v>
      </c>
      <c r="B9">
        <v>1.71</v>
      </c>
      <c r="C9">
        <v>98181.77</v>
      </c>
      <c r="D9">
        <f t="shared" si="6"/>
        <v>1.762541597513323E-3</v>
      </c>
      <c r="E9">
        <f t="shared" si="0"/>
        <v>0.04</v>
      </c>
      <c r="F9" s="3">
        <v>3500</v>
      </c>
      <c r="G9" s="3">
        <f t="shared" si="7"/>
        <v>105</v>
      </c>
      <c r="H9" s="3">
        <f t="shared" si="1"/>
        <v>100000</v>
      </c>
      <c r="I9" s="3">
        <f t="shared" si="2"/>
        <v>169.47515360705026</v>
      </c>
      <c r="J9" s="3">
        <f t="shared" si="8"/>
        <v>30498.252355926503</v>
      </c>
      <c r="K9" s="3">
        <f t="shared" si="3"/>
        <v>100000</v>
      </c>
      <c r="L9" s="3">
        <v>0</v>
      </c>
      <c r="M9" s="3">
        <f t="shared" si="4"/>
        <v>30498.252355926503</v>
      </c>
      <c r="O9" s="1">
        <v>2</v>
      </c>
      <c r="P9" s="1">
        <v>2100</v>
      </c>
      <c r="Q9" s="1"/>
      <c r="R9" s="1"/>
    </row>
    <row r="10" spans="1:19" x14ac:dyDescent="0.3">
      <c r="A10">
        <f t="shared" si="5"/>
        <v>9</v>
      </c>
      <c r="B10">
        <v>1.64</v>
      </c>
      <c r="C10">
        <v>98022.38</v>
      </c>
      <c r="D10">
        <f t="shared" si="6"/>
        <v>1.9481009560124551E-3</v>
      </c>
      <c r="E10">
        <f t="shared" si="0"/>
        <v>0.04</v>
      </c>
      <c r="F10" s="3">
        <v>3500</v>
      </c>
      <c r="G10" s="3">
        <f t="shared" si="7"/>
        <v>105</v>
      </c>
      <c r="H10" s="3">
        <f t="shared" si="1"/>
        <v>100000</v>
      </c>
      <c r="I10" s="3">
        <f t="shared" si="2"/>
        <v>187.31739961658221</v>
      </c>
      <c r="J10" s="3">
        <f t="shared" si="8"/>
        <v>35122.594714904066</v>
      </c>
      <c r="K10" s="3">
        <f t="shared" si="3"/>
        <v>100000</v>
      </c>
      <c r="L10" s="3">
        <v>0</v>
      </c>
      <c r="M10" s="3">
        <f t="shared" si="4"/>
        <v>35122.594714904066</v>
      </c>
      <c r="O10" s="1" t="s">
        <v>81</v>
      </c>
      <c r="P10" s="1">
        <v>1200</v>
      </c>
      <c r="Q10" s="1"/>
      <c r="R10" s="1"/>
    </row>
    <row r="11" spans="1:19" x14ac:dyDescent="0.3">
      <c r="A11">
        <f t="shared" si="5"/>
        <v>10</v>
      </c>
      <c r="B11">
        <v>1.57</v>
      </c>
      <c r="C11">
        <v>97846.2</v>
      </c>
      <c r="D11">
        <f t="shared" si="6"/>
        <v>2.1568135766547145E-3</v>
      </c>
      <c r="E11">
        <f t="shared" si="0"/>
        <v>0.04</v>
      </c>
      <c r="F11" s="3">
        <v>3500</v>
      </c>
      <c r="G11" s="3">
        <f t="shared" si="7"/>
        <v>105</v>
      </c>
      <c r="H11" s="3">
        <f t="shared" si="1"/>
        <v>100000</v>
      </c>
      <c r="I11" s="3">
        <f t="shared" si="2"/>
        <v>207.38592083218407</v>
      </c>
      <c r="J11" s="3">
        <f t="shared" si="8"/>
        <v>39928.735985707397</v>
      </c>
      <c r="K11" s="3">
        <f t="shared" si="3"/>
        <v>100000</v>
      </c>
      <c r="L11" s="3">
        <v>0</v>
      </c>
      <c r="M11" s="3">
        <f t="shared" si="4"/>
        <v>39928.735985707397</v>
      </c>
      <c r="O11" s="1" t="s">
        <v>82</v>
      </c>
      <c r="P11" s="1">
        <v>600</v>
      </c>
      <c r="Q11" s="1"/>
      <c r="R11" s="1"/>
    </row>
    <row r="12" spans="1:19" x14ac:dyDescent="0.3">
      <c r="A12">
        <f t="shared" si="5"/>
        <v>11</v>
      </c>
      <c r="B12">
        <v>1.5</v>
      </c>
      <c r="C12">
        <v>97651.21</v>
      </c>
      <c r="D12">
        <f t="shared" si="6"/>
        <v>2.3913856644405926E-3</v>
      </c>
      <c r="E12">
        <f t="shared" si="0"/>
        <v>0.04</v>
      </c>
      <c r="F12" s="3">
        <v>3500</v>
      </c>
      <c r="G12" s="3">
        <f t="shared" si="7"/>
        <v>105</v>
      </c>
      <c r="H12" s="3">
        <f t="shared" si="1"/>
        <v>100000</v>
      </c>
      <c r="I12" s="3">
        <f t="shared" si="2"/>
        <v>229.94092927313386</v>
      </c>
      <c r="J12" s="3">
        <f t="shared" si="8"/>
        <v>44924.979811387871</v>
      </c>
      <c r="K12" s="3">
        <f t="shared" si="3"/>
        <v>100000</v>
      </c>
      <c r="L12" s="3">
        <v>0</v>
      </c>
      <c r="M12" s="3">
        <f t="shared" si="4"/>
        <v>44924.979811387871</v>
      </c>
      <c r="O12" s="1" t="s">
        <v>102</v>
      </c>
      <c r="P12" s="1">
        <v>0</v>
      </c>
      <c r="Q12" s="1"/>
      <c r="R12" s="1"/>
    </row>
    <row r="13" spans="1:19" x14ac:dyDescent="0.3">
      <c r="A13">
        <f t="shared" si="5"/>
        <v>12</v>
      </c>
      <c r="B13">
        <v>1.46</v>
      </c>
      <c r="C13">
        <v>97435.17</v>
      </c>
      <c r="D13">
        <f t="shared" si="6"/>
        <v>2.6548365350516968E-3</v>
      </c>
      <c r="E13">
        <f t="shared" si="0"/>
        <v>0.04</v>
      </c>
      <c r="F13" s="3">
        <v>3500</v>
      </c>
      <c r="G13" s="3">
        <f t="shared" si="7"/>
        <v>105</v>
      </c>
      <c r="H13" s="3">
        <f t="shared" si="1"/>
        <v>100000</v>
      </c>
      <c r="I13" s="3">
        <f t="shared" si="2"/>
        <v>255.27274375497083</v>
      </c>
      <c r="J13" s="3">
        <f t="shared" si="8"/>
        <v>50120.356704467064</v>
      </c>
      <c r="K13" s="3">
        <f t="shared" si="3"/>
        <v>100000</v>
      </c>
      <c r="L13" s="3">
        <v>0</v>
      </c>
      <c r="M13" s="3">
        <f t="shared" si="4"/>
        <v>50120.356704467064</v>
      </c>
      <c r="O13" s="1"/>
      <c r="P13" s="1"/>
      <c r="Q13" s="1"/>
      <c r="R13" s="1"/>
    </row>
    <row r="14" spans="1:19" x14ac:dyDescent="0.3">
      <c r="A14">
        <f t="shared" si="5"/>
        <v>13</v>
      </c>
      <c r="B14">
        <v>1.42</v>
      </c>
      <c r="C14">
        <v>97195.56</v>
      </c>
      <c r="D14">
        <f t="shared" si="6"/>
        <v>2.9510083473965219E-3</v>
      </c>
      <c r="E14">
        <f t="shared" si="0"/>
        <v>0.04</v>
      </c>
      <c r="F14" s="3">
        <v>3500</v>
      </c>
      <c r="G14" s="3">
        <f t="shared" si="7"/>
        <v>105</v>
      </c>
      <c r="H14" s="3">
        <f t="shared" si="1"/>
        <v>100000</v>
      </c>
      <c r="I14" s="3">
        <f t="shared" si="2"/>
        <v>283.75080263428094</v>
      </c>
      <c r="J14" s="3">
        <f t="shared" si="8"/>
        <v>55524.724062100242</v>
      </c>
      <c r="K14" s="3">
        <f t="shared" si="3"/>
        <v>100000</v>
      </c>
      <c r="L14" s="3">
        <v>0</v>
      </c>
      <c r="M14" s="3">
        <f t="shared" si="4"/>
        <v>55524.724062100242</v>
      </c>
      <c r="O14" s="1" t="s">
        <v>86</v>
      </c>
      <c r="P14" s="1"/>
      <c r="Q14" s="1"/>
      <c r="R14" s="1"/>
    </row>
    <row r="15" spans="1:19" x14ac:dyDescent="0.3">
      <c r="A15">
        <f t="shared" si="5"/>
        <v>14</v>
      </c>
      <c r="B15">
        <v>1.38</v>
      </c>
      <c r="C15">
        <v>96929.59</v>
      </c>
      <c r="D15">
        <f t="shared" si="6"/>
        <v>3.2837302444680195E-3</v>
      </c>
      <c r="E15">
        <f t="shared" si="0"/>
        <v>0.04</v>
      </c>
      <c r="F15" s="3">
        <v>3500</v>
      </c>
      <c r="G15" s="3">
        <f t="shared" si="7"/>
        <v>105</v>
      </c>
      <c r="H15" s="3">
        <f t="shared" si="1"/>
        <v>100000</v>
      </c>
      <c r="I15" s="3">
        <f t="shared" si="2"/>
        <v>315.7432927373095</v>
      </c>
      <c r="J15" s="3">
        <f t="shared" si="8"/>
        <v>61148.936612709665</v>
      </c>
      <c r="K15" s="3">
        <f t="shared" si="3"/>
        <v>100000</v>
      </c>
      <c r="L15" s="3">
        <v>0</v>
      </c>
      <c r="M15" s="3">
        <f t="shared" si="4"/>
        <v>61148.936612709665</v>
      </c>
      <c r="O15" s="1" t="s">
        <v>87</v>
      </c>
      <c r="P15" s="1">
        <v>0.04</v>
      </c>
      <c r="Q15" s="1"/>
      <c r="R15" s="1"/>
    </row>
    <row r="16" spans="1:19" x14ac:dyDescent="0.3">
      <c r="A16">
        <f t="shared" si="5"/>
        <v>15</v>
      </c>
      <c r="B16">
        <v>1.34</v>
      </c>
      <c r="C16">
        <v>96634.14</v>
      </c>
      <c r="D16">
        <f t="shared" si="6"/>
        <v>3.6577065888755197E-3</v>
      </c>
      <c r="E16">
        <f t="shared" si="0"/>
        <v>0.04</v>
      </c>
      <c r="F16" s="3">
        <v>3500</v>
      </c>
      <c r="G16" s="3">
        <f t="shared" si="7"/>
        <v>105</v>
      </c>
      <c r="H16" s="3">
        <f t="shared" si="1"/>
        <v>100000</v>
      </c>
      <c r="I16" s="3">
        <f t="shared" si="2"/>
        <v>351.70255662264611</v>
      </c>
      <c r="J16" s="3">
        <f t="shared" si="8"/>
        <v>67005.008077864579</v>
      </c>
      <c r="K16" s="3">
        <f t="shared" si="3"/>
        <v>100000</v>
      </c>
      <c r="L16" s="3">
        <v>0</v>
      </c>
      <c r="M16" s="3">
        <f t="shared" si="4"/>
        <v>67005.008077864579</v>
      </c>
      <c r="O16" s="1" t="s">
        <v>96</v>
      </c>
      <c r="P16" s="1">
        <v>99018.67</v>
      </c>
    </row>
    <row r="17" spans="1:16" x14ac:dyDescent="0.3">
      <c r="A17">
        <f t="shared" si="5"/>
        <v>16</v>
      </c>
      <c r="B17">
        <v>1.3</v>
      </c>
      <c r="C17">
        <v>96305.75</v>
      </c>
      <c r="D17">
        <f t="shared" si="6"/>
        <v>4.077937672959075E-3</v>
      </c>
      <c r="E17">
        <f t="shared" si="0"/>
        <v>0.04</v>
      </c>
      <c r="F17" s="3">
        <v>3500</v>
      </c>
      <c r="G17" s="3">
        <f t="shared" si="7"/>
        <v>105</v>
      </c>
      <c r="H17" s="3">
        <f t="shared" si="1"/>
        <v>100000</v>
      </c>
      <c r="I17" s="3">
        <f t="shared" si="2"/>
        <v>392.10939163068025</v>
      </c>
      <c r="J17" s="3">
        <f t="shared" si="8"/>
        <v>73106.337722413547</v>
      </c>
      <c r="K17" s="3">
        <f t="shared" si="3"/>
        <v>100000</v>
      </c>
      <c r="L17" s="3">
        <v>0</v>
      </c>
      <c r="M17" s="3">
        <f t="shared" si="4"/>
        <v>73106.337722413547</v>
      </c>
      <c r="O17" s="1" t="s">
        <v>99</v>
      </c>
      <c r="P17" s="1">
        <v>100000</v>
      </c>
    </row>
    <row r="18" spans="1:16" x14ac:dyDescent="0.3">
      <c r="A18">
        <f t="shared" si="5"/>
        <v>17</v>
      </c>
      <c r="B18">
        <v>1.28</v>
      </c>
      <c r="C18">
        <v>95940.6</v>
      </c>
      <c r="D18">
        <f t="shared" si="6"/>
        <v>4.5498840931096126E-3</v>
      </c>
      <c r="E18">
        <f t="shared" si="0"/>
        <v>0.04</v>
      </c>
      <c r="F18" s="3">
        <v>3500</v>
      </c>
      <c r="G18" s="3">
        <f t="shared" si="7"/>
        <v>105</v>
      </c>
      <c r="H18" s="3">
        <f t="shared" si="1"/>
        <v>100000</v>
      </c>
      <c r="I18" s="3">
        <f t="shared" si="2"/>
        <v>437.48885510669351</v>
      </c>
      <c r="J18" s="3">
        <f t="shared" si="8"/>
        <v>79460.161564271679</v>
      </c>
      <c r="K18" s="3">
        <f t="shared" si="3"/>
        <v>101709.00680226774</v>
      </c>
      <c r="L18" s="3">
        <v>0</v>
      </c>
      <c r="M18" s="3">
        <f t="shared" si="4"/>
        <v>79460.161564271679</v>
      </c>
    </row>
    <row r="19" spans="1:16" x14ac:dyDescent="0.3">
      <c r="A19">
        <f t="shared" si="5"/>
        <v>18</v>
      </c>
      <c r="B19">
        <v>1.26</v>
      </c>
      <c r="C19">
        <v>95534.43</v>
      </c>
      <c r="D19">
        <f t="shared" si="6"/>
        <v>5.0802684160826672E-3</v>
      </c>
      <c r="E19">
        <f t="shared" si="0"/>
        <v>0.04</v>
      </c>
      <c r="F19" s="3">
        <v>3500</v>
      </c>
      <c r="G19" s="3">
        <f t="shared" si="7"/>
        <v>105</v>
      </c>
      <c r="H19" s="3">
        <f t="shared" si="1"/>
        <v>100000</v>
      </c>
      <c r="I19" s="3">
        <f t="shared" si="2"/>
        <v>488.48734770025646</v>
      </c>
      <c r="J19" s="3">
        <f t="shared" si="8"/>
        <v>86055.699653069998</v>
      </c>
      <c r="K19" s="3">
        <f t="shared" si="3"/>
        <v>108430.18156286819</v>
      </c>
      <c r="L19" s="3">
        <v>0</v>
      </c>
      <c r="M19" s="3">
        <f t="shared" si="4"/>
        <v>86055.699653069998</v>
      </c>
    </row>
    <row r="20" spans="1:16" x14ac:dyDescent="0.3">
      <c r="A20">
        <f t="shared" si="5"/>
        <v>19</v>
      </c>
      <c r="B20">
        <v>1.24</v>
      </c>
      <c r="C20">
        <v>95082.53</v>
      </c>
      <c r="D20">
        <f t="shared" si="6"/>
        <v>5.6762781753133314E-3</v>
      </c>
      <c r="E20">
        <f t="shared" si="0"/>
        <v>0.04</v>
      </c>
      <c r="F20" s="3">
        <v>3500</v>
      </c>
      <c r="G20" s="3">
        <f t="shared" si="7"/>
        <v>105</v>
      </c>
      <c r="H20" s="3">
        <f t="shared" si="1"/>
        <v>100000</v>
      </c>
      <c r="I20" s="3">
        <f t="shared" si="2"/>
        <v>545.79597839551252</v>
      </c>
      <c r="J20" s="3">
        <f t="shared" si="8"/>
        <v>92902.166389708669</v>
      </c>
      <c r="K20" s="3">
        <f t="shared" si="3"/>
        <v>115198.68632323875</v>
      </c>
      <c r="L20" s="3">
        <v>0</v>
      </c>
      <c r="M20" s="3">
        <f t="shared" si="4"/>
        <v>92902.166389708669</v>
      </c>
      <c r="O20" s="36" t="s">
        <v>98</v>
      </c>
    </row>
    <row r="21" spans="1:16" x14ac:dyDescent="0.3">
      <c r="A21">
        <f t="shared" si="5"/>
        <v>20</v>
      </c>
      <c r="B21">
        <v>1.24</v>
      </c>
      <c r="C21">
        <v>94579.73</v>
      </c>
      <c r="D21">
        <f t="shared" si="6"/>
        <v>6.3456451989655884E-3</v>
      </c>
      <c r="E21">
        <f t="shared" si="0"/>
        <v>0.04</v>
      </c>
      <c r="F21" s="3">
        <v>3500</v>
      </c>
      <c r="G21" s="3">
        <f t="shared" si="7"/>
        <v>105</v>
      </c>
      <c r="H21" s="3">
        <f t="shared" si="1"/>
        <v>100000</v>
      </c>
      <c r="I21" s="3">
        <f t="shared" si="2"/>
        <v>610.15819220822959</v>
      </c>
      <c r="J21" s="3">
        <f t="shared" si="8"/>
        <v>99996.762491101705</v>
      </c>
      <c r="K21" s="3">
        <f t="shared" si="3"/>
        <v>123995.98548896611</v>
      </c>
      <c r="L21" s="3">
        <v>0</v>
      </c>
      <c r="M21" s="3">
        <f t="shared" si="4"/>
        <v>99996.762491101705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Euler-Thiele</vt:lpstr>
      <vt:lpstr>Reserve_calculsmortalite</vt:lpstr>
      <vt:lpstr>Euler_kolmogorov-decr</vt:lpstr>
      <vt:lpstr>UniverselleB</vt:lpstr>
      <vt:lpstr>UniverselleA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Chevalier</dc:creator>
  <cp:lastModifiedBy>Dominik Chevalier</cp:lastModifiedBy>
  <dcterms:created xsi:type="dcterms:W3CDTF">2025-04-06T20:25:27Z</dcterms:created>
  <dcterms:modified xsi:type="dcterms:W3CDTF">2025-04-10T01:52:41Z</dcterms:modified>
</cp:coreProperties>
</file>