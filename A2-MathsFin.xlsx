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69c8639e63a457/projets_pro/ICA/Capstone/Templates_Codes_XL/"/>
    </mc:Choice>
  </mc:AlternateContent>
  <xr:revisionPtr revIDLastSave="799" documentId="8_{4D345AC6-9B4C-4585-8546-D63B2EB51A8D}" xr6:coauthVersionLast="47" xr6:coauthVersionMax="47" xr10:uidLastSave="{DB92FA26-B0C0-4F2E-A771-9B8A7D844DB5}"/>
  <bookViews>
    <workbookView xWindow="-28920" yWindow="-3045" windowWidth="29040" windowHeight="15720" activeTab="4" xr2:uid="{BE163844-3C76-4A75-8C83-A4B658021935}"/>
  </bookViews>
  <sheets>
    <sheet name="Intérêt" sheetId="1" r:id="rId1"/>
    <sheet name="Equations Valeur Temporelle" sheetId="2" r:id="rId2"/>
    <sheet name="Annuités" sheetId="3" r:id="rId3"/>
    <sheet name="Prêts" sheetId="4" r:id="rId4"/>
    <sheet name="Duration, Convexité, immun" sheetId="5" r:id="rId5"/>
  </sheets>
  <definedNames>
    <definedName name="solver_adj" localSheetId="1" hidden="1">'Equations Valeur Temporelle'!$G$3</definedName>
    <definedName name="solver_adj" localSheetId="0" hidden="1">Intérêt!$N$5</definedName>
    <definedName name="solver_cvg" localSheetId="1" hidden="1">0.0001</definedName>
    <definedName name="solver_cvg" localSheetId="0" hidden="1">0.0001</definedName>
    <definedName name="solver_drv" localSheetId="1" hidden="1">1</definedName>
    <definedName name="solver_drv" localSheetId="0" hidden="1">1</definedName>
    <definedName name="solver_eng" localSheetId="1" hidden="1">1</definedName>
    <definedName name="solver_eng" localSheetId="0" hidden="1">1</definedName>
    <definedName name="solver_est" localSheetId="1" hidden="1">1</definedName>
    <definedName name="solver_est" localSheetId="0" hidden="1">1</definedName>
    <definedName name="solver_itr" localSheetId="1" hidden="1">2147483647</definedName>
    <definedName name="solver_itr" localSheetId="0" hidden="1">2147483647</definedName>
    <definedName name="solver_mip" localSheetId="1" hidden="1">2147483647</definedName>
    <definedName name="solver_mip" localSheetId="0" hidden="1">2147483647</definedName>
    <definedName name="solver_mni" localSheetId="1" hidden="1">30</definedName>
    <definedName name="solver_mni" localSheetId="0" hidden="1">30</definedName>
    <definedName name="solver_mrt" localSheetId="1" hidden="1">0.075</definedName>
    <definedName name="solver_mrt" localSheetId="0" hidden="1">0.075</definedName>
    <definedName name="solver_msl" localSheetId="1" hidden="1">2</definedName>
    <definedName name="solver_msl" localSheetId="0" hidden="1">2</definedName>
    <definedName name="solver_neg" localSheetId="1" hidden="1">1</definedName>
    <definedName name="solver_neg" localSheetId="0" hidden="1">1</definedName>
    <definedName name="solver_nod" localSheetId="1" hidden="1">2147483647</definedName>
    <definedName name="solver_nod" localSheetId="0" hidden="1">2147483647</definedName>
    <definedName name="solver_num" localSheetId="1" hidden="1">0</definedName>
    <definedName name="solver_num" localSheetId="0" hidden="1">0</definedName>
    <definedName name="solver_nwt" localSheetId="1" hidden="1">1</definedName>
    <definedName name="solver_nwt" localSheetId="0" hidden="1">1</definedName>
    <definedName name="solver_opt" localSheetId="1" hidden="1">'Equations Valeur Temporelle'!$G$6</definedName>
    <definedName name="solver_opt" localSheetId="0" hidden="1">Intérêt!$K$5</definedName>
    <definedName name="solver_pre" localSheetId="1" hidden="1">0.000001</definedName>
    <definedName name="solver_pre" localSheetId="0" hidden="1">0.000001</definedName>
    <definedName name="solver_rbv" localSheetId="1" hidden="1">1</definedName>
    <definedName name="solver_rbv" localSheetId="0" hidden="1">1</definedName>
    <definedName name="solver_rlx" localSheetId="1" hidden="1">2</definedName>
    <definedName name="solver_rlx" localSheetId="0" hidden="1">2</definedName>
    <definedName name="solver_rsd" localSheetId="1" hidden="1">0</definedName>
    <definedName name="solver_rsd" localSheetId="0" hidden="1">0</definedName>
    <definedName name="solver_scl" localSheetId="1" hidden="1">1</definedName>
    <definedName name="solver_scl" localSheetId="0" hidden="1">1</definedName>
    <definedName name="solver_sho" localSheetId="1" hidden="1">2</definedName>
    <definedName name="solver_sho" localSheetId="0" hidden="1">2</definedName>
    <definedName name="solver_ssz" localSheetId="1" hidden="1">100</definedName>
    <definedName name="solver_ssz" localSheetId="0" hidden="1">100</definedName>
    <definedName name="solver_tim" localSheetId="1" hidden="1">2147483647</definedName>
    <definedName name="solver_tim" localSheetId="0" hidden="1">2147483647</definedName>
    <definedName name="solver_tol" localSheetId="1" hidden="1">0.01</definedName>
    <definedName name="solver_tol" localSheetId="0" hidden="1">0.01</definedName>
    <definedName name="solver_typ" localSheetId="1" hidden="1">3</definedName>
    <definedName name="solver_typ" localSheetId="0" hidden="1">3</definedName>
    <definedName name="solver_val" localSheetId="1" hidden="1">0</definedName>
    <definedName name="solver_val" localSheetId="0" hidden="1">104</definedName>
    <definedName name="solver_ver" localSheetId="1" hidden="1">3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5" l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2" i="5"/>
  <c r="L10" i="5"/>
  <c r="L8" i="5"/>
  <c r="L6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2" i="5"/>
  <c r="D6" i="5"/>
  <c r="D8" i="5"/>
  <c r="D9" i="5"/>
  <c r="D10" i="5"/>
  <c r="D14" i="5"/>
  <c r="D16" i="5"/>
  <c r="D17" i="5"/>
  <c r="D18" i="5"/>
  <c r="D22" i="5"/>
  <c r="D2" i="5"/>
  <c r="E4" i="5"/>
  <c r="E6" i="5"/>
  <c r="E7" i="5"/>
  <c r="E8" i="5"/>
  <c r="E12" i="5"/>
  <c r="E14" i="5"/>
  <c r="E15" i="5"/>
  <c r="E16" i="5"/>
  <c r="E20" i="5"/>
  <c r="E22" i="5"/>
  <c r="E24" i="5"/>
  <c r="E32" i="5"/>
  <c r="E2" i="5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D35" i="5" s="1"/>
  <c r="J3" i="4"/>
  <c r="F3" i="4"/>
  <c r="C4" i="4" s="1"/>
  <c r="D4" i="4" s="1"/>
  <c r="E4" i="4" s="1"/>
  <c r="A5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4" i="4"/>
  <c r="E29" i="5" l="1"/>
  <c r="E21" i="5"/>
  <c r="E13" i="5"/>
  <c r="E5" i="5"/>
  <c r="D31" i="5"/>
  <c r="D23" i="5"/>
  <c r="D15" i="5"/>
  <c r="D7" i="5"/>
  <c r="D34" i="5"/>
  <c r="D33" i="5"/>
  <c r="E30" i="5"/>
  <c r="E35" i="5"/>
  <c r="E27" i="5"/>
  <c r="E19" i="5"/>
  <c r="E11" i="5"/>
  <c r="E3" i="5"/>
  <c r="D29" i="5"/>
  <c r="D21" i="5"/>
  <c r="D13" i="5"/>
  <c r="D5" i="5"/>
  <c r="D26" i="5"/>
  <c r="E31" i="5"/>
  <c r="E23" i="5"/>
  <c r="D25" i="5"/>
  <c r="D32" i="5"/>
  <c r="D24" i="5"/>
  <c r="E28" i="5"/>
  <c r="D30" i="5"/>
  <c r="E34" i="5"/>
  <c r="E26" i="5"/>
  <c r="E18" i="5"/>
  <c r="E10" i="5"/>
  <c r="D28" i="5"/>
  <c r="D20" i="5"/>
  <c r="D12" i="5"/>
  <c r="D4" i="5"/>
  <c r="E33" i="5"/>
  <c r="E25" i="5"/>
  <c r="E17" i="5"/>
  <c r="E9" i="5"/>
  <c r="D27" i="5"/>
  <c r="D19" i="5"/>
  <c r="D11" i="5"/>
  <c r="D3" i="5"/>
  <c r="F4" i="4"/>
  <c r="C5" i="4" s="1"/>
  <c r="D5" i="4" s="1"/>
  <c r="E5" i="4" l="1"/>
  <c r="F5" i="4" l="1"/>
  <c r="C6" i="4" s="1"/>
  <c r="D6" i="4" l="1"/>
  <c r="I5" i="3"/>
  <c r="I4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3" i="3"/>
  <c r="C4" i="3"/>
  <c r="C3" i="3"/>
  <c r="A5" i="3"/>
  <c r="C5" i="3" s="1"/>
  <c r="G7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3" i="2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4" i="2"/>
  <c r="L2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8" i="1"/>
  <c r="C9" i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8" i="1"/>
  <c r="A9" i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8" i="1"/>
  <c r="E3" i="1"/>
  <c r="B3" i="1"/>
  <c r="I2" i="1"/>
  <c r="E6" i="4" l="1"/>
  <c r="F6" i="4" s="1"/>
  <c r="C7" i="4" s="1"/>
  <c r="A6" i="3"/>
  <c r="A7" i="3" s="1"/>
  <c r="A8" i="3"/>
  <c r="C7" i="3"/>
  <c r="C6" i="3"/>
  <c r="G6" i="2"/>
  <c r="D7" i="4" l="1"/>
  <c r="A9" i="3"/>
  <c r="C8" i="3"/>
  <c r="E7" i="4" l="1"/>
  <c r="F7" i="4" s="1"/>
  <c r="C8" i="4" s="1"/>
  <c r="A10" i="3"/>
  <c r="C9" i="3"/>
  <c r="D8" i="4" l="1"/>
  <c r="A11" i="3"/>
  <c r="C10" i="3"/>
  <c r="E8" i="4" l="1"/>
  <c r="F8" i="4" s="1"/>
  <c r="C9" i="4" s="1"/>
  <c r="A12" i="3"/>
  <c r="C11" i="3"/>
  <c r="D9" i="4" l="1"/>
  <c r="A13" i="3"/>
  <c r="C12" i="3"/>
  <c r="E9" i="4" l="1"/>
  <c r="F9" i="4" s="1"/>
  <c r="C10" i="4" s="1"/>
  <c r="D10" i="4" s="1"/>
  <c r="E10" i="4" s="1"/>
  <c r="F10" i="4" s="1"/>
  <c r="C11" i="4" s="1"/>
  <c r="D11" i="4" s="1"/>
  <c r="E11" i="4" s="1"/>
  <c r="F11" i="4" s="1"/>
  <c r="C12" i="4" s="1"/>
  <c r="D12" i="4" s="1"/>
  <c r="E12" i="4" s="1"/>
  <c r="F12" i="4" s="1"/>
  <c r="C13" i="4" s="1"/>
  <c r="D13" i="4" s="1"/>
  <c r="E13" i="4" s="1"/>
  <c r="F13" i="4" s="1"/>
  <c r="C14" i="4" s="1"/>
  <c r="D14" i="4" s="1"/>
  <c r="E14" i="4" s="1"/>
  <c r="F14" i="4" s="1"/>
  <c r="C15" i="4" s="1"/>
  <c r="D15" i="4" s="1"/>
  <c r="E15" i="4" s="1"/>
  <c r="F15" i="4" s="1"/>
  <c r="C16" i="4" s="1"/>
  <c r="D16" i="4" s="1"/>
  <c r="E16" i="4" s="1"/>
  <c r="A14" i="3"/>
  <c r="C13" i="3"/>
  <c r="F16" i="4" l="1"/>
  <c r="C17" i="4" s="1"/>
  <c r="D17" i="4" s="1"/>
  <c r="E17" i="4" s="1"/>
  <c r="A15" i="3"/>
  <c r="C14" i="3"/>
  <c r="F17" i="4" l="1"/>
  <c r="A16" i="3"/>
  <c r="C15" i="3"/>
  <c r="A17" i="3" l="1"/>
  <c r="C16" i="3"/>
  <c r="A18" i="3" l="1"/>
  <c r="C17" i="3"/>
  <c r="A19" i="3" l="1"/>
  <c r="C18" i="3"/>
  <c r="A20" i="3" l="1"/>
  <c r="C19" i="3"/>
  <c r="A21" i="3" l="1"/>
  <c r="C20" i="3"/>
  <c r="A22" i="3" l="1"/>
  <c r="C21" i="3"/>
  <c r="A23" i="3" l="1"/>
  <c r="C22" i="3"/>
  <c r="A24" i="3" l="1"/>
  <c r="C23" i="3"/>
  <c r="A25" i="3" l="1"/>
  <c r="C24" i="3"/>
  <c r="A26" i="3" l="1"/>
  <c r="C25" i="3"/>
  <c r="A27" i="3" l="1"/>
  <c r="C26" i="3"/>
  <c r="A28" i="3" l="1"/>
  <c r="C27" i="3"/>
  <c r="A29" i="3" l="1"/>
  <c r="C28" i="3"/>
  <c r="A30" i="3" l="1"/>
  <c r="C29" i="3"/>
  <c r="A31" i="3" l="1"/>
  <c r="C30" i="3"/>
  <c r="A32" i="3" l="1"/>
  <c r="C31" i="3"/>
  <c r="A33" i="3" l="1"/>
  <c r="C32" i="3"/>
  <c r="A34" i="3" l="1"/>
  <c r="C33" i="3"/>
  <c r="A35" i="3" l="1"/>
  <c r="C34" i="3"/>
  <c r="A36" i="3" l="1"/>
  <c r="C35" i="3"/>
  <c r="A37" i="3" l="1"/>
  <c r="C36" i="3"/>
  <c r="A38" i="3" l="1"/>
  <c r="C37" i="3"/>
  <c r="A39" i="3" l="1"/>
  <c r="C38" i="3"/>
  <c r="A40" i="3" l="1"/>
  <c r="C39" i="3"/>
  <c r="A41" i="3" l="1"/>
  <c r="C40" i="3"/>
  <c r="A42" i="3" l="1"/>
  <c r="C41" i="3"/>
  <c r="A43" i="3" l="1"/>
  <c r="C42" i="3"/>
  <c r="A44" i="3" l="1"/>
  <c r="C43" i="3"/>
  <c r="A45" i="3" l="1"/>
  <c r="C44" i="3"/>
  <c r="A46" i="3" l="1"/>
  <c r="C45" i="3"/>
  <c r="A47" i="3" l="1"/>
  <c r="C46" i="3"/>
  <c r="A48" i="3" l="1"/>
  <c r="C47" i="3"/>
  <c r="A49" i="3" l="1"/>
  <c r="C48" i="3"/>
  <c r="A50" i="3" l="1"/>
  <c r="C49" i="3"/>
  <c r="A51" i="3" l="1"/>
  <c r="C50" i="3"/>
  <c r="A52" i="3" l="1"/>
  <c r="C51" i="3"/>
  <c r="A53" i="3" l="1"/>
  <c r="C52" i="3"/>
  <c r="A54" i="3" l="1"/>
  <c r="C53" i="3"/>
  <c r="A55" i="3" l="1"/>
  <c r="C54" i="3"/>
  <c r="A56" i="3" l="1"/>
  <c r="C55" i="3"/>
  <c r="A57" i="3" l="1"/>
  <c r="C56" i="3"/>
  <c r="A58" i="3" l="1"/>
  <c r="C57" i="3"/>
  <c r="A59" i="3" l="1"/>
  <c r="C58" i="3"/>
  <c r="A60" i="3" l="1"/>
  <c r="C59" i="3"/>
  <c r="A61" i="3" l="1"/>
  <c r="C60" i="3"/>
  <c r="A62" i="3" l="1"/>
  <c r="C61" i="3"/>
  <c r="A63" i="3" l="1"/>
  <c r="C62" i="3"/>
  <c r="A64" i="3" l="1"/>
  <c r="C63" i="3"/>
  <c r="A65" i="3" l="1"/>
  <c r="C64" i="3"/>
  <c r="A66" i="3" l="1"/>
  <c r="C65" i="3"/>
  <c r="A67" i="3" l="1"/>
  <c r="C66" i="3"/>
  <c r="A68" i="3" l="1"/>
  <c r="C67" i="3"/>
  <c r="A69" i="3" l="1"/>
  <c r="C68" i="3"/>
  <c r="A70" i="3" l="1"/>
  <c r="C69" i="3"/>
  <c r="A71" i="3" l="1"/>
  <c r="C70" i="3"/>
  <c r="A72" i="3" l="1"/>
  <c r="C71" i="3"/>
  <c r="A73" i="3" l="1"/>
  <c r="C72" i="3"/>
  <c r="A74" i="3" l="1"/>
  <c r="C73" i="3"/>
  <c r="A75" i="3" l="1"/>
  <c r="C74" i="3"/>
  <c r="A76" i="3" l="1"/>
  <c r="C75" i="3"/>
  <c r="A77" i="3" l="1"/>
  <c r="C76" i="3"/>
  <c r="A78" i="3" l="1"/>
  <c r="C77" i="3"/>
  <c r="A79" i="3" l="1"/>
  <c r="C78" i="3"/>
  <c r="A80" i="3" l="1"/>
  <c r="C79" i="3"/>
  <c r="A81" i="3" l="1"/>
  <c r="C80" i="3"/>
  <c r="A82" i="3" l="1"/>
  <c r="C81" i="3"/>
  <c r="A83" i="3" l="1"/>
  <c r="C82" i="3"/>
  <c r="A84" i="3" l="1"/>
  <c r="C83" i="3"/>
  <c r="A85" i="3" l="1"/>
  <c r="C84" i="3"/>
  <c r="A86" i="3" l="1"/>
  <c r="C85" i="3"/>
  <c r="A87" i="3" l="1"/>
  <c r="C86" i="3"/>
  <c r="A88" i="3" l="1"/>
  <c r="C87" i="3"/>
  <c r="A89" i="3" l="1"/>
  <c r="C88" i="3"/>
  <c r="A90" i="3" l="1"/>
  <c r="C89" i="3"/>
  <c r="A91" i="3" l="1"/>
  <c r="C90" i="3"/>
  <c r="A92" i="3" l="1"/>
  <c r="C91" i="3"/>
  <c r="A93" i="3" l="1"/>
  <c r="C92" i="3"/>
  <c r="A94" i="3" l="1"/>
  <c r="C93" i="3"/>
  <c r="A95" i="3" l="1"/>
  <c r="C94" i="3"/>
  <c r="A96" i="3" l="1"/>
  <c r="C95" i="3"/>
  <c r="A97" i="3" l="1"/>
  <c r="C96" i="3"/>
  <c r="A98" i="3" l="1"/>
  <c r="C97" i="3"/>
  <c r="A99" i="3" l="1"/>
  <c r="C98" i="3"/>
  <c r="A100" i="3" l="1"/>
  <c r="C99" i="3"/>
  <c r="A101" i="3" l="1"/>
  <c r="C100" i="3"/>
  <c r="A102" i="3" l="1"/>
  <c r="C101" i="3"/>
  <c r="A103" i="3" l="1"/>
  <c r="C102" i="3"/>
  <c r="A104" i="3" l="1"/>
  <c r="C103" i="3"/>
  <c r="A105" i="3" l="1"/>
  <c r="C104" i="3"/>
  <c r="A106" i="3" l="1"/>
  <c r="C105" i="3"/>
  <c r="A107" i="3" l="1"/>
  <c r="C106" i="3"/>
  <c r="A108" i="3" l="1"/>
  <c r="C107" i="3"/>
  <c r="A109" i="3" l="1"/>
  <c r="C108" i="3"/>
  <c r="A110" i="3" l="1"/>
  <c r="C109" i="3"/>
  <c r="A111" i="3" l="1"/>
  <c r="C110" i="3"/>
  <c r="A112" i="3" l="1"/>
  <c r="C111" i="3"/>
  <c r="A113" i="3" l="1"/>
  <c r="C112" i="3"/>
  <c r="A114" i="3" l="1"/>
  <c r="C113" i="3"/>
  <c r="A115" i="3" l="1"/>
  <c r="C114" i="3"/>
  <c r="A116" i="3" l="1"/>
  <c r="C115" i="3"/>
  <c r="A117" i="3" l="1"/>
  <c r="C116" i="3"/>
  <c r="A118" i="3" l="1"/>
  <c r="C117" i="3"/>
  <c r="A119" i="3" l="1"/>
  <c r="C118" i="3"/>
  <c r="A120" i="3" l="1"/>
  <c r="C119" i="3"/>
  <c r="A121" i="3" l="1"/>
  <c r="C120" i="3"/>
  <c r="A122" i="3" l="1"/>
  <c r="C121" i="3"/>
  <c r="A123" i="3" l="1"/>
  <c r="C122" i="3"/>
  <c r="A124" i="3" l="1"/>
  <c r="C123" i="3"/>
  <c r="A125" i="3" l="1"/>
  <c r="C124" i="3"/>
  <c r="A126" i="3" l="1"/>
  <c r="C125" i="3"/>
  <c r="A127" i="3" l="1"/>
  <c r="C126" i="3"/>
  <c r="A128" i="3" l="1"/>
  <c r="C127" i="3"/>
  <c r="A129" i="3" l="1"/>
  <c r="C128" i="3"/>
  <c r="A130" i="3" l="1"/>
  <c r="C129" i="3"/>
  <c r="A131" i="3" l="1"/>
  <c r="C130" i="3"/>
  <c r="A132" i="3" l="1"/>
  <c r="C131" i="3"/>
  <c r="A133" i="3" l="1"/>
  <c r="C132" i="3"/>
  <c r="A134" i="3" l="1"/>
  <c r="C133" i="3"/>
  <c r="A135" i="3" l="1"/>
  <c r="C134" i="3"/>
  <c r="A136" i="3" l="1"/>
  <c r="C135" i="3"/>
  <c r="A137" i="3" l="1"/>
  <c r="C136" i="3"/>
  <c r="A138" i="3" l="1"/>
  <c r="C137" i="3"/>
  <c r="A139" i="3" l="1"/>
  <c r="C138" i="3"/>
  <c r="A140" i="3" l="1"/>
  <c r="C139" i="3"/>
  <c r="A141" i="3" l="1"/>
  <c r="C140" i="3"/>
  <c r="A142" i="3" l="1"/>
  <c r="C141" i="3"/>
  <c r="A143" i="3" l="1"/>
  <c r="C142" i="3"/>
  <c r="A144" i="3" l="1"/>
  <c r="C143" i="3"/>
  <c r="A145" i="3" l="1"/>
  <c r="C144" i="3"/>
  <c r="A146" i="3" l="1"/>
  <c r="C145" i="3"/>
  <c r="A147" i="3" l="1"/>
  <c r="C146" i="3"/>
  <c r="A148" i="3" l="1"/>
  <c r="C147" i="3"/>
  <c r="A149" i="3" l="1"/>
  <c r="C148" i="3"/>
  <c r="A150" i="3" l="1"/>
  <c r="C149" i="3"/>
  <c r="A151" i="3" l="1"/>
  <c r="C150" i="3"/>
  <c r="A152" i="3" l="1"/>
  <c r="C151" i="3"/>
  <c r="A153" i="3" l="1"/>
  <c r="C152" i="3"/>
  <c r="A154" i="3" l="1"/>
  <c r="C153" i="3"/>
  <c r="A155" i="3" l="1"/>
  <c r="C154" i="3"/>
  <c r="A156" i="3" l="1"/>
  <c r="C155" i="3"/>
  <c r="A157" i="3" l="1"/>
  <c r="C156" i="3"/>
  <c r="A158" i="3" l="1"/>
  <c r="C157" i="3"/>
  <c r="A159" i="3" l="1"/>
  <c r="C158" i="3"/>
  <c r="A160" i="3" l="1"/>
  <c r="C159" i="3"/>
  <c r="A161" i="3" l="1"/>
  <c r="C160" i="3"/>
  <c r="A162" i="3" l="1"/>
  <c r="C161" i="3"/>
  <c r="A163" i="3" l="1"/>
  <c r="C162" i="3"/>
  <c r="A164" i="3" l="1"/>
  <c r="C163" i="3"/>
  <c r="A165" i="3" l="1"/>
  <c r="C164" i="3"/>
  <c r="A166" i="3" l="1"/>
  <c r="C165" i="3"/>
  <c r="A167" i="3" l="1"/>
  <c r="C166" i="3"/>
  <c r="A168" i="3" l="1"/>
  <c r="C167" i="3"/>
  <c r="A169" i="3" l="1"/>
  <c r="C168" i="3"/>
  <c r="A170" i="3" l="1"/>
  <c r="C169" i="3"/>
  <c r="A171" i="3" l="1"/>
  <c r="C170" i="3"/>
  <c r="A172" i="3" l="1"/>
  <c r="C171" i="3"/>
  <c r="A173" i="3" l="1"/>
  <c r="C172" i="3"/>
  <c r="A174" i="3" l="1"/>
  <c r="C173" i="3"/>
  <c r="A175" i="3" l="1"/>
  <c r="C174" i="3"/>
  <c r="A176" i="3" l="1"/>
  <c r="C175" i="3"/>
  <c r="A177" i="3" l="1"/>
  <c r="C176" i="3"/>
  <c r="A178" i="3" l="1"/>
  <c r="C177" i="3"/>
  <c r="A179" i="3" l="1"/>
  <c r="C178" i="3"/>
  <c r="A180" i="3" l="1"/>
  <c r="C179" i="3"/>
  <c r="A181" i="3" l="1"/>
  <c r="C180" i="3"/>
  <c r="A182" i="3" l="1"/>
  <c r="C181" i="3"/>
  <c r="A183" i="3" l="1"/>
  <c r="C182" i="3"/>
  <c r="A184" i="3" l="1"/>
  <c r="C183" i="3"/>
  <c r="A185" i="3" l="1"/>
  <c r="C184" i="3"/>
  <c r="A186" i="3" l="1"/>
  <c r="C185" i="3"/>
  <c r="A187" i="3" l="1"/>
  <c r="C186" i="3"/>
  <c r="A188" i="3" l="1"/>
  <c r="C187" i="3"/>
  <c r="A189" i="3" l="1"/>
  <c r="C188" i="3"/>
  <c r="A190" i="3" l="1"/>
  <c r="C189" i="3"/>
  <c r="A191" i="3" l="1"/>
  <c r="C190" i="3"/>
  <c r="A192" i="3" l="1"/>
  <c r="C191" i="3"/>
  <c r="A193" i="3" l="1"/>
  <c r="C192" i="3"/>
  <c r="A194" i="3" l="1"/>
  <c r="C193" i="3"/>
  <c r="A195" i="3" l="1"/>
  <c r="C194" i="3"/>
  <c r="A196" i="3" l="1"/>
  <c r="C195" i="3"/>
  <c r="A197" i="3" l="1"/>
  <c r="C196" i="3"/>
  <c r="A198" i="3" l="1"/>
  <c r="C197" i="3"/>
  <c r="A199" i="3" l="1"/>
  <c r="C198" i="3"/>
  <c r="A200" i="3" l="1"/>
  <c r="C199" i="3"/>
  <c r="A201" i="3" l="1"/>
  <c r="C200" i="3"/>
  <c r="A202" i="3" l="1"/>
  <c r="C201" i="3"/>
  <c r="A203" i="3" l="1"/>
  <c r="C202" i="3"/>
  <c r="A204" i="3" l="1"/>
  <c r="C203" i="3"/>
  <c r="A205" i="3" l="1"/>
  <c r="C204" i="3"/>
  <c r="A206" i="3" l="1"/>
  <c r="C205" i="3"/>
  <c r="A207" i="3" l="1"/>
  <c r="C206" i="3"/>
  <c r="C207" i="3" l="1"/>
  <c r="A208" i="3"/>
  <c r="C208" i="3" l="1"/>
  <c r="H4" i="3" s="1"/>
  <c r="H5" i="3"/>
  <c r="J4" i="4" l="1"/>
  <c r="J5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Chevalier</author>
  </authors>
  <commentList>
    <comment ref="A3" authorId="0" shapeId="0" xr:uid="{CF3C8DC4-34CF-4775-A91C-C4BACBCC2C05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Commencer ici si paiement en début de période (annuité due)</t>
        </r>
      </text>
    </comment>
    <comment ref="A4" authorId="0" shapeId="0" xr:uid="{E4C03E27-3164-4EC7-BC8F-9D917EF1BBE9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Commencer ici si paiement en fin de période (annuité immédiate)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Chevalier</author>
  </authors>
  <commentList>
    <comment ref="E3" authorId="0" shapeId="0" xr:uid="{F54EA002-631E-439C-992B-09D22F12D7E1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L (montant initial du prêt)</t>
        </r>
      </text>
    </comment>
    <comment ref="I5" authorId="0" shapeId="0" xr:uid="{0059527E-7CF5-4D2A-B4A0-CDEC51EE9574}">
      <text>
        <r>
          <rPr>
            <b/>
            <sz val="9"/>
            <color indexed="81"/>
            <rFont val="Tahoma"/>
            <family val="2"/>
          </rPr>
          <t>Dominik Chevalier:</t>
        </r>
        <r>
          <rPr>
            <sz val="9"/>
            <color indexed="81"/>
            <rFont val="Tahoma"/>
            <family val="2"/>
          </rPr>
          <t xml:space="preserve">
Somme du principal pour tous les t devrait donner OB0</t>
        </r>
      </text>
    </comment>
  </commentList>
</comments>
</file>

<file path=xl/sharedStrings.xml><?xml version="1.0" encoding="utf-8"?>
<sst xmlns="http://schemas.openxmlformats.org/spreadsheetml/2006/main" count="68" uniqueCount="49">
  <si>
    <t>d</t>
  </si>
  <si>
    <t>i</t>
  </si>
  <si>
    <t>Taux d'intérêt vers taux d'escompte</t>
  </si>
  <si>
    <t>Taux d'escompte vers taux d'intérêt</t>
  </si>
  <si>
    <t>t</t>
  </si>
  <si>
    <t>A(t) (simple)</t>
  </si>
  <si>
    <t>A(t) (composé)</t>
  </si>
  <si>
    <t>Hypothèses</t>
  </si>
  <si>
    <t>Valeur actuelle</t>
  </si>
  <si>
    <t>Fonction d'accumulation et actualisation</t>
  </si>
  <si>
    <t>Taux nominal composé m fois dans l'an</t>
  </si>
  <si>
    <t>i(m)</t>
  </si>
  <si>
    <t>m</t>
  </si>
  <si>
    <t>Escompte nominal composé m fois dans l'an</t>
  </si>
  <si>
    <t>d(m)</t>
  </si>
  <si>
    <t>CF_t</t>
  </si>
  <si>
    <t>VA_t</t>
  </si>
  <si>
    <t>Date d'évaluation T</t>
  </si>
  <si>
    <t>VA_T</t>
  </si>
  <si>
    <t>Validation</t>
  </si>
  <si>
    <t>Trouver le taux de rendement interne ou la VAN à un moment T</t>
  </si>
  <si>
    <t>Calcul des valeurs de annuités</t>
  </si>
  <si>
    <t>Paiement brut</t>
  </si>
  <si>
    <t>Valeur accumulée</t>
  </si>
  <si>
    <t>an</t>
  </si>
  <si>
    <t>sn</t>
  </si>
  <si>
    <t>n</t>
  </si>
  <si>
    <t>Valeur à T</t>
  </si>
  <si>
    <t>T</t>
  </si>
  <si>
    <t>Paiement</t>
  </si>
  <si>
    <t>Intérêts</t>
  </si>
  <si>
    <t>Principal</t>
  </si>
  <si>
    <t>Balance * i</t>
  </si>
  <si>
    <t>Tableau d'amortissement de prêt</t>
  </si>
  <si>
    <t>Totaux</t>
  </si>
  <si>
    <t>Paiement KT</t>
  </si>
  <si>
    <t>Intérêts IT</t>
  </si>
  <si>
    <t xml:space="preserve">Principal </t>
  </si>
  <si>
    <t>Balance (OB)</t>
  </si>
  <si>
    <t>CF</t>
  </si>
  <si>
    <t>Duration modifiée</t>
  </si>
  <si>
    <t>Duration de Macaulay (standard de pratique) (temps moyen pondéré des flux à venir en considérant l'intérêt)</t>
  </si>
  <si>
    <t>Convexité</t>
  </si>
  <si>
    <t xml:space="preserve"> num</t>
  </si>
  <si>
    <t>den</t>
  </si>
  <si>
    <t>Convexité modifiée</t>
  </si>
  <si>
    <t>t(t+1)CF(1+i)^(-t-2)</t>
  </si>
  <si>
    <t>t * CF (1 + i)^(-t-1)</t>
  </si>
  <si>
    <t>CF * (1 + i)^-t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</si>
</sst>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3" fillId="0" borderId="0" xfId="0" applyFont="1"/>
    <xf numFmtId="0" fontId="4" fillId="3" borderId="0" xfId="0" applyFont="1" applyFill="1" applyAlignment="1">
      <alignment horizontal="center"/>
    </xf>
    <xf numFmtId="44" fontId="0" fillId="0" borderId="0" xfId="1" applyFont="1"/>
    <xf numFmtId="0" fontId="0" fillId="5" borderId="0" xfId="0" applyFill="1"/>
    <xf numFmtId="44" fontId="3" fillId="0" borderId="0" xfId="1" applyFont="1"/>
    <xf numFmtId="0" fontId="2" fillId="2" borderId="0" xfId="0" applyFont="1" applyFill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FA604-84E4-4922-B9CC-84AFF2102259}">
  <dimension ref="A1:L32"/>
  <sheetViews>
    <sheetView workbookViewId="0">
      <selection activeCell="I2" sqref="I2"/>
    </sheetView>
  </sheetViews>
  <sheetFormatPr baseColWidth="10" defaultRowHeight="14.4" x14ac:dyDescent="0.3"/>
  <cols>
    <col min="2" max="2" width="19" customWidth="1"/>
    <col min="3" max="3" width="13.77734375" bestFit="1" customWidth="1"/>
    <col min="4" max="4" width="22.109375" customWidth="1"/>
    <col min="8" max="8" width="22.5546875" customWidth="1"/>
    <col min="9" max="9" width="14.21875" customWidth="1"/>
    <col min="11" max="11" width="18.109375" customWidth="1"/>
    <col min="12" max="12" width="22" customWidth="1"/>
  </cols>
  <sheetData>
    <row r="1" spans="1:12" x14ac:dyDescent="0.3">
      <c r="A1" s="1" t="s">
        <v>2</v>
      </c>
      <c r="B1" s="1"/>
      <c r="D1" s="1" t="s">
        <v>3</v>
      </c>
      <c r="E1" s="1"/>
      <c r="H1" s="1" t="s">
        <v>10</v>
      </c>
      <c r="I1" s="1"/>
      <c r="K1" s="1" t="s">
        <v>13</v>
      </c>
      <c r="L1" s="1"/>
    </row>
    <row r="2" spans="1:12" x14ac:dyDescent="0.3">
      <c r="A2" s="2" t="s">
        <v>1</v>
      </c>
      <c r="B2" s="4">
        <v>0.03</v>
      </c>
      <c r="D2" s="2" t="s">
        <v>0</v>
      </c>
      <c r="E2" s="4">
        <v>0.03</v>
      </c>
      <c r="H2" s="2" t="s">
        <v>1</v>
      </c>
      <c r="I2" s="3">
        <f>(1 +(I3/I4))^I4-1</f>
        <v>0.10462212541120475</v>
      </c>
      <c r="K2" s="2" t="s">
        <v>0</v>
      </c>
      <c r="L2" s="3">
        <f>1-(1 - (L3/L4))^L4</f>
        <v>2.9590918241180542E-2</v>
      </c>
    </row>
    <row r="3" spans="1:12" x14ac:dyDescent="0.3">
      <c r="A3" s="2" t="s">
        <v>0</v>
      </c>
      <c r="B3" s="3">
        <f>B2/(1+B2)</f>
        <v>2.9126213592233007E-2</v>
      </c>
      <c r="D3" s="2" t="s">
        <v>1</v>
      </c>
      <c r="E3" s="3">
        <f>E2/(1-E2)</f>
        <v>3.0927835051546393E-2</v>
      </c>
      <c r="H3" s="2" t="s">
        <v>11</v>
      </c>
      <c r="I3" s="4">
        <v>0.1</v>
      </c>
      <c r="K3" s="2" t="s">
        <v>14</v>
      </c>
      <c r="L3" s="4">
        <v>0.03</v>
      </c>
    </row>
    <row r="4" spans="1:12" x14ac:dyDescent="0.3">
      <c r="H4" s="2" t="s">
        <v>12</v>
      </c>
      <c r="I4" s="4">
        <v>10</v>
      </c>
      <c r="K4" s="2" t="s">
        <v>12</v>
      </c>
      <c r="L4" s="4">
        <v>12</v>
      </c>
    </row>
    <row r="5" spans="1:12" x14ac:dyDescent="0.3">
      <c r="A5" s="1" t="s">
        <v>9</v>
      </c>
      <c r="B5" s="1"/>
      <c r="C5" s="1"/>
      <c r="D5" s="1"/>
      <c r="E5" s="1"/>
      <c r="F5" s="1"/>
    </row>
    <row r="6" spans="1:12" x14ac:dyDescent="0.3">
      <c r="A6" t="s">
        <v>4</v>
      </c>
      <c r="B6" t="s">
        <v>5</v>
      </c>
      <c r="C6" t="s">
        <v>6</v>
      </c>
      <c r="D6" t="s">
        <v>8</v>
      </c>
      <c r="E6" s="5" t="s">
        <v>7</v>
      </c>
      <c r="F6" s="5"/>
    </row>
    <row r="7" spans="1:12" x14ac:dyDescent="0.3">
      <c r="A7">
        <v>0</v>
      </c>
      <c r="B7" s="6">
        <v>100</v>
      </c>
      <c r="C7">
        <v>100</v>
      </c>
      <c r="D7">
        <f t="shared" ref="D7:D31" si="0">C7*(1+$F$7)^(-A7)</f>
        <v>100</v>
      </c>
      <c r="E7" t="s">
        <v>1</v>
      </c>
      <c r="F7">
        <v>0.03</v>
      </c>
    </row>
    <row r="8" spans="1:12" x14ac:dyDescent="0.3">
      <c r="A8">
        <f>A7+1</f>
        <v>1</v>
      </c>
      <c r="B8" s="6">
        <f>$B$7*(1+$F$7*A8)</f>
        <v>103</v>
      </c>
      <c r="C8" s="6">
        <f>C7*(1+$F$7)</f>
        <v>103</v>
      </c>
      <c r="D8">
        <f t="shared" si="0"/>
        <v>100</v>
      </c>
    </row>
    <row r="9" spans="1:12" x14ac:dyDescent="0.3">
      <c r="A9">
        <f t="shared" ref="A9:A33" si="1">A8+1</f>
        <v>2</v>
      </c>
      <c r="B9" s="6">
        <f t="shared" ref="B9:B32" si="2">$B$7*(1+$F$7*A9)</f>
        <v>106</v>
      </c>
      <c r="C9" s="6">
        <f t="shared" ref="C9:C32" si="3">C8*(1+$F$7)</f>
        <v>106.09</v>
      </c>
      <c r="D9">
        <f t="shared" si="0"/>
        <v>100</v>
      </c>
    </row>
    <row r="10" spans="1:12" x14ac:dyDescent="0.3">
      <c r="A10">
        <f t="shared" si="1"/>
        <v>3</v>
      </c>
      <c r="B10" s="6">
        <f t="shared" si="2"/>
        <v>109.00000000000001</v>
      </c>
      <c r="C10" s="6">
        <f t="shared" si="3"/>
        <v>109.2727</v>
      </c>
      <c r="D10">
        <f t="shared" si="0"/>
        <v>100</v>
      </c>
    </row>
    <row r="11" spans="1:12" x14ac:dyDescent="0.3">
      <c r="A11">
        <f t="shared" si="1"/>
        <v>4</v>
      </c>
      <c r="B11" s="6">
        <f t="shared" si="2"/>
        <v>112.00000000000001</v>
      </c>
      <c r="C11" s="6">
        <f t="shared" si="3"/>
        <v>112.550881</v>
      </c>
      <c r="D11">
        <f t="shared" si="0"/>
        <v>100.00000000000001</v>
      </c>
    </row>
    <row r="12" spans="1:12" x14ac:dyDescent="0.3">
      <c r="A12">
        <f t="shared" si="1"/>
        <v>5</v>
      </c>
      <c r="B12" s="6">
        <f t="shared" si="2"/>
        <v>114.99999999999999</v>
      </c>
      <c r="C12" s="6">
        <f t="shared" si="3"/>
        <v>115.92740743</v>
      </c>
      <c r="D12">
        <f t="shared" si="0"/>
        <v>100.00000000000001</v>
      </c>
    </row>
    <row r="13" spans="1:12" x14ac:dyDescent="0.3">
      <c r="A13">
        <f t="shared" si="1"/>
        <v>6</v>
      </c>
      <c r="B13" s="6">
        <f t="shared" si="2"/>
        <v>118</v>
      </c>
      <c r="C13" s="6">
        <f t="shared" si="3"/>
        <v>119.4052296529</v>
      </c>
      <c r="D13">
        <f t="shared" si="0"/>
        <v>100.00000000000001</v>
      </c>
    </row>
    <row r="14" spans="1:12" x14ac:dyDescent="0.3">
      <c r="A14">
        <f t="shared" si="1"/>
        <v>7</v>
      </c>
      <c r="B14" s="6">
        <f t="shared" si="2"/>
        <v>121</v>
      </c>
      <c r="C14" s="6">
        <f t="shared" si="3"/>
        <v>122.987386542487</v>
      </c>
      <c r="D14">
        <f t="shared" si="0"/>
        <v>100</v>
      </c>
    </row>
    <row r="15" spans="1:12" x14ac:dyDescent="0.3">
      <c r="A15">
        <f t="shared" si="1"/>
        <v>8</v>
      </c>
      <c r="B15" s="6">
        <f t="shared" si="2"/>
        <v>124</v>
      </c>
      <c r="C15" s="6">
        <f t="shared" si="3"/>
        <v>126.67700813876162</v>
      </c>
      <c r="D15">
        <f t="shared" si="0"/>
        <v>100.00000000000001</v>
      </c>
    </row>
    <row r="16" spans="1:12" x14ac:dyDescent="0.3">
      <c r="A16">
        <f t="shared" si="1"/>
        <v>9</v>
      </c>
      <c r="B16" s="6">
        <f t="shared" si="2"/>
        <v>127</v>
      </c>
      <c r="C16" s="6">
        <f t="shared" si="3"/>
        <v>130.47731838292447</v>
      </c>
      <c r="D16">
        <f t="shared" si="0"/>
        <v>100.00000000000001</v>
      </c>
    </row>
    <row r="17" spans="1:4" x14ac:dyDescent="0.3">
      <c r="A17">
        <f t="shared" si="1"/>
        <v>10</v>
      </c>
      <c r="B17" s="6">
        <f t="shared" si="2"/>
        <v>130</v>
      </c>
      <c r="C17" s="6">
        <f t="shared" si="3"/>
        <v>134.39163793441222</v>
      </c>
      <c r="D17">
        <f t="shared" si="0"/>
        <v>100.00000000000003</v>
      </c>
    </row>
    <row r="18" spans="1:4" x14ac:dyDescent="0.3">
      <c r="A18">
        <f t="shared" si="1"/>
        <v>11</v>
      </c>
      <c r="B18" s="6">
        <f t="shared" si="2"/>
        <v>133</v>
      </c>
      <c r="C18" s="6">
        <f t="shared" si="3"/>
        <v>138.4233870724446</v>
      </c>
      <c r="D18">
        <f t="shared" si="0"/>
        <v>100.00000000000004</v>
      </c>
    </row>
    <row r="19" spans="1:4" x14ac:dyDescent="0.3">
      <c r="A19">
        <f t="shared" si="1"/>
        <v>12</v>
      </c>
      <c r="B19" s="6">
        <f t="shared" si="2"/>
        <v>136</v>
      </c>
      <c r="C19" s="6">
        <f t="shared" si="3"/>
        <v>142.57608868461793</v>
      </c>
      <c r="D19">
        <f t="shared" si="0"/>
        <v>100.00000000000006</v>
      </c>
    </row>
    <row r="20" spans="1:4" x14ac:dyDescent="0.3">
      <c r="A20">
        <f t="shared" si="1"/>
        <v>13</v>
      </c>
      <c r="B20" s="6">
        <f t="shared" si="2"/>
        <v>139</v>
      </c>
      <c r="C20" s="6">
        <f t="shared" si="3"/>
        <v>146.85337134515646</v>
      </c>
      <c r="D20">
        <f t="shared" si="0"/>
        <v>100.00000000000004</v>
      </c>
    </row>
    <row r="21" spans="1:4" x14ac:dyDescent="0.3">
      <c r="A21">
        <f t="shared" si="1"/>
        <v>14</v>
      </c>
      <c r="B21" s="6">
        <f t="shared" si="2"/>
        <v>142</v>
      </c>
      <c r="C21" s="6">
        <f t="shared" si="3"/>
        <v>151.25897248551115</v>
      </c>
      <c r="D21">
        <f t="shared" si="0"/>
        <v>100.00000000000003</v>
      </c>
    </row>
    <row r="22" spans="1:4" x14ac:dyDescent="0.3">
      <c r="A22">
        <f t="shared" si="1"/>
        <v>15</v>
      </c>
      <c r="B22" s="6">
        <f t="shared" si="2"/>
        <v>145</v>
      </c>
      <c r="C22" s="6">
        <f t="shared" si="3"/>
        <v>155.79674166007649</v>
      </c>
      <c r="D22">
        <f t="shared" si="0"/>
        <v>100.00000000000003</v>
      </c>
    </row>
    <row r="23" spans="1:4" x14ac:dyDescent="0.3">
      <c r="A23">
        <f t="shared" si="1"/>
        <v>16</v>
      </c>
      <c r="B23" s="6">
        <f t="shared" si="2"/>
        <v>148</v>
      </c>
      <c r="C23" s="6">
        <f t="shared" si="3"/>
        <v>160.47064390987879</v>
      </c>
      <c r="D23">
        <f t="shared" si="0"/>
        <v>100.00000000000004</v>
      </c>
    </row>
    <row r="24" spans="1:4" x14ac:dyDescent="0.3">
      <c r="A24">
        <f t="shared" si="1"/>
        <v>17</v>
      </c>
      <c r="B24" s="6">
        <f t="shared" si="2"/>
        <v>151</v>
      </c>
      <c r="C24" s="6">
        <f t="shared" si="3"/>
        <v>165.28476322717515</v>
      </c>
      <c r="D24">
        <f t="shared" si="0"/>
        <v>100.00000000000004</v>
      </c>
    </row>
    <row r="25" spans="1:4" x14ac:dyDescent="0.3">
      <c r="A25">
        <f t="shared" si="1"/>
        <v>18</v>
      </c>
      <c r="B25" s="6">
        <f t="shared" si="2"/>
        <v>154</v>
      </c>
      <c r="C25" s="6">
        <f t="shared" si="3"/>
        <v>170.24330612399041</v>
      </c>
      <c r="D25">
        <f t="shared" si="0"/>
        <v>100.00000000000004</v>
      </c>
    </row>
    <row r="26" spans="1:4" x14ac:dyDescent="0.3">
      <c r="A26">
        <f t="shared" si="1"/>
        <v>19</v>
      </c>
      <c r="B26" s="6">
        <f t="shared" si="2"/>
        <v>156.99999999999997</v>
      </c>
      <c r="C26" s="6">
        <f t="shared" si="3"/>
        <v>175.35060530771011</v>
      </c>
      <c r="D26">
        <f t="shared" si="0"/>
        <v>100.00000000000004</v>
      </c>
    </row>
    <row r="27" spans="1:4" x14ac:dyDescent="0.3">
      <c r="A27">
        <f t="shared" si="1"/>
        <v>20</v>
      </c>
      <c r="B27" s="6">
        <f t="shared" si="2"/>
        <v>160</v>
      </c>
      <c r="C27" s="6">
        <f t="shared" si="3"/>
        <v>180.61112346694142</v>
      </c>
      <c r="D27">
        <f t="shared" si="0"/>
        <v>100.00000000000006</v>
      </c>
    </row>
    <row r="28" spans="1:4" x14ac:dyDescent="0.3">
      <c r="A28">
        <f t="shared" si="1"/>
        <v>21</v>
      </c>
      <c r="B28" s="6">
        <f t="shared" si="2"/>
        <v>163</v>
      </c>
      <c r="C28" s="6">
        <f t="shared" si="3"/>
        <v>186.02945717094966</v>
      </c>
      <c r="D28">
        <f t="shared" si="0"/>
        <v>100.00000000000006</v>
      </c>
    </row>
    <row r="29" spans="1:4" x14ac:dyDescent="0.3">
      <c r="A29">
        <f t="shared" si="1"/>
        <v>22</v>
      </c>
      <c r="B29" s="6">
        <f t="shared" si="2"/>
        <v>166</v>
      </c>
      <c r="C29" s="6">
        <f t="shared" si="3"/>
        <v>191.61034088607815</v>
      </c>
      <c r="D29">
        <f t="shared" si="0"/>
        <v>100.00000000000006</v>
      </c>
    </row>
    <row r="30" spans="1:4" x14ac:dyDescent="0.3">
      <c r="A30">
        <f t="shared" si="1"/>
        <v>23</v>
      </c>
      <c r="B30" s="6">
        <f t="shared" si="2"/>
        <v>169</v>
      </c>
      <c r="C30" s="6">
        <f t="shared" si="3"/>
        <v>197.35865111266051</v>
      </c>
      <c r="D30">
        <f t="shared" si="0"/>
        <v>100.00000000000006</v>
      </c>
    </row>
    <row r="31" spans="1:4" x14ac:dyDescent="0.3">
      <c r="A31">
        <f t="shared" si="1"/>
        <v>24</v>
      </c>
      <c r="B31" s="6">
        <f t="shared" si="2"/>
        <v>172</v>
      </c>
      <c r="C31" s="6">
        <f t="shared" si="3"/>
        <v>203.27941064604033</v>
      </c>
      <c r="D31">
        <f t="shared" si="0"/>
        <v>100.00000000000007</v>
      </c>
    </row>
    <row r="32" spans="1:4" x14ac:dyDescent="0.3">
      <c r="A32">
        <f t="shared" si="1"/>
        <v>25</v>
      </c>
      <c r="B32" s="6">
        <f t="shared" si="2"/>
        <v>175</v>
      </c>
      <c r="C32" s="6">
        <f t="shared" si="3"/>
        <v>209.37779296542155</v>
      </c>
      <c r="D32">
        <f>C32*(1+$F$7)^(-A32)</f>
        <v>100.00000000000007</v>
      </c>
    </row>
  </sheetData>
  <mergeCells count="6">
    <mergeCell ref="E6:F6"/>
    <mergeCell ref="H1:I1"/>
    <mergeCell ref="K1:L1"/>
    <mergeCell ref="A1:B1"/>
    <mergeCell ref="D1:E1"/>
    <mergeCell ref="A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3193-1895-4BE9-9B42-4C2C3FB1160E}">
  <dimension ref="A1:H23"/>
  <sheetViews>
    <sheetView workbookViewId="0">
      <selection activeCell="I13" sqref="I13"/>
    </sheetView>
  </sheetViews>
  <sheetFormatPr baseColWidth="10" defaultRowHeight="14.4" x14ac:dyDescent="0.3"/>
  <cols>
    <col min="6" max="6" width="17.33203125" bestFit="1" customWidth="1"/>
    <col min="7" max="7" width="12.88671875" bestFit="1" customWidth="1"/>
  </cols>
  <sheetData>
    <row r="1" spans="1:8" x14ac:dyDescent="0.3">
      <c r="A1" s="1" t="s">
        <v>20</v>
      </c>
      <c r="B1" s="1"/>
      <c r="C1" s="1"/>
      <c r="D1" s="1"/>
      <c r="E1" s="1"/>
      <c r="F1" s="1"/>
      <c r="G1" s="1"/>
      <c r="H1" s="1"/>
    </row>
    <row r="2" spans="1:8" x14ac:dyDescent="0.3">
      <c r="A2" s="2" t="s">
        <v>4</v>
      </c>
      <c r="B2" s="2" t="s">
        <v>15</v>
      </c>
      <c r="C2" s="2" t="s">
        <v>16</v>
      </c>
      <c r="F2" s="2" t="s">
        <v>7</v>
      </c>
      <c r="G2" s="2"/>
    </row>
    <row r="3" spans="1:8" x14ac:dyDescent="0.3">
      <c r="A3" s="2">
        <v>0</v>
      </c>
      <c r="B3" s="4">
        <v>-10000</v>
      </c>
      <c r="C3">
        <f>B3*(1+$G$3)^($G$4-A3)</f>
        <v>-10000</v>
      </c>
      <c r="F3" s="2" t="s">
        <v>1</v>
      </c>
      <c r="G3" s="4">
        <v>0.32178334954520144</v>
      </c>
    </row>
    <row r="4" spans="1:8" x14ac:dyDescent="0.3">
      <c r="A4" s="2">
        <f>A3+1</f>
        <v>1</v>
      </c>
      <c r="B4" s="4">
        <v>500</v>
      </c>
      <c r="C4">
        <f t="shared" ref="C4:C23" si="0">B4*(1+$G$3)^($G$4-A4)</f>
        <v>378.27681833943495</v>
      </c>
      <c r="F4" s="2" t="s">
        <v>17</v>
      </c>
      <c r="G4" s="4">
        <v>0</v>
      </c>
    </row>
    <row r="5" spans="1:8" x14ac:dyDescent="0.3">
      <c r="A5" s="2">
        <f t="shared" ref="A5:A23" si="1">A4+1</f>
        <v>2</v>
      </c>
      <c r="B5" s="4">
        <v>599</v>
      </c>
      <c r="C5">
        <f t="shared" si="0"/>
        <v>342.85166969804209</v>
      </c>
    </row>
    <row r="6" spans="1:8" x14ac:dyDescent="0.3">
      <c r="A6" s="2">
        <f t="shared" si="1"/>
        <v>3</v>
      </c>
      <c r="B6" s="4">
        <v>599</v>
      </c>
      <c r="C6">
        <f t="shared" si="0"/>
        <v>259.38567755147648</v>
      </c>
      <c r="F6" t="s">
        <v>18</v>
      </c>
      <c r="G6" s="3">
        <f>SUM(C3:C23)</f>
        <v>-4.7704875834568838E-3</v>
      </c>
    </row>
    <row r="7" spans="1:8" x14ac:dyDescent="0.3">
      <c r="A7" s="2">
        <f t="shared" si="1"/>
        <v>4</v>
      </c>
      <c r="B7" s="4">
        <v>53</v>
      </c>
      <c r="C7">
        <f t="shared" si="0"/>
        <v>17.36339969225552</v>
      </c>
      <c r="G7" s="3">
        <f>IRR(B3:B23)</f>
        <v>0.32178322088735478</v>
      </c>
      <c r="H7" t="s">
        <v>19</v>
      </c>
    </row>
    <row r="8" spans="1:8" x14ac:dyDescent="0.3">
      <c r="A8" s="2">
        <f t="shared" si="1"/>
        <v>5</v>
      </c>
      <c r="B8" s="4">
        <v>35664</v>
      </c>
      <c r="C8">
        <f t="shared" si="0"/>
        <v>8839.5196840188892</v>
      </c>
    </row>
    <row r="9" spans="1:8" x14ac:dyDescent="0.3">
      <c r="A9" s="2">
        <f t="shared" si="1"/>
        <v>6</v>
      </c>
      <c r="B9" s="4">
        <v>42</v>
      </c>
      <c r="C9">
        <f t="shared" si="0"/>
        <v>7.8756721642114087</v>
      </c>
    </row>
    <row r="10" spans="1:8" x14ac:dyDescent="0.3">
      <c r="A10" s="2">
        <f t="shared" si="1"/>
        <v>7</v>
      </c>
      <c r="B10" s="4">
        <v>24</v>
      </c>
      <c r="C10">
        <f t="shared" si="0"/>
        <v>3.4047819526426788</v>
      </c>
    </row>
    <row r="11" spans="1:8" x14ac:dyDescent="0.3">
      <c r="A11" s="2">
        <f t="shared" si="1"/>
        <v>8</v>
      </c>
      <c r="B11" s="4">
        <v>-1000</v>
      </c>
      <c r="C11">
        <f t="shared" si="0"/>
        <v>-107.32917368210011</v>
      </c>
    </row>
    <row r="12" spans="1:8" x14ac:dyDescent="0.3">
      <c r="A12" s="2">
        <f t="shared" si="1"/>
        <v>9</v>
      </c>
      <c r="B12" s="4">
        <v>1000</v>
      </c>
      <c r="C12">
        <f t="shared" si="0"/>
        <v>81.200276670930876</v>
      </c>
    </row>
    <row r="13" spans="1:8" x14ac:dyDescent="0.3">
      <c r="A13" s="2">
        <f t="shared" si="1"/>
        <v>10</v>
      </c>
      <c r="B13" s="4">
        <v>100</v>
      </c>
      <c r="C13">
        <f t="shared" si="0"/>
        <v>6.1432364614723154</v>
      </c>
    </row>
    <row r="14" spans="1:8" x14ac:dyDescent="0.3">
      <c r="A14" s="2">
        <f t="shared" si="1"/>
        <v>11</v>
      </c>
      <c r="B14" s="4">
        <v>500</v>
      </c>
      <c r="C14">
        <f t="shared" si="0"/>
        <v>23.238439429525563</v>
      </c>
    </row>
    <row r="15" spans="1:8" x14ac:dyDescent="0.3">
      <c r="A15" s="2">
        <f t="shared" si="1"/>
        <v>12</v>
      </c>
      <c r="B15" s="4">
        <v>500</v>
      </c>
      <c r="C15">
        <f t="shared" si="0"/>
        <v>17.581125861149211</v>
      </c>
    </row>
    <row r="16" spans="1:8" x14ac:dyDescent="0.3">
      <c r="A16" s="2">
        <f t="shared" si="1"/>
        <v>13</v>
      </c>
      <c r="B16" s="4">
        <v>0</v>
      </c>
      <c r="C16">
        <f t="shared" si="0"/>
        <v>0</v>
      </c>
    </row>
    <row r="17" spans="1:3" x14ac:dyDescent="0.3">
      <c r="A17" s="2">
        <f t="shared" si="1"/>
        <v>14</v>
      </c>
      <c r="B17" s="4">
        <v>0</v>
      </c>
      <c r="C17">
        <f t="shared" si="0"/>
        <v>0</v>
      </c>
    </row>
    <row r="18" spans="1:3" x14ac:dyDescent="0.3">
      <c r="A18" s="2">
        <f t="shared" si="1"/>
        <v>15</v>
      </c>
      <c r="B18" s="4">
        <v>0</v>
      </c>
      <c r="C18">
        <f t="shared" si="0"/>
        <v>0</v>
      </c>
    </row>
    <row r="19" spans="1:3" x14ac:dyDescent="0.3">
      <c r="A19" s="2">
        <f t="shared" si="1"/>
        <v>16</v>
      </c>
      <c r="B19" s="4">
        <v>0</v>
      </c>
      <c r="C19">
        <f t="shared" si="0"/>
        <v>0</v>
      </c>
    </row>
    <row r="20" spans="1:3" x14ac:dyDescent="0.3">
      <c r="A20" s="2">
        <f t="shared" si="1"/>
        <v>17</v>
      </c>
      <c r="B20" s="4">
        <v>0</v>
      </c>
      <c r="C20">
        <f t="shared" si="0"/>
        <v>0</v>
      </c>
    </row>
    <row r="21" spans="1:3" x14ac:dyDescent="0.3">
      <c r="A21" s="2">
        <f t="shared" si="1"/>
        <v>18</v>
      </c>
      <c r="B21" s="4">
        <v>0</v>
      </c>
      <c r="C21">
        <f t="shared" si="0"/>
        <v>0</v>
      </c>
    </row>
    <row r="22" spans="1:3" x14ac:dyDescent="0.3">
      <c r="A22" s="2">
        <f t="shared" si="1"/>
        <v>19</v>
      </c>
      <c r="B22" s="4">
        <v>35993</v>
      </c>
      <c r="C22">
        <f t="shared" si="0"/>
        <v>179.54478184251803</v>
      </c>
    </row>
    <row r="23" spans="1:3" x14ac:dyDescent="0.3">
      <c r="A23" s="2">
        <f t="shared" si="1"/>
        <v>20</v>
      </c>
      <c r="B23" s="4">
        <v>-13000</v>
      </c>
      <c r="C23">
        <f t="shared" si="0"/>
        <v>-49.061160488031774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202CA-6D7D-403F-8FF5-346FF0A233A3}">
  <dimension ref="A1:I208"/>
  <sheetViews>
    <sheetView workbookViewId="0">
      <selection activeCell="F6" sqref="F6"/>
    </sheetView>
  </sheetViews>
  <sheetFormatPr baseColWidth="10" defaultRowHeight="14.4" x14ac:dyDescent="0.3"/>
  <cols>
    <col min="2" max="2" width="30.5546875" customWidth="1"/>
    <col min="3" max="3" width="16.88671875" customWidth="1"/>
    <col min="4" max="4" width="16.5546875" bestFit="1" customWidth="1"/>
    <col min="8" max="8" width="13.21875" customWidth="1"/>
  </cols>
  <sheetData>
    <row r="1" spans="1:9" x14ac:dyDescent="0.3">
      <c r="A1" s="1" t="s">
        <v>21</v>
      </c>
      <c r="B1" s="1"/>
      <c r="C1" s="1"/>
      <c r="D1" s="1"/>
      <c r="E1" s="1"/>
      <c r="F1" s="1"/>
      <c r="G1" s="1"/>
    </row>
    <row r="2" spans="1:9" x14ac:dyDescent="0.3">
      <c r="A2" s="2" t="s">
        <v>4</v>
      </c>
      <c r="B2" s="2" t="s">
        <v>22</v>
      </c>
      <c r="C2" s="2" t="s">
        <v>8</v>
      </c>
      <c r="D2" s="2" t="s">
        <v>23</v>
      </c>
      <c r="E2" s="2" t="s">
        <v>27</v>
      </c>
      <c r="F2" s="2"/>
      <c r="G2" s="2" t="s">
        <v>26</v>
      </c>
      <c r="H2" s="4">
        <v>205</v>
      </c>
    </row>
    <row r="3" spans="1:9" x14ac:dyDescent="0.3">
      <c r="A3">
        <v>0</v>
      </c>
      <c r="B3">
        <v>0</v>
      </c>
      <c r="C3">
        <f>B3*(1+$H$3)^(-A3)</f>
        <v>0</v>
      </c>
      <c r="D3">
        <f>B3*(1+$H$3)^($H$2-A3)</f>
        <v>0</v>
      </c>
      <c r="E3">
        <f>B3*(1+$H$3)^($H$6-A3)</f>
        <v>0</v>
      </c>
      <c r="G3" s="2" t="s">
        <v>1</v>
      </c>
      <c r="H3" s="4">
        <v>0.01</v>
      </c>
    </row>
    <row r="4" spans="1:9" x14ac:dyDescent="0.3">
      <c r="A4">
        <v>1</v>
      </c>
      <c r="B4">
        <v>100</v>
      </c>
      <c r="C4">
        <f t="shared" ref="C4:C67" si="0">B4*(1+$H$3)^(-A4)</f>
        <v>99.009900990099013</v>
      </c>
      <c r="D4">
        <f t="shared" ref="D4:D67" si="1">B4*(1+$H$3)^($H$2-A4)</f>
        <v>761.30775138458387</v>
      </c>
      <c r="E4">
        <f t="shared" ref="E4:E67" si="2">B4*(1+$H$3)^($H$6-A4)</f>
        <v>126.9734648531915</v>
      </c>
      <c r="G4" s="7" t="s">
        <v>24</v>
      </c>
      <c r="H4" s="7">
        <f>SUM(C3:C208)</f>
        <v>8699.4759897028271</v>
      </c>
      <c r="I4" s="7">
        <f>B4*(1 -(1 +H3)^(-H2))/H3</f>
        <v>8699.4759897028434</v>
      </c>
    </row>
    <row r="5" spans="1:9" x14ac:dyDescent="0.3">
      <c r="A5">
        <f>A4+1</f>
        <v>2</v>
      </c>
      <c r="B5">
        <v>100</v>
      </c>
      <c r="C5">
        <f t="shared" si="0"/>
        <v>98.029604940692082</v>
      </c>
      <c r="D5">
        <f t="shared" si="1"/>
        <v>753.77005087582563</v>
      </c>
      <c r="E5">
        <f t="shared" si="2"/>
        <v>125.71630183484304</v>
      </c>
      <c r="G5" s="7" t="s">
        <v>25</v>
      </c>
      <c r="H5" s="7">
        <f>SUM(D3:D208)</f>
        <v>66892.082889842946</v>
      </c>
      <c r="I5" s="7">
        <f>I4*(1+H3)^H2</f>
        <v>66892.082889842975</v>
      </c>
    </row>
    <row r="6" spans="1:9" x14ac:dyDescent="0.3">
      <c r="A6">
        <f t="shared" ref="A6:A69" si="3">A5+1</f>
        <v>3</v>
      </c>
      <c r="B6">
        <v>100</v>
      </c>
      <c r="C6">
        <f t="shared" si="0"/>
        <v>97.059014792764458</v>
      </c>
      <c r="D6">
        <f t="shared" si="1"/>
        <v>746.306981065174</v>
      </c>
      <c r="E6">
        <f t="shared" si="2"/>
        <v>124.47158597509214</v>
      </c>
      <c r="G6" s="2" t="s">
        <v>28</v>
      </c>
      <c r="H6" s="4">
        <v>25</v>
      </c>
    </row>
    <row r="7" spans="1:9" x14ac:dyDescent="0.3">
      <c r="A7">
        <f t="shared" si="3"/>
        <v>4</v>
      </c>
      <c r="B7">
        <v>100</v>
      </c>
      <c r="C7">
        <f t="shared" si="0"/>
        <v>96.098034448281624</v>
      </c>
      <c r="D7">
        <f t="shared" si="1"/>
        <v>738.91780303482562</v>
      </c>
      <c r="E7">
        <f t="shared" si="2"/>
        <v>123.23919403474466</v>
      </c>
    </row>
    <row r="8" spans="1:9" x14ac:dyDescent="0.3">
      <c r="A8">
        <f t="shared" si="3"/>
        <v>5</v>
      </c>
      <c r="B8">
        <v>100</v>
      </c>
      <c r="C8">
        <f t="shared" si="0"/>
        <v>95.146568760674882</v>
      </c>
      <c r="D8">
        <f t="shared" si="1"/>
        <v>731.60178518299574</v>
      </c>
      <c r="E8">
        <f t="shared" si="2"/>
        <v>122.01900399479671</v>
      </c>
    </row>
    <row r="9" spans="1:9" x14ac:dyDescent="0.3">
      <c r="A9">
        <f t="shared" si="3"/>
        <v>6</v>
      </c>
      <c r="B9">
        <v>100</v>
      </c>
      <c r="C9">
        <f t="shared" si="0"/>
        <v>94.204523525420655</v>
      </c>
      <c r="D9">
        <f t="shared" si="1"/>
        <v>724.35820315148067</v>
      </c>
      <c r="E9">
        <f t="shared" si="2"/>
        <v>120.81089504435316</v>
      </c>
    </row>
    <row r="10" spans="1:9" x14ac:dyDescent="0.3">
      <c r="A10">
        <f t="shared" si="3"/>
        <v>7</v>
      </c>
      <c r="B10">
        <v>100</v>
      </c>
      <c r="C10">
        <f t="shared" si="0"/>
        <v>93.271805470713559</v>
      </c>
      <c r="D10">
        <f t="shared" si="1"/>
        <v>717.18633975394152</v>
      </c>
      <c r="E10">
        <f t="shared" si="2"/>
        <v>119.61474756866653</v>
      </c>
    </row>
    <row r="11" spans="1:9" x14ac:dyDescent="0.3">
      <c r="A11">
        <f t="shared" si="3"/>
        <v>8</v>
      </c>
      <c r="B11">
        <v>100</v>
      </c>
      <c r="C11">
        <f t="shared" si="0"/>
        <v>92.348322248231213</v>
      </c>
      <c r="D11">
        <f t="shared" si="1"/>
        <v>710.0854849048925</v>
      </c>
      <c r="E11">
        <f t="shared" si="2"/>
        <v>118.43044313729358</v>
      </c>
    </row>
    <row r="12" spans="1:9" x14ac:dyDescent="0.3">
      <c r="A12">
        <f t="shared" si="3"/>
        <v>9</v>
      </c>
      <c r="B12">
        <v>100</v>
      </c>
      <c r="C12">
        <f t="shared" si="0"/>
        <v>91.433982423991296</v>
      </c>
      <c r="D12">
        <f t="shared" si="1"/>
        <v>703.05493554939846</v>
      </c>
      <c r="E12">
        <f t="shared" si="2"/>
        <v>117.25786449236988</v>
      </c>
    </row>
    <row r="13" spans="1:9" x14ac:dyDescent="0.3">
      <c r="A13">
        <f t="shared" si="3"/>
        <v>10</v>
      </c>
      <c r="B13">
        <v>100</v>
      </c>
      <c r="C13">
        <f t="shared" si="0"/>
        <v>90.528695469298313</v>
      </c>
      <c r="D13">
        <f t="shared" si="1"/>
        <v>696.09399559346377</v>
      </c>
      <c r="E13">
        <f t="shared" si="2"/>
        <v>116.09689553699984</v>
      </c>
    </row>
    <row r="14" spans="1:9" x14ac:dyDescent="0.3">
      <c r="A14">
        <f t="shared" si="3"/>
        <v>11</v>
      </c>
      <c r="B14">
        <v>100</v>
      </c>
      <c r="C14">
        <f t="shared" si="0"/>
        <v>89.632371751780525</v>
      </c>
      <c r="D14">
        <f t="shared" si="1"/>
        <v>689.20197583511276</v>
      </c>
      <c r="E14">
        <f t="shared" si="2"/>
        <v>114.94742132376226</v>
      </c>
    </row>
    <row r="15" spans="1:9" x14ac:dyDescent="0.3">
      <c r="A15">
        <f t="shared" si="3"/>
        <v>12</v>
      </c>
      <c r="B15">
        <v>100</v>
      </c>
      <c r="C15">
        <f t="shared" si="0"/>
        <v>88.744922526515367</v>
      </c>
      <c r="D15">
        <f t="shared" si="1"/>
        <v>682.37819389615129</v>
      </c>
      <c r="E15">
        <f t="shared" si="2"/>
        <v>113.80932804332895</v>
      </c>
    </row>
    <row r="16" spans="1:9" x14ac:dyDescent="0.3">
      <c r="A16">
        <f t="shared" si="3"/>
        <v>13</v>
      </c>
      <c r="B16">
        <v>100</v>
      </c>
      <c r="C16">
        <f t="shared" si="0"/>
        <v>87.866259927242936</v>
      </c>
      <c r="D16">
        <f t="shared" si="1"/>
        <v>675.62197415460514</v>
      </c>
      <c r="E16">
        <f t="shared" si="2"/>
        <v>112.68250301319698</v>
      </c>
    </row>
    <row r="17" spans="1:5" x14ac:dyDescent="0.3">
      <c r="A17">
        <f t="shared" si="3"/>
        <v>14</v>
      </c>
      <c r="B17">
        <v>100</v>
      </c>
      <c r="C17">
        <f t="shared" si="0"/>
        <v>86.99629695766626</v>
      </c>
      <c r="D17">
        <f t="shared" si="1"/>
        <v>668.93264767782682</v>
      </c>
      <c r="E17">
        <f t="shared" si="2"/>
        <v>111.56683466653166</v>
      </c>
    </row>
    <row r="18" spans="1:5" x14ac:dyDescent="0.3">
      <c r="A18">
        <f t="shared" si="3"/>
        <v>15</v>
      </c>
      <c r="B18">
        <v>100</v>
      </c>
      <c r="C18">
        <f t="shared" si="0"/>
        <v>86.134947482837916</v>
      </c>
      <c r="D18">
        <f t="shared" si="1"/>
        <v>662.30955215626432</v>
      </c>
      <c r="E18">
        <f t="shared" si="2"/>
        <v>110.46221254112048</v>
      </c>
    </row>
    <row r="19" spans="1:5" x14ac:dyDescent="0.3">
      <c r="A19">
        <f t="shared" si="3"/>
        <v>16</v>
      </c>
      <c r="B19">
        <v>100</v>
      </c>
      <c r="C19">
        <f t="shared" si="0"/>
        <v>85.282126220631554</v>
      </c>
      <c r="D19">
        <f t="shared" si="1"/>
        <v>655.75203183788528</v>
      </c>
      <c r="E19">
        <f t="shared" si="2"/>
        <v>109.36852726843611</v>
      </c>
    </row>
    <row r="20" spans="1:5" x14ac:dyDescent="0.3">
      <c r="A20">
        <f t="shared" si="3"/>
        <v>17</v>
      </c>
      <c r="B20">
        <v>100</v>
      </c>
      <c r="C20">
        <f t="shared" si="0"/>
        <v>84.437748733298562</v>
      </c>
      <c r="D20">
        <f t="shared" si="1"/>
        <v>649.25943746325277</v>
      </c>
      <c r="E20">
        <f t="shared" si="2"/>
        <v>108.28567056280802</v>
      </c>
    </row>
    <row r="21" spans="1:5" x14ac:dyDescent="0.3">
      <c r="A21">
        <f t="shared" si="3"/>
        <v>18</v>
      </c>
      <c r="B21">
        <v>100</v>
      </c>
      <c r="C21">
        <f t="shared" si="0"/>
        <v>83.601731419107495</v>
      </c>
      <c r="D21">
        <f t="shared" si="1"/>
        <v>642.83112620124041</v>
      </c>
      <c r="E21">
        <f t="shared" si="2"/>
        <v>107.21353521070098</v>
      </c>
    </row>
    <row r="22" spans="1:5" x14ac:dyDescent="0.3">
      <c r="A22">
        <f t="shared" si="3"/>
        <v>19</v>
      </c>
      <c r="B22">
        <v>100</v>
      </c>
      <c r="C22">
        <f t="shared" si="0"/>
        <v>82.773991504066842</v>
      </c>
      <c r="D22">
        <f t="shared" si="1"/>
        <v>636.4664615853867</v>
      </c>
      <c r="E22">
        <f t="shared" si="2"/>
        <v>106.15201506010001</v>
      </c>
    </row>
    <row r="23" spans="1:5" x14ac:dyDescent="0.3">
      <c r="A23">
        <f t="shared" si="3"/>
        <v>20</v>
      </c>
      <c r="B23">
        <v>100</v>
      </c>
      <c r="C23">
        <f t="shared" si="0"/>
        <v>81.954447033729537</v>
      </c>
      <c r="D23">
        <f t="shared" si="1"/>
        <v>630.16481345087789</v>
      </c>
      <c r="E23">
        <f t="shared" si="2"/>
        <v>105.10100500999999</v>
      </c>
    </row>
    <row r="24" spans="1:5" x14ac:dyDescent="0.3">
      <c r="A24">
        <f t="shared" si="3"/>
        <v>21</v>
      </c>
      <c r="B24">
        <v>100</v>
      </c>
      <c r="C24">
        <f t="shared" si="0"/>
        <v>81.143016865078764</v>
      </c>
      <c r="D24">
        <f t="shared" si="1"/>
        <v>623.92555787215633</v>
      </c>
      <c r="E24">
        <f t="shared" si="2"/>
        <v>104.060401</v>
      </c>
    </row>
    <row r="25" spans="1:5" x14ac:dyDescent="0.3">
      <c r="A25">
        <f t="shared" si="3"/>
        <v>22</v>
      </c>
      <c r="B25">
        <v>100</v>
      </c>
      <c r="C25">
        <f t="shared" si="0"/>
        <v>80.3396206584938</v>
      </c>
      <c r="D25">
        <f t="shared" si="1"/>
        <v>617.74807710114464</v>
      </c>
      <c r="E25">
        <f t="shared" si="2"/>
        <v>103.03009999999999</v>
      </c>
    </row>
    <row r="26" spans="1:5" x14ac:dyDescent="0.3">
      <c r="A26">
        <f t="shared" si="3"/>
        <v>23</v>
      </c>
      <c r="B26">
        <v>100</v>
      </c>
      <c r="C26">
        <f t="shared" si="0"/>
        <v>79.544178869795857</v>
      </c>
      <c r="D26">
        <f t="shared" si="1"/>
        <v>611.63175950608388</v>
      </c>
      <c r="E26">
        <f t="shared" si="2"/>
        <v>102.01</v>
      </c>
    </row>
    <row r="27" spans="1:5" x14ac:dyDescent="0.3">
      <c r="A27">
        <f t="shared" si="3"/>
        <v>24</v>
      </c>
      <c r="B27">
        <v>100</v>
      </c>
      <c r="C27">
        <f t="shared" si="0"/>
        <v>78.756612742372127</v>
      </c>
      <c r="D27">
        <f t="shared" si="1"/>
        <v>605.57599951097404</v>
      </c>
      <c r="E27">
        <f t="shared" si="2"/>
        <v>101</v>
      </c>
    </row>
    <row r="28" spans="1:5" x14ac:dyDescent="0.3">
      <c r="A28">
        <f t="shared" si="3"/>
        <v>25</v>
      </c>
      <c r="B28">
        <v>100</v>
      </c>
      <c r="C28">
        <f t="shared" si="0"/>
        <v>77.976844299378328</v>
      </c>
      <c r="D28">
        <f t="shared" si="1"/>
        <v>599.58019753561803</v>
      </c>
      <c r="E28">
        <f t="shared" si="2"/>
        <v>100</v>
      </c>
    </row>
    <row r="29" spans="1:5" x14ac:dyDescent="0.3">
      <c r="A29">
        <f t="shared" si="3"/>
        <v>26</v>
      </c>
      <c r="B29">
        <v>100</v>
      </c>
      <c r="C29">
        <f t="shared" si="0"/>
        <v>77.204796336018148</v>
      </c>
      <c r="D29">
        <f t="shared" si="1"/>
        <v>593.64375993625538</v>
      </c>
      <c r="E29">
        <f t="shared" si="2"/>
        <v>99.009900990099013</v>
      </c>
    </row>
    <row r="30" spans="1:5" x14ac:dyDescent="0.3">
      <c r="A30">
        <f t="shared" si="3"/>
        <v>27</v>
      </c>
      <c r="B30">
        <v>100</v>
      </c>
      <c r="C30">
        <f t="shared" si="0"/>
        <v>76.440392411899182</v>
      </c>
      <c r="D30">
        <f t="shared" si="1"/>
        <v>587.76609894678757</v>
      </c>
      <c r="E30">
        <f t="shared" si="2"/>
        <v>98.029604940692082</v>
      </c>
    </row>
    <row r="31" spans="1:5" x14ac:dyDescent="0.3">
      <c r="A31">
        <f t="shared" si="3"/>
        <v>28</v>
      </c>
      <c r="B31">
        <v>100</v>
      </c>
      <c r="C31">
        <f t="shared" si="0"/>
        <v>75.68355684346453</v>
      </c>
      <c r="D31">
        <f t="shared" si="1"/>
        <v>581.94663262058168</v>
      </c>
      <c r="E31">
        <f t="shared" si="2"/>
        <v>97.059014792764458</v>
      </c>
    </row>
    <row r="32" spans="1:5" x14ac:dyDescent="0.3">
      <c r="A32">
        <f t="shared" si="3"/>
        <v>29</v>
      </c>
      <c r="B32">
        <v>100</v>
      </c>
      <c r="C32">
        <f t="shared" si="0"/>
        <v>74.934214696499538</v>
      </c>
      <c r="D32">
        <f t="shared" si="1"/>
        <v>576.18478477285316</v>
      </c>
      <c r="E32">
        <f t="shared" si="2"/>
        <v>96.098034448281624</v>
      </c>
    </row>
    <row r="33" spans="1:5" x14ac:dyDescent="0.3">
      <c r="A33">
        <f t="shared" si="3"/>
        <v>30</v>
      </c>
      <c r="B33">
        <v>100</v>
      </c>
      <c r="C33">
        <f t="shared" si="0"/>
        <v>74.192291778712388</v>
      </c>
      <c r="D33">
        <f t="shared" si="1"/>
        <v>570.47998492361683</v>
      </c>
      <c r="E33">
        <f t="shared" si="2"/>
        <v>95.146568760674882</v>
      </c>
    </row>
    <row r="34" spans="1:5" x14ac:dyDescent="0.3">
      <c r="A34">
        <f t="shared" si="3"/>
        <v>31</v>
      </c>
      <c r="B34">
        <v>100</v>
      </c>
      <c r="C34">
        <f t="shared" si="0"/>
        <v>73.457714632388544</v>
      </c>
      <c r="D34">
        <f t="shared" si="1"/>
        <v>564.83166824120497</v>
      </c>
      <c r="E34">
        <f t="shared" si="2"/>
        <v>94.204523525420655</v>
      </c>
    </row>
    <row r="35" spans="1:5" x14ac:dyDescent="0.3">
      <c r="A35">
        <f t="shared" si="3"/>
        <v>32</v>
      </c>
      <c r="B35">
        <v>100</v>
      </c>
      <c r="C35">
        <f t="shared" si="0"/>
        <v>72.730410527117343</v>
      </c>
      <c r="D35">
        <f t="shared" si="1"/>
        <v>559.23927548634151</v>
      </c>
      <c r="E35">
        <f t="shared" si="2"/>
        <v>93.271805470713559</v>
      </c>
    </row>
    <row r="36" spans="1:5" x14ac:dyDescent="0.3">
      <c r="A36">
        <f t="shared" si="3"/>
        <v>33</v>
      </c>
      <c r="B36">
        <v>100</v>
      </c>
      <c r="C36">
        <f t="shared" si="0"/>
        <v>72.010307452591434</v>
      </c>
      <c r="D36">
        <f t="shared" si="1"/>
        <v>553.7022529567738</v>
      </c>
      <c r="E36">
        <f t="shared" si="2"/>
        <v>92.348322248231213</v>
      </c>
    </row>
    <row r="37" spans="1:5" x14ac:dyDescent="0.3">
      <c r="A37">
        <f t="shared" si="3"/>
        <v>34</v>
      </c>
      <c r="B37">
        <v>100</v>
      </c>
      <c r="C37">
        <f t="shared" si="0"/>
        <v>71.297334111476658</v>
      </c>
      <c r="D37">
        <f t="shared" si="1"/>
        <v>548.22005243244917</v>
      </c>
      <c r="E37">
        <f t="shared" si="2"/>
        <v>91.433982423991296</v>
      </c>
    </row>
    <row r="38" spans="1:5" x14ac:dyDescent="0.3">
      <c r="A38">
        <f t="shared" si="3"/>
        <v>35</v>
      </c>
      <c r="B38">
        <v>100</v>
      </c>
      <c r="C38">
        <f t="shared" si="0"/>
        <v>70.591419912353132</v>
      </c>
      <c r="D38">
        <f t="shared" si="1"/>
        <v>542.79213112123705</v>
      </c>
      <c r="E38">
        <f t="shared" si="2"/>
        <v>90.528695469298313</v>
      </c>
    </row>
    <row r="39" spans="1:5" x14ac:dyDescent="0.3">
      <c r="A39">
        <f t="shared" si="3"/>
        <v>36</v>
      </c>
      <c r="B39">
        <v>100</v>
      </c>
      <c r="C39">
        <f t="shared" si="0"/>
        <v>69.892494962725877</v>
      </c>
      <c r="D39">
        <f t="shared" si="1"/>
        <v>537.41795160518507</v>
      </c>
      <c r="E39">
        <f t="shared" si="2"/>
        <v>89.632371751780525</v>
      </c>
    </row>
    <row r="40" spans="1:5" x14ac:dyDescent="0.3">
      <c r="A40">
        <f t="shared" si="3"/>
        <v>37</v>
      </c>
      <c r="B40">
        <v>100</v>
      </c>
      <c r="C40">
        <f t="shared" si="0"/>
        <v>69.200490062104819</v>
      </c>
      <c r="D40">
        <f t="shared" si="1"/>
        <v>532.09698178731196</v>
      </c>
      <c r="E40">
        <f t="shared" si="2"/>
        <v>88.744922526515367</v>
      </c>
    </row>
    <row r="41" spans="1:5" x14ac:dyDescent="0.3">
      <c r="A41">
        <f t="shared" si="3"/>
        <v>38</v>
      </c>
      <c r="B41">
        <v>100</v>
      </c>
      <c r="C41">
        <f t="shared" si="0"/>
        <v>68.51533669515328</v>
      </c>
      <c r="D41">
        <f t="shared" si="1"/>
        <v>526.82869483892262</v>
      </c>
      <c r="E41">
        <f t="shared" si="2"/>
        <v>87.866259927242936</v>
      </c>
    </row>
    <row r="42" spans="1:5" x14ac:dyDescent="0.3">
      <c r="A42">
        <f t="shared" si="3"/>
        <v>39</v>
      </c>
      <c r="B42">
        <v>100</v>
      </c>
      <c r="C42">
        <f t="shared" si="0"/>
        <v>67.836967024904254</v>
      </c>
      <c r="D42">
        <f t="shared" si="1"/>
        <v>521.6125691474482</v>
      </c>
      <c r="E42">
        <f t="shared" si="2"/>
        <v>86.99629695766626</v>
      </c>
    </row>
    <row r="43" spans="1:5" x14ac:dyDescent="0.3">
      <c r="A43">
        <f t="shared" si="3"/>
        <v>40</v>
      </c>
      <c r="B43">
        <v>100</v>
      </c>
      <c r="C43">
        <f t="shared" si="0"/>
        <v>67.165313886043805</v>
      </c>
      <c r="D43">
        <f t="shared" si="1"/>
        <v>516.44808826480016</v>
      </c>
      <c r="E43">
        <f t="shared" si="2"/>
        <v>86.134947482837916</v>
      </c>
    </row>
    <row r="44" spans="1:5" x14ac:dyDescent="0.3">
      <c r="A44">
        <f t="shared" si="3"/>
        <v>41</v>
      </c>
      <c r="B44">
        <v>100</v>
      </c>
      <c r="C44">
        <f t="shared" si="0"/>
        <v>66.500310778261181</v>
      </c>
      <c r="D44">
        <f t="shared" si="1"/>
        <v>511.33474085623777</v>
      </c>
      <c r="E44">
        <f t="shared" si="2"/>
        <v>85.282126220631554</v>
      </c>
    </row>
    <row r="45" spans="1:5" x14ac:dyDescent="0.3">
      <c r="A45">
        <f t="shared" si="3"/>
        <v>42</v>
      </c>
      <c r="B45">
        <v>100</v>
      </c>
      <c r="C45">
        <f t="shared" si="0"/>
        <v>65.841891859664543</v>
      </c>
      <c r="D45">
        <f t="shared" si="1"/>
        <v>506.27202064974028</v>
      </c>
      <c r="E45">
        <f t="shared" si="2"/>
        <v>84.437748733298562</v>
      </c>
    </row>
    <row r="46" spans="1:5" x14ac:dyDescent="0.3">
      <c r="A46">
        <f t="shared" si="3"/>
        <v>43</v>
      </c>
      <c r="B46">
        <v>100</v>
      </c>
      <c r="C46">
        <f t="shared" si="0"/>
        <v>65.189991940261933</v>
      </c>
      <c r="D46">
        <f t="shared" si="1"/>
        <v>501.25942638588157</v>
      </c>
      <c r="E46">
        <f t="shared" si="2"/>
        <v>83.601731419107495</v>
      </c>
    </row>
    <row r="47" spans="1:5" x14ac:dyDescent="0.3">
      <c r="A47">
        <f t="shared" si="3"/>
        <v>44</v>
      </c>
      <c r="B47">
        <v>100</v>
      </c>
      <c r="C47">
        <f t="shared" si="0"/>
        <v>64.544546475506863</v>
      </c>
      <c r="D47">
        <f t="shared" si="1"/>
        <v>496.29646176819955</v>
      </c>
      <c r="E47">
        <f t="shared" si="2"/>
        <v>82.773991504066842</v>
      </c>
    </row>
    <row r="48" spans="1:5" x14ac:dyDescent="0.3">
      <c r="A48">
        <f t="shared" si="3"/>
        <v>45</v>
      </c>
      <c r="B48">
        <v>100</v>
      </c>
      <c r="C48">
        <f t="shared" si="0"/>
        <v>63.90549155990778</v>
      </c>
      <c r="D48">
        <f t="shared" si="1"/>
        <v>491.382635414059</v>
      </c>
      <c r="E48">
        <f t="shared" si="2"/>
        <v>81.954447033729537</v>
      </c>
    </row>
    <row r="49" spans="1:5" x14ac:dyDescent="0.3">
      <c r="A49">
        <f t="shared" si="3"/>
        <v>46</v>
      </c>
      <c r="B49">
        <v>100</v>
      </c>
      <c r="C49">
        <f t="shared" si="0"/>
        <v>63.272763920700761</v>
      </c>
      <c r="D49">
        <f t="shared" si="1"/>
        <v>486.51746080599889</v>
      </c>
      <c r="E49">
        <f t="shared" si="2"/>
        <v>81.143016865078764</v>
      </c>
    </row>
    <row r="50" spans="1:5" x14ac:dyDescent="0.3">
      <c r="A50">
        <f t="shared" si="3"/>
        <v>47</v>
      </c>
      <c r="B50">
        <v>100</v>
      </c>
      <c r="C50">
        <f t="shared" si="0"/>
        <v>62.646300911584937</v>
      </c>
      <c r="D50">
        <f t="shared" si="1"/>
        <v>481.70045624356339</v>
      </c>
      <c r="E50">
        <f t="shared" si="2"/>
        <v>80.3396206584938</v>
      </c>
    </row>
    <row r="51" spans="1:5" x14ac:dyDescent="0.3">
      <c r="A51">
        <f t="shared" si="3"/>
        <v>48</v>
      </c>
      <c r="B51">
        <v>100</v>
      </c>
      <c r="C51">
        <f t="shared" si="0"/>
        <v>62.02604050651972</v>
      </c>
      <c r="D51">
        <f t="shared" si="1"/>
        <v>476.93114479560722</v>
      </c>
      <c r="E51">
        <f t="shared" si="2"/>
        <v>79.544178869795857</v>
      </c>
    </row>
    <row r="52" spans="1:5" x14ac:dyDescent="0.3">
      <c r="A52">
        <f t="shared" si="3"/>
        <v>49</v>
      </c>
      <c r="B52">
        <v>100</v>
      </c>
      <c r="C52">
        <f t="shared" si="0"/>
        <v>61.411921293583873</v>
      </c>
      <c r="D52">
        <f t="shared" si="1"/>
        <v>472.20905425307637</v>
      </c>
      <c r="E52">
        <f t="shared" si="2"/>
        <v>78.756612742372127</v>
      </c>
    </row>
    <row r="53" spans="1:5" x14ac:dyDescent="0.3">
      <c r="A53">
        <f t="shared" si="3"/>
        <v>50</v>
      </c>
      <c r="B53">
        <v>100</v>
      </c>
      <c r="C53">
        <f t="shared" si="0"/>
        <v>60.803882468894919</v>
      </c>
      <c r="D53">
        <f t="shared" si="1"/>
        <v>467.53371708225393</v>
      </c>
      <c r="E53">
        <f t="shared" si="2"/>
        <v>77.976844299378328</v>
      </c>
    </row>
    <row r="54" spans="1:5" x14ac:dyDescent="0.3">
      <c r="A54">
        <f t="shared" si="3"/>
        <v>51</v>
      </c>
      <c r="B54">
        <v>100</v>
      </c>
      <c r="C54">
        <f t="shared" si="0"/>
        <v>60.201863830589041</v>
      </c>
      <c r="D54">
        <f t="shared" si="1"/>
        <v>462.90467037846935</v>
      </c>
      <c r="E54">
        <f t="shared" si="2"/>
        <v>77.204796336018148</v>
      </c>
    </row>
    <row r="55" spans="1:5" x14ac:dyDescent="0.3">
      <c r="A55">
        <f t="shared" si="3"/>
        <v>52</v>
      </c>
      <c r="B55">
        <v>100</v>
      </c>
      <c r="C55">
        <f t="shared" si="0"/>
        <v>59.605805772860435</v>
      </c>
      <c r="D55">
        <f t="shared" si="1"/>
        <v>458.32145582026669</v>
      </c>
      <c r="E55">
        <f t="shared" si="2"/>
        <v>76.440392411899182</v>
      </c>
    </row>
    <row r="56" spans="1:5" x14ac:dyDescent="0.3">
      <c r="A56">
        <f t="shared" si="3"/>
        <v>53</v>
      </c>
      <c r="B56">
        <v>100</v>
      </c>
      <c r="C56">
        <f t="shared" si="0"/>
        <v>59.015649280059847</v>
      </c>
      <c r="D56">
        <f t="shared" si="1"/>
        <v>453.78361962402636</v>
      </c>
      <c r="E56">
        <f t="shared" si="2"/>
        <v>75.68355684346453</v>
      </c>
    </row>
    <row r="57" spans="1:5" x14ac:dyDescent="0.3">
      <c r="A57">
        <f t="shared" si="3"/>
        <v>54</v>
      </c>
      <c r="B57">
        <v>100</v>
      </c>
      <c r="C57">
        <f t="shared" si="0"/>
        <v>58.431335920851311</v>
      </c>
      <c r="D57">
        <f t="shared" si="1"/>
        <v>449.29071249903592</v>
      </c>
      <c r="E57">
        <f t="shared" si="2"/>
        <v>74.934214696499538</v>
      </c>
    </row>
    <row r="58" spans="1:5" x14ac:dyDescent="0.3">
      <c r="A58">
        <f t="shared" si="3"/>
        <v>55</v>
      </c>
      <c r="B58">
        <v>100</v>
      </c>
      <c r="C58">
        <f t="shared" si="0"/>
        <v>57.852807842427055</v>
      </c>
      <c r="D58">
        <f t="shared" si="1"/>
        <v>444.8422896030059</v>
      </c>
      <c r="E58">
        <f t="shared" si="2"/>
        <v>74.192291778712388</v>
      </c>
    </row>
    <row r="59" spans="1:5" x14ac:dyDescent="0.3">
      <c r="A59">
        <f t="shared" si="3"/>
        <v>56</v>
      </c>
      <c r="B59">
        <v>100</v>
      </c>
      <c r="C59">
        <f t="shared" si="0"/>
        <v>57.280007764779249</v>
      </c>
      <c r="D59">
        <f t="shared" si="1"/>
        <v>440.43791049802553</v>
      </c>
      <c r="E59">
        <f t="shared" si="2"/>
        <v>73.457714632388544</v>
      </c>
    </row>
    <row r="60" spans="1:5" x14ac:dyDescent="0.3">
      <c r="A60">
        <f t="shared" si="3"/>
        <v>57</v>
      </c>
      <c r="B60">
        <v>100</v>
      </c>
      <c r="C60">
        <f t="shared" si="0"/>
        <v>56.712878975028957</v>
      </c>
      <c r="D60">
        <f t="shared" si="1"/>
        <v>436.07713910695605</v>
      </c>
      <c r="E60">
        <f t="shared" si="2"/>
        <v>72.730410527117343</v>
      </c>
    </row>
    <row r="61" spans="1:5" x14ac:dyDescent="0.3">
      <c r="A61">
        <f t="shared" si="3"/>
        <v>58</v>
      </c>
      <c r="B61">
        <v>100</v>
      </c>
      <c r="C61">
        <f t="shared" si="0"/>
        <v>56.15136532181085</v>
      </c>
      <c r="D61">
        <f t="shared" si="1"/>
        <v>431.75954367025344</v>
      </c>
      <c r="E61">
        <f t="shared" si="2"/>
        <v>72.010307452591434</v>
      </c>
    </row>
    <row r="62" spans="1:5" x14ac:dyDescent="0.3">
      <c r="A62">
        <f t="shared" si="3"/>
        <v>59</v>
      </c>
      <c r="B62">
        <v>100</v>
      </c>
      <c r="C62">
        <f t="shared" si="0"/>
        <v>55.595411209713731</v>
      </c>
      <c r="D62">
        <f t="shared" si="1"/>
        <v>427.48469670322135</v>
      </c>
      <c r="E62">
        <f t="shared" si="2"/>
        <v>71.297334111476658</v>
      </c>
    </row>
    <row r="63" spans="1:5" x14ac:dyDescent="0.3">
      <c r="A63">
        <f t="shared" si="3"/>
        <v>60</v>
      </c>
      <c r="B63">
        <v>100</v>
      </c>
      <c r="C63">
        <f t="shared" si="0"/>
        <v>55.044961593775966</v>
      </c>
      <c r="D63">
        <f t="shared" si="1"/>
        <v>423.25217495368452</v>
      </c>
      <c r="E63">
        <f t="shared" si="2"/>
        <v>70.591419912353132</v>
      </c>
    </row>
    <row r="64" spans="1:5" x14ac:dyDescent="0.3">
      <c r="A64">
        <f t="shared" si="3"/>
        <v>61</v>
      </c>
      <c r="B64">
        <v>100</v>
      </c>
      <c r="C64">
        <f t="shared" si="0"/>
        <v>54.499961974035607</v>
      </c>
      <c r="D64">
        <f t="shared" si="1"/>
        <v>419.06155936008361</v>
      </c>
      <c r="E64">
        <f t="shared" si="2"/>
        <v>69.892494962725877</v>
      </c>
    </row>
    <row r="65" spans="1:5" x14ac:dyDescent="0.3">
      <c r="A65">
        <f t="shared" si="3"/>
        <v>62</v>
      </c>
      <c r="B65">
        <v>100</v>
      </c>
      <c r="C65">
        <f t="shared" si="0"/>
        <v>53.960358390134253</v>
      </c>
      <c r="D65">
        <f t="shared" si="1"/>
        <v>414.91243500998365</v>
      </c>
      <c r="E65">
        <f t="shared" si="2"/>
        <v>69.200490062104819</v>
      </c>
    </row>
    <row r="66" spans="1:5" x14ac:dyDescent="0.3">
      <c r="A66">
        <f t="shared" si="3"/>
        <v>63</v>
      </c>
      <c r="B66">
        <v>100</v>
      </c>
      <c r="C66">
        <f t="shared" si="0"/>
        <v>53.426097415974525</v>
      </c>
      <c r="D66">
        <f t="shared" si="1"/>
        <v>410.80439109899379</v>
      </c>
      <c r="E66">
        <f t="shared" si="2"/>
        <v>68.51533669515328</v>
      </c>
    </row>
    <row r="67" spans="1:5" x14ac:dyDescent="0.3">
      <c r="A67">
        <f t="shared" si="3"/>
        <v>64</v>
      </c>
      <c r="B67">
        <v>100</v>
      </c>
      <c r="C67">
        <f t="shared" si="0"/>
        <v>52.897126154430211</v>
      </c>
      <c r="D67">
        <f t="shared" si="1"/>
        <v>406.73702089009288</v>
      </c>
      <c r="E67">
        <f t="shared" si="2"/>
        <v>67.836967024904254</v>
      </c>
    </row>
    <row r="68" spans="1:5" x14ac:dyDescent="0.3">
      <c r="A68">
        <f t="shared" si="3"/>
        <v>65</v>
      </c>
      <c r="B68">
        <v>100</v>
      </c>
      <c r="C68">
        <f t="shared" ref="C68:C131" si="4">B68*(1+$H$3)^(-A68)</f>
        <v>52.373392232109119</v>
      </c>
      <c r="D68">
        <f t="shared" ref="D68:D131" si="5">B68*(1+$H$3)^($H$2-A68)</f>
        <v>402.70992167335925</v>
      </c>
      <c r="E68">
        <f t="shared" ref="E68:E131" si="6">B68*(1+$H$3)^($H$6-A68)</f>
        <v>67.165313886043805</v>
      </c>
    </row>
    <row r="69" spans="1:5" x14ac:dyDescent="0.3">
      <c r="A69">
        <f t="shared" si="3"/>
        <v>66</v>
      </c>
      <c r="B69">
        <v>100</v>
      </c>
      <c r="C69">
        <f t="shared" si="4"/>
        <v>51.854843794167451</v>
      </c>
      <c r="D69">
        <f t="shared" si="5"/>
        <v>398.72269472609827</v>
      </c>
      <c r="E69">
        <f t="shared" si="6"/>
        <v>66.500310778261181</v>
      </c>
    </row>
    <row r="70" spans="1:5" x14ac:dyDescent="0.3">
      <c r="A70">
        <f t="shared" ref="A70:A133" si="7">A69+1</f>
        <v>67</v>
      </c>
      <c r="B70">
        <v>100</v>
      </c>
      <c r="C70">
        <f t="shared" si="4"/>
        <v>51.341429499175696</v>
      </c>
      <c r="D70">
        <f t="shared" si="5"/>
        <v>394.77494527336472</v>
      </c>
      <c r="E70">
        <f t="shared" si="6"/>
        <v>65.841891859664543</v>
      </c>
    </row>
    <row r="71" spans="1:5" x14ac:dyDescent="0.3">
      <c r="A71">
        <f t="shared" si="7"/>
        <v>68</v>
      </c>
      <c r="B71">
        <v>100</v>
      </c>
      <c r="C71">
        <f t="shared" si="4"/>
        <v>50.833098514035335</v>
      </c>
      <c r="D71">
        <f t="shared" si="5"/>
        <v>390.86628244887589</v>
      </c>
      <c r="E71">
        <f t="shared" si="6"/>
        <v>65.189991940261933</v>
      </c>
    </row>
    <row r="72" spans="1:5" x14ac:dyDescent="0.3">
      <c r="A72">
        <f t="shared" si="7"/>
        <v>69</v>
      </c>
      <c r="B72">
        <v>100</v>
      </c>
      <c r="C72">
        <f t="shared" si="4"/>
        <v>50.32980050894588</v>
      </c>
      <c r="D72">
        <f t="shared" si="5"/>
        <v>386.99631925631274</v>
      </c>
      <c r="E72">
        <f t="shared" si="6"/>
        <v>64.544546475506863</v>
      </c>
    </row>
    <row r="73" spans="1:5" x14ac:dyDescent="0.3">
      <c r="A73">
        <f t="shared" si="7"/>
        <v>70</v>
      </c>
      <c r="B73">
        <v>100</v>
      </c>
      <c r="C73">
        <f t="shared" si="4"/>
        <v>49.831485652421648</v>
      </c>
      <c r="D73">
        <f t="shared" si="5"/>
        <v>383.16467253100262</v>
      </c>
      <c r="E73">
        <f t="shared" si="6"/>
        <v>63.90549155990778</v>
      </c>
    </row>
    <row r="74" spans="1:5" x14ac:dyDescent="0.3">
      <c r="A74">
        <f t="shared" si="7"/>
        <v>71</v>
      </c>
      <c r="B74">
        <v>100</v>
      </c>
      <c r="C74">
        <f t="shared" si="4"/>
        <v>49.338104606358094</v>
      </c>
      <c r="D74">
        <f t="shared" si="5"/>
        <v>379.37096290198286</v>
      </c>
      <c r="E74">
        <f t="shared" si="6"/>
        <v>63.272763920700761</v>
      </c>
    </row>
    <row r="75" spans="1:5" x14ac:dyDescent="0.3">
      <c r="A75">
        <f t="shared" si="7"/>
        <v>72</v>
      </c>
      <c r="B75">
        <v>100</v>
      </c>
      <c r="C75">
        <f t="shared" si="4"/>
        <v>48.849608521146607</v>
      </c>
      <c r="D75">
        <f t="shared" si="5"/>
        <v>375.61481475443844</v>
      </c>
      <c r="E75">
        <f t="shared" si="6"/>
        <v>62.646300911584937</v>
      </c>
    </row>
    <row r="76" spans="1:5" x14ac:dyDescent="0.3">
      <c r="A76">
        <f t="shared" si="7"/>
        <v>73</v>
      </c>
      <c r="B76">
        <v>100</v>
      </c>
      <c r="C76">
        <f t="shared" si="4"/>
        <v>48.365949030838223</v>
      </c>
      <c r="D76">
        <f t="shared" si="5"/>
        <v>371.89585619251335</v>
      </c>
      <c r="E76">
        <f t="shared" si="6"/>
        <v>62.02604050651972</v>
      </c>
    </row>
    <row r="77" spans="1:5" x14ac:dyDescent="0.3">
      <c r="A77">
        <f t="shared" si="7"/>
        <v>74</v>
      </c>
      <c r="B77">
        <v>100</v>
      </c>
      <c r="C77">
        <f t="shared" si="4"/>
        <v>47.887078248354676</v>
      </c>
      <c r="D77">
        <f t="shared" si="5"/>
        <v>368.2137190024884</v>
      </c>
      <c r="E77">
        <f t="shared" si="6"/>
        <v>61.411921293583873</v>
      </c>
    </row>
    <row r="78" spans="1:5" x14ac:dyDescent="0.3">
      <c r="A78">
        <f t="shared" si="7"/>
        <v>75</v>
      </c>
      <c r="B78">
        <v>100</v>
      </c>
      <c r="C78">
        <f t="shared" si="4"/>
        <v>47.412948760747213</v>
      </c>
      <c r="D78">
        <f t="shared" si="5"/>
        <v>364.56803861632523</v>
      </c>
      <c r="E78">
        <f t="shared" si="6"/>
        <v>60.803882468894919</v>
      </c>
    </row>
    <row r="79" spans="1:5" x14ac:dyDescent="0.3">
      <c r="A79">
        <f t="shared" si="7"/>
        <v>76</v>
      </c>
      <c r="B79">
        <v>100</v>
      </c>
      <c r="C79">
        <f t="shared" si="4"/>
        <v>46.943513624502188</v>
      </c>
      <c r="D79">
        <f t="shared" si="5"/>
        <v>360.95845407556953</v>
      </c>
      <c r="E79">
        <f t="shared" si="6"/>
        <v>60.201863830589041</v>
      </c>
    </row>
    <row r="80" spans="1:5" x14ac:dyDescent="0.3">
      <c r="A80">
        <f t="shared" si="7"/>
        <v>77</v>
      </c>
      <c r="B80">
        <v>100</v>
      </c>
      <c r="C80">
        <f t="shared" si="4"/>
        <v>46.478726360893255</v>
      </c>
      <c r="D80">
        <f t="shared" si="5"/>
        <v>357.38460799561335</v>
      </c>
      <c r="E80">
        <f t="shared" si="6"/>
        <v>59.605805772860435</v>
      </c>
    </row>
    <row r="81" spans="1:5" x14ac:dyDescent="0.3">
      <c r="A81">
        <f t="shared" si="7"/>
        <v>78</v>
      </c>
      <c r="B81">
        <v>100</v>
      </c>
      <c r="C81">
        <f t="shared" si="4"/>
        <v>46.018540951379457</v>
      </c>
      <c r="D81">
        <f t="shared" si="5"/>
        <v>353.84614653031019</v>
      </c>
      <c r="E81">
        <f t="shared" si="6"/>
        <v>59.015649280059847</v>
      </c>
    </row>
    <row r="82" spans="1:5" x14ac:dyDescent="0.3">
      <c r="A82">
        <f t="shared" si="7"/>
        <v>79</v>
      </c>
      <c r="B82">
        <v>100</v>
      </c>
      <c r="C82">
        <f t="shared" si="4"/>
        <v>45.562911833048979</v>
      </c>
      <c r="D82">
        <f t="shared" si="5"/>
        <v>350.34271933694095</v>
      </c>
      <c r="E82">
        <f t="shared" si="6"/>
        <v>58.431335920851311</v>
      </c>
    </row>
    <row r="83" spans="1:5" x14ac:dyDescent="0.3">
      <c r="A83">
        <f t="shared" si="7"/>
        <v>80</v>
      </c>
      <c r="B83">
        <v>100</v>
      </c>
      <c r="C83">
        <f t="shared" si="4"/>
        <v>45.11179389410789</v>
      </c>
      <c r="D83">
        <f t="shared" si="5"/>
        <v>346.87397954152561</v>
      </c>
      <c r="E83">
        <f t="shared" si="6"/>
        <v>57.852807842427055</v>
      </c>
    </row>
    <row r="84" spans="1:5" x14ac:dyDescent="0.3">
      <c r="A84">
        <f t="shared" si="7"/>
        <v>81</v>
      </c>
      <c r="B84">
        <v>100</v>
      </c>
      <c r="C84">
        <f t="shared" si="4"/>
        <v>44.665142469413752</v>
      </c>
      <c r="D84">
        <f t="shared" si="5"/>
        <v>343.43958370448075</v>
      </c>
      <c r="E84">
        <f t="shared" si="6"/>
        <v>57.280007764779249</v>
      </c>
    </row>
    <row r="85" spans="1:5" x14ac:dyDescent="0.3">
      <c r="A85">
        <f t="shared" si="7"/>
        <v>82</v>
      </c>
      <c r="B85">
        <v>100</v>
      </c>
      <c r="C85">
        <f t="shared" si="4"/>
        <v>44.222913336053203</v>
      </c>
      <c r="D85">
        <f t="shared" si="5"/>
        <v>340.03919178661459</v>
      </c>
      <c r="E85">
        <f t="shared" si="6"/>
        <v>56.712878975028957</v>
      </c>
    </row>
    <row r="86" spans="1:5" x14ac:dyDescent="0.3">
      <c r="A86">
        <f t="shared" si="7"/>
        <v>83</v>
      </c>
      <c r="B86">
        <v>100</v>
      </c>
      <c r="C86">
        <f t="shared" si="4"/>
        <v>43.785062708963579</v>
      </c>
      <c r="D86">
        <f t="shared" si="5"/>
        <v>336.67246711546011</v>
      </c>
      <c r="E86">
        <f t="shared" si="6"/>
        <v>56.15136532181085</v>
      </c>
    </row>
    <row r="87" spans="1:5" x14ac:dyDescent="0.3">
      <c r="A87">
        <f t="shared" si="7"/>
        <v>84</v>
      </c>
      <c r="B87">
        <v>100</v>
      </c>
      <c r="C87">
        <f t="shared" si="4"/>
        <v>43.351547236597604</v>
      </c>
      <c r="D87">
        <f t="shared" si="5"/>
        <v>333.33907635194066</v>
      </c>
      <c r="E87">
        <f t="shared" si="6"/>
        <v>55.595411209713731</v>
      </c>
    </row>
    <row r="88" spans="1:5" x14ac:dyDescent="0.3">
      <c r="A88">
        <f t="shared" si="7"/>
        <v>85</v>
      </c>
      <c r="B88">
        <v>100</v>
      </c>
      <c r="C88">
        <f t="shared" si="4"/>
        <v>42.922323996631299</v>
      </c>
      <c r="D88">
        <f t="shared" si="5"/>
        <v>330.03868945736701</v>
      </c>
      <c r="E88">
        <f t="shared" si="6"/>
        <v>55.044961593775966</v>
      </c>
    </row>
    <row r="89" spans="1:5" x14ac:dyDescent="0.3">
      <c r="A89">
        <f t="shared" si="7"/>
        <v>86</v>
      </c>
      <c r="B89">
        <v>100</v>
      </c>
      <c r="C89">
        <f t="shared" si="4"/>
        <v>42.497350491714144</v>
      </c>
      <c r="D89">
        <f t="shared" si="5"/>
        <v>326.77097966075934</v>
      </c>
      <c r="E89">
        <f t="shared" si="6"/>
        <v>54.499961974035607</v>
      </c>
    </row>
    <row r="90" spans="1:5" x14ac:dyDescent="0.3">
      <c r="A90">
        <f t="shared" si="7"/>
        <v>87</v>
      </c>
      <c r="B90">
        <v>100</v>
      </c>
      <c r="C90">
        <f t="shared" si="4"/>
        <v>42.076584645261541</v>
      </c>
      <c r="D90">
        <f t="shared" si="5"/>
        <v>323.53562342649445</v>
      </c>
      <c r="E90">
        <f t="shared" si="6"/>
        <v>53.960358390134253</v>
      </c>
    </row>
    <row r="91" spans="1:5" x14ac:dyDescent="0.3">
      <c r="A91">
        <f t="shared" si="7"/>
        <v>88</v>
      </c>
      <c r="B91">
        <v>100</v>
      </c>
      <c r="C91">
        <f t="shared" si="4"/>
        <v>41.659984797288644</v>
      </c>
      <c r="D91">
        <f t="shared" si="5"/>
        <v>320.33230042227166</v>
      </c>
      <c r="E91">
        <f t="shared" si="6"/>
        <v>53.426097415974525</v>
      </c>
    </row>
    <row r="92" spans="1:5" x14ac:dyDescent="0.3">
      <c r="A92">
        <f t="shared" si="7"/>
        <v>89</v>
      </c>
      <c r="B92">
        <v>100</v>
      </c>
      <c r="C92">
        <f t="shared" si="4"/>
        <v>41.247509700285775</v>
      </c>
      <c r="D92">
        <f t="shared" si="5"/>
        <v>317.16069348739768</v>
      </c>
      <c r="E92">
        <f t="shared" si="6"/>
        <v>52.897126154430211</v>
      </c>
    </row>
    <row r="93" spans="1:5" x14ac:dyDescent="0.3">
      <c r="A93">
        <f t="shared" si="7"/>
        <v>90</v>
      </c>
      <c r="B93">
        <v>100</v>
      </c>
      <c r="C93">
        <f t="shared" si="4"/>
        <v>40.83911851513443</v>
      </c>
      <c r="D93">
        <f t="shared" si="5"/>
        <v>314.02048860138387</v>
      </c>
      <c r="E93">
        <f t="shared" si="6"/>
        <v>52.373392232109119</v>
      </c>
    </row>
    <row r="94" spans="1:5" x14ac:dyDescent="0.3">
      <c r="A94">
        <f t="shared" si="7"/>
        <v>91</v>
      </c>
      <c r="B94">
        <v>100</v>
      </c>
      <c r="C94">
        <f t="shared" si="4"/>
        <v>40.434770807063806</v>
      </c>
      <c r="D94">
        <f t="shared" si="5"/>
        <v>310.91137485285537</v>
      </c>
      <c r="E94">
        <f t="shared" si="6"/>
        <v>51.854843794167451</v>
      </c>
    </row>
    <row r="95" spans="1:5" x14ac:dyDescent="0.3">
      <c r="A95">
        <f t="shared" si="7"/>
        <v>92</v>
      </c>
      <c r="B95">
        <v>100</v>
      </c>
      <c r="C95">
        <f t="shared" si="4"/>
        <v>40.034426541647335</v>
      </c>
      <c r="D95">
        <f t="shared" si="5"/>
        <v>307.83304440876765</v>
      </c>
      <c r="E95">
        <f t="shared" si="6"/>
        <v>51.341429499175696</v>
      </c>
    </row>
    <row r="96" spans="1:5" x14ac:dyDescent="0.3">
      <c r="A96">
        <f t="shared" si="7"/>
        <v>93</v>
      </c>
      <c r="B96">
        <v>100</v>
      </c>
      <c r="C96">
        <f t="shared" si="4"/>
        <v>39.638046080838947</v>
      </c>
      <c r="D96">
        <f t="shared" si="5"/>
        <v>304.78519248392837</v>
      </c>
      <c r="E96">
        <f t="shared" si="6"/>
        <v>50.833098514035335</v>
      </c>
    </row>
    <row r="97" spans="1:5" x14ac:dyDescent="0.3">
      <c r="A97">
        <f t="shared" si="7"/>
        <v>94</v>
      </c>
      <c r="B97">
        <v>100</v>
      </c>
      <c r="C97">
        <f t="shared" si="4"/>
        <v>39.245590179048442</v>
      </c>
      <c r="D97">
        <f t="shared" si="5"/>
        <v>301.7675173108201</v>
      </c>
      <c r="E97">
        <f t="shared" si="6"/>
        <v>50.32980050894588</v>
      </c>
    </row>
    <row r="98" spans="1:5" x14ac:dyDescent="0.3">
      <c r="A98">
        <f t="shared" si="7"/>
        <v>95</v>
      </c>
      <c r="B98">
        <v>100</v>
      </c>
      <c r="C98">
        <f t="shared" si="4"/>
        <v>38.857019979255902</v>
      </c>
      <c r="D98">
        <f t="shared" si="5"/>
        <v>298.77972010972297</v>
      </c>
      <c r="E98">
        <f t="shared" si="6"/>
        <v>49.831485652421648</v>
      </c>
    </row>
    <row r="99" spans="1:5" x14ac:dyDescent="0.3">
      <c r="A99">
        <f t="shared" si="7"/>
        <v>96</v>
      </c>
      <c r="B99">
        <v>100</v>
      </c>
      <c r="C99">
        <f t="shared" si="4"/>
        <v>38.472297009164251</v>
      </c>
      <c r="D99">
        <f t="shared" si="5"/>
        <v>295.8215050591316</v>
      </c>
      <c r="E99">
        <f t="shared" si="6"/>
        <v>49.338104606358094</v>
      </c>
    </row>
    <row r="100" spans="1:5" x14ac:dyDescent="0.3">
      <c r="A100">
        <f t="shared" si="7"/>
        <v>97</v>
      </c>
      <c r="B100">
        <v>100</v>
      </c>
      <c r="C100">
        <f t="shared" si="4"/>
        <v>38.091383177390341</v>
      </c>
      <c r="D100">
        <f t="shared" si="5"/>
        <v>292.8925792664669</v>
      </c>
      <c r="E100">
        <f t="shared" si="6"/>
        <v>48.849608521146607</v>
      </c>
    </row>
    <row r="101" spans="1:5" x14ac:dyDescent="0.3">
      <c r="A101">
        <f t="shared" si="7"/>
        <v>98</v>
      </c>
      <c r="B101">
        <v>100</v>
      </c>
      <c r="C101">
        <f t="shared" si="4"/>
        <v>37.714240769693411</v>
      </c>
      <c r="D101">
        <f t="shared" si="5"/>
        <v>289.99265273907611</v>
      </c>
      <c r="E101">
        <f t="shared" si="6"/>
        <v>48.365949030838223</v>
      </c>
    </row>
    <row r="102" spans="1:5" x14ac:dyDescent="0.3">
      <c r="A102">
        <f t="shared" si="7"/>
        <v>99</v>
      </c>
      <c r="B102">
        <v>100</v>
      </c>
      <c r="C102">
        <f t="shared" si="4"/>
        <v>37.340832445241013</v>
      </c>
      <c r="D102">
        <f t="shared" si="5"/>
        <v>287.12143835552098</v>
      </c>
      <c r="E102">
        <f t="shared" si="6"/>
        <v>47.887078248354676</v>
      </c>
    </row>
    <row r="103" spans="1:5" x14ac:dyDescent="0.3">
      <c r="A103">
        <f t="shared" si="7"/>
        <v>100</v>
      </c>
      <c r="B103">
        <v>100</v>
      </c>
      <c r="C103">
        <f t="shared" si="4"/>
        <v>36.971121232911884</v>
      </c>
      <c r="D103">
        <f t="shared" si="5"/>
        <v>284.27865183714943</v>
      </c>
      <c r="E103">
        <f t="shared" si="6"/>
        <v>47.412948760747213</v>
      </c>
    </row>
    <row r="104" spans="1:5" x14ac:dyDescent="0.3">
      <c r="A104">
        <f t="shared" si="7"/>
        <v>101</v>
      </c>
      <c r="B104">
        <v>100</v>
      </c>
      <c r="C104">
        <f t="shared" si="4"/>
        <v>36.605070527635533</v>
      </c>
      <c r="D104">
        <f t="shared" si="5"/>
        <v>281.46401171994995</v>
      </c>
      <c r="E104">
        <f t="shared" si="6"/>
        <v>46.943513624502188</v>
      </c>
    </row>
    <row r="105" spans="1:5" x14ac:dyDescent="0.3">
      <c r="A105">
        <f t="shared" si="7"/>
        <v>102</v>
      </c>
      <c r="B105">
        <v>100</v>
      </c>
      <c r="C105">
        <f t="shared" si="4"/>
        <v>36.242644086767854</v>
      </c>
      <c r="D105">
        <f t="shared" si="5"/>
        <v>278.67723932668304</v>
      </c>
      <c r="E105">
        <f t="shared" si="6"/>
        <v>46.478726360893255</v>
      </c>
    </row>
    <row r="106" spans="1:5" x14ac:dyDescent="0.3">
      <c r="A106">
        <f t="shared" si="7"/>
        <v>103</v>
      </c>
      <c r="B106">
        <v>100</v>
      </c>
      <c r="C106">
        <f t="shared" si="4"/>
        <v>35.883806026502832</v>
      </c>
      <c r="D106">
        <f t="shared" si="5"/>
        <v>275.91805873929019</v>
      </c>
      <c r="E106">
        <f t="shared" si="6"/>
        <v>46.018540951379457</v>
      </c>
    </row>
    <row r="107" spans="1:5" x14ac:dyDescent="0.3">
      <c r="A107">
        <f t="shared" si="7"/>
        <v>104</v>
      </c>
      <c r="B107">
        <v>100</v>
      </c>
      <c r="C107">
        <f t="shared" si="4"/>
        <v>35.528520818319627</v>
      </c>
      <c r="D107">
        <f t="shared" si="5"/>
        <v>273.18619677157443</v>
      </c>
      <c r="E107">
        <f t="shared" si="6"/>
        <v>45.562911833048979</v>
      </c>
    </row>
    <row r="108" spans="1:5" x14ac:dyDescent="0.3">
      <c r="A108">
        <f t="shared" si="7"/>
        <v>105</v>
      </c>
      <c r="B108">
        <v>100</v>
      </c>
      <c r="C108">
        <f t="shared" si="4"/>
        <v>35.176753285464976</v>
      </c>
      <c r="D108">
        <f t="shared" si="5"/>
        <v>270.48138294215289</v>
      </c>
      <c r="E108">
        <f t="shared" si="6"/>
        <v>45.11179389410789</v>
      </c>
    </row>
    <row r="109" spans="1:5" x14ac:dyDescent="0.3">
      <c r="A109">
        <f t="shared" si="7"/>
        <v>106</v>
      </c>
      <c r="B109">
        <v>100</v>
      </c>
      <c r="C109">
        <f t="shared" si="4"/>
        <v>34.828468599470263</v>
      </c>
      <c r="D109">
        <f t="shared" si="5"/>
        <v>267.80334944767611</v>
      </c>
      <c r="E109">
        <f t="shared" si="6"/>
        <v>44.665142469413752</v>
      </c>
    </row>
    <row r="110" spans="1:5" x14ac:dyDescent="0.3">
      <c r="A110">
        <f t="shared" si="7"/>
        <v>107</v>
      </c>
      <c r="B110">
        <v>100</v>
      </c>
      <c r="C110">
        <f t="shared" si="4"/>
        <v>34.48363227670324</v>
      </c>
      <c r="D110">
        <f t="shared" si="5"/>
        <v>265.15183113631304</v>
      </c>
      <c r="E110">
        <f t="shared" si="6"/>
        <v>44.222913336053203</v>
      </c>
    </row>
    <row r="111" spans="1:5" x14ac:dyDescent="0.3">
      <c r="A111">
        <f t="shared" si="7"/>
        <v>108</v>
      </c>
      <c r="B111">
        <v>100</v>
      </c>
      <c r="C111">
        <f t="shared" si="4"/>
        <v>34.142210174953703</v>
      </c>
      <c r="D111">
        <f t="shared" si="5"/>
        <v>262.52656548149804</v>
      </c>
      <c r="E111">
        <f t="shared" si="6"/>
        <v>43.785062708963579</v>
      </c>
    </row>
    <row r="112" spans="1:5" x14ac:dyDescent="0.3">
      <c r="A112">
        <f t="shared" si="7"/>
        <v>109</v>
      </c>
      <c r="B112">
        <v>100</v>
      </c>
      <c r="C112">
        <f t="shared" si="4"/>
        <v>33.804168490053165</v>
      </c>
      <c r="D112">
        <f t="shared" si="5"/>
        <v>259.92729255593866</v>
      </c>
      <c r="E112">
        <f t="shared" si="6"/>
        <v>43.351547236597604</v>
      </c>
    </row>
    <row r="113" spans="1:5" x14ac:dyDescent="0.3">
      <c r="A113">
        <f t="shared" si="7"/>
        <v>110</v>
      </c>
      <c r="B113">
        <v>100</v>
      </c>
      <c r="C113">
        <f t="shared" si="4"/>
        <v>33.469473752527882</v>
      </c>
      <c r="D113">
        <f t="shared" si="5"/>
        <v>257.3537550058798</v>
      </c>
      <c r="E113">
        <f t="shared" si="6"/>
        <v>42.922323996631299</v>
      </c>
    </row>
    <row r="114" spans="1:5" x14ac:dyDescent="0.3">
      <c r="A114">
        <f t="shared" si="7"/>
        <v>111</v>
      </c>
      <c r="B114">
        <v>100</v>
      </c>
      <c r="C114">
        <f t="shared" si="4"/>
        <v>33.138092824285046</v>
      </c>
      <c r="D114">
        <f t="shared" si="5"/>
        <v>254.80569802562366</v>
      </c>
      <c r="E114">
        <f t="shared" si="6"/>
        <v>42.497350491714144</v>
      </c>
    </row>
    <row r="115" spans="1:5" x14ac:dyDescent="0.3">
      <c r="A115">
        <f t="shared" si="7"/>
        <v>112</v>
      </c>
      <c r="B115">
        <v>100</v>
      </c>
      <c r="C115">
        <f t="shared" si="4"/>
        <v>32.809992895331717</v>
      </c>
      <c r="D115">
        <f t="shared" si="5"/>
        <v>252.28286933230058</v>
      </c>
      <c r="E115">
        <f t="shared" si="6"/>
        <v>42.076584645261541</v>
      </c>
    </row>
    <row r="116" spans="1:5" x14ac:dyDescent="0.3">
      <c r="A116">
        <f t="shared" si="7"/>
        <v>113</v>
      </c>
      <c r="B116">
        <v>100</v>
      </c>
      <c r="C116">
        <f t="shared" si="4"/>
        <v>32.485141480526451</v>
      </c>
      <c r="D116">
        <f t="shared" si="5"/>
        <v>249.78501914089165</v>
      </c>
      <c r="E116">
        <f t="shared" si="6"/>
        <v>41.659984797288644</v>
      </c>
    </row>
    <row r="117" spans="1:5" x14ac:dyDescent="0.3">
      <c r="A117">
        <f t="shared" si="7"/>
        <v>114</v>
      </c>
      <c r="B117">
        <v>100</v>
      </c>
      <c r="C117">
        <f t="shared" si="4"/>
        <v>32.163506416362821</v>
      </c>
      <c r="D117">
        <f t="shared" si="5"/>
        <v>247.31190013949669</v>
      </c>
      <c r="E117">
        <f t="shared" si="6"/>
        <v>41.247509700285775</v>
      </c>
    </row>
    <row r="118" spans="1:5" x14ac:dyDescent="0.3">
      <c r="A118">
        <f t="shared" si="7"/>
        <v>115</v>
      </c>
      <c r="B118">
        <v>100</v>
      </c>
      <c r="C118">
        <f t="shared" si="4"/>
        <v>31.845055857784978</v>
      </c>
      <c r="D118">
        <f t="shared" si="5"/>
        <v>244.86326746484826</v>
      </c>
      <c r="E118">
        <f t="shared" si="6"/>
        <v>40.83911851513443</v>
      </c>
    </row>
    <row r="119" spans="1:5" x14ac:dyDescent="0.3">
      <c r="A119">
        <f t="shared" si="7"/>
        <v>116</v>
      </c>
      <c r="B119">
        <v>100</v>
      </c>
      <c r="C119">
        <f t="shared" si="4"/>
        <v>31.529758275034631</v>
      </c>
      <c r="D119">
        <f t="shared" si="5"/>
        <v>242.43887867806762</v>
      </c>
      <c r="E119">
        <f t="shared" si="6"/>
        <v>40.434770807063806</v>
      </c>
    </row>
    <row r="120" spans="1:5" x14ac:dyDescent="0.3">
      <c r="A120">
        <f t="shared" si="7"/>
        <v>117</v>
      </c>
      <c r="B120">
        <v>100</v>
      </c>
      <c r="C120">
        <f t="shared" si="4"/>
        <v>31.217582450529342</v>
      </c>
      <c r="D120">
        <f t="shared" si="5"/>
        <v>240.03849374066095</v>
      </c>
      <c r="E120">
        <f t="shared" si="6"/>
        <v>40.034426541647335</v>
      </c>
    </row>
    <row r="121" spans="1:5" x14ac:dyDescent="0.3">
      <c r="A121">
        <f t="shared" si="7"/>
        <v>118</v>
      </c>
      <c r="B121">
        <v>100</v>
      </c>
      <c r="C121">
        <f t="shared" si="4"/>
        <v>30.908497475771611</v>
      </c>
      <c r="D121">
        <f t="shared" si="5"/>
        <v>237.66187499075335</v>
      </c>
      <c r="E121">
        <f t="shared" si="6"/>
        <v>39.638046080838947</v>
      </c>
    </row>
    <row r="122" spans="1:5" x14ac:dyDescent="0.3">
      <c r="A122">
        <f t="shared" si="7"/>
        <v>119</v>
      </c>
      <c r="B122">
        <v>100</v>
      </c>
      <c r="C122">
        <f t="shared" si="4"/>
        <v>30.602472748288733</v>
      </c>
      <c r="D122">
        <f t="shared" si="5"/>
        <v>235.30878711955782</v>
      </c>
      <c r="E122">
        <f t="shared" si="6"/>
        <v>39.245590179048442</v>
      </c>
    </row>
    <row r="123" spans="1:5" x14ac:dyDescent="0.3">
      <c r="A123">
        <f t="shared" si="7"/>
        <v>120</v>
      </c>
      <c r="B123">
        <v>100</v>
      </c>
      <c r="C123">
        <f t="shared" si="4"/>
        <v>30.299477968602702</v>
      </c>
      <c r="D123">
        <f t="shared" si="5"/>
        <v>232.97899714807699</v>
      </c>
      <c r="E123">
        <f t="shared" si="6"/>
        <v>38.857019979255902</v>
      </c>
    </row>
    <row r="124" spans="1:5" x14ac:dyDescent="0.3">
      <c r="A124">
        <f t="shared" si="7"/>
        <v>121</v>
      </c>
      <c r="B124">
        <v>100</v>
      </c>
      <c r="C124">
        <f t="shared" si="4"/>
        <v>29.999483137230399</v>
      </c>
      <c r="D124">
        <f t="shared" si="5"/>
        <v>230.67227440403667</v>
      </c>
      <c r="E124">
        <f t="shared" si="6"/>
        <v>38.472297009164251</v>
      </c>
    </row>
    <row r="125" spans="1:5" x14ac:dyDescent="0.3">
      <c r="A125">
        <f t="shared" si="7"/>
        <v>122</v>
      </c>
      <c r="B125">
        <v>100</v>
      </c>
      <c r="C125">
        <f t="shared" si="4"/>
        <v>29.702458551713264</v>
      </c>
      <c r="D125">
        <f t="shared" si="5"/>
        <v>228.38839049904621</v>
      </c>
      <c r="E125">
        <f t="shared" si="6"/>
        <v>38.091383177390341</v>
      </c>
    </row>
    <row r="126" spans="1:5" x14ac:dyDescent="0.3">
      <c r="A126">
        <f t="shared" si="7"/>
        <v>123</v>
      </c>
      <c r="B126">
        <v>100</v>
      </c>
      <c r="C126">
        <f t="shared" si="4"/>
        <v>29.408374803676509</v>
      </c>
      <c r="D126">
        <f t="shared" si="5"/>
        <v>226.12711930598638</v>
      </c>
      <c r="E126">
        <f t="shared" si="6"/>
        <v>37.714240769693411</v>
      </c>
    </row>
    <row r="127" spans="1:5" x14ac:dyDescent="0.3">
      <c r="A127">
        <f t="shared" si="7"/>
        <v>124</v>
      </c>
      <c r="B127">
        <v>100</v>
      </c>
      <c r="C127">
        <f t="shared" si="4"/>
        <v>29.117202775917335</v>
      </c>
      <c r="D127">
        <f t="shared" si="5"/>
        <v>223.88823693662013</v>
      </c>
      <c r="E127">
        <f t="shared" si="6"/>
        <v>37.340832445241013</v>
      </c>
    </row>
    <row r="128" spans="1:5" x14ac:dyDescent="0.3">
      <c r="A128">
        <f t="shared" si="7"/>
        <v>125</v>
      </c>
      <c r="B128">
        <v>100</v>
      </c>
      <c r="C128">
        <f t="shared" si="4"/>
        <v>28.828913639522106</v>
      </c>
      <c r="D128">
        <f t="shared" si="5"/>
        <v>221.67152171942587</v>
      </c>
      <c r="E128">
        <f t="shared" si="6"/>
        <v>36.971121232911884</v>
      </c>
    </row>
    <row r="129" spans="1:5" x14ac:dyDescent="0.3">
      <c r="A129">
        <f t="shared" si="7"/>
        <v>126</v>
      </c>
      <c r="B129">
        <v>100</v>
      </c>
      <c r="C129">
        <f t="shared" si="4"/>
        <v>28.543478851011983</v>
      </c>
      <c r="D129">
        <f t="shared" si="5"/>
        <v>219.47675417764933</v>
      </c>
      <c r="E129">
        <f t="shared" si="6"/>
        <v>36.605070527635533</v>
      </c>
    </row>
    <row r="130" spans="1:5" x14ac:dyDescent="0.3">
      <c r="A130">
        <f t="shared" si="7"/>
        <v>127</v>
      </c>
      <c r="B130">
        <v>100</v>
      </c>
      <c r="C130">
        <f t="shared" si="4"/>
        <v>28.260870149516826</v>
      </c>
      <c r="D130">
        <f t="shared" si="5"/>
        <v>217.30371700757365</v>
      </c>
      <c r="E130">
        <f t="shared" si="6"/>
        <v>36.242644086767854</v>
      </c>
    </row>
    <row r="131" spans="1:5" x14ac:dyDescent="0.3">
      <c r="A131">
        <f t="shared" si="7"/>
        <v>128</v>
      </c>
      <c r="B131">
        <v>100</v>
      </c>
      <c r="C131">
        <f t="shared" si="4"/>
        <v>27.981059553977051</v>
      </c>
      <c r="D131">
        <f t="shared" si="5"/>
        <v>215.15219505700358</v>
      </c>
      <c r="E131">
        <f t="shared" si="6"/>
        <v>35.883806026502832</v>
      </c>
    </row>
    <row r="132" spans="1:5" x14ac:dyDescent="0.3">
      <c r="A132">
        <f t="shared" si="7"/>
        <v>129</v>
      </c>
      <c r="B132">
        <v>100</v>
      </c>
      <c r="C132">
        <f t="shared" ref="C132:C195" si="8">B132*(1+$H$3)^(-A132)</f>
        <v>27.704019360373316</v>
      </c>
      <c r="D132">
        <f t="shared" ref="D132:D195" si="9">B132*(1+$H$3)^($H$2-A132)</f>
        <v>213.02197530396393</v>
      </c>
      <c r="E132">
        <f t="shared" ref="E132:E195" si="10">B132*(1+$H$3)^($H$6-A132)</f>
        <v>35.528520818319627</v>
      </c>
    </row>
    <row r="133" spans="1:5" x14ac:dyDescent="0.3">
      <c r="A133">
        <f t="shared" si="7"/>
        <v>130</v>
      </c>
      <c r="B133">
        <v>100</v>
      </c>
      <c r="C133">
        <f t="shared" si="8"/>
        <v>27.429722138983482</v>
      </c>
      <c r="D133">
        <f t="shared" si="9"/>
        <v>210.91284683560784</v>
      </c>
      <c r="E133">
        <f t="shared" si="10"/>
        <v>35.176753285464976</v>
      </c>
    </row>
    <row r="134" spans="1:5" x14ac:dyDescent="0.3">
      <c r="A134">
        <f t="shared" ref="A134:A197" si="11">A133+1</f>
        <v>131</v>
      </c>
      <c r="B134">
        <v>100</v>
      </c>
      <c r="C134">
        <f t="shared" si="8"/>
        <v>27.158140731666812</v>
      </c>
      <c r="D134">
        <f t="shared" si="9"/>
        <v>208.82460082733454</v>
      </c>
      <c r="E134">
        <f t="shared" si="10"/>
        <v>34.828468599470263</v>
      </c>
    </row>
    <row r="135" spans="1:5" x14ac:dyDescent="0.3">
      <c r="A135">
        <f t="shared" si="11"/>
        <v>132</v>
      </c>
      <c r="B135">
        <v>100</v>
      </c>
      <c r="C135">
        <f t="shared" si="8"/>
        <v>26.889248249175058</v>
      </c>
      <c r="D135">
        <f t="shared" si="9"/>
        <v>206.75703052211341</v>
      </c>
      <c r="E135">
        <f t="shared" si="10"/>
        <v>34.48363227670324</v>
      </c>
    </row>
    <row r="136" spans="1:5" x14ac:dyDescent="0.3">
      <c r="A136">
        <f t="shared" si="11"/>
        <v>133</v>
      </c>
      <c r="B136">
        <v>100</v>
      </c>
      <c r="C136">
        <f t="shared" si="8"/>
        <v>26.623018068490161</v>
      </c>
      <c r="D136">
        <f t="shared" si="9"/>
        <v>204.70993121001325</v>
      </c>
      <c r="E136">
        <f t="shared" si="10"/>
        <v>34.142210174953703</v>
      </c>
    </row>
    <row r="137" spans="1:5" x14ac:dyDescent="0.3">
      <c r="A137">
        <f t="shared" si="11"/>
        <v>134</v>
      </c>
      <c r="B137">
        <v>100</v>
      </c>
      <c r="C137">
        <f t="shared" si="8"/>
        <v>26.359423830188277</v>
      </c>
      <c r="D137">
        <f t="shared" si="9"/>
        <v>202.68310020793385</v>
      </c>
      <c r="E137">
        <f t="shared" si="10"/>
        <v>33.804168490053165</v>
      </c>
    </row>
    <row r="138" spans="1:5" x14ac:dyDescent="0.3">
      <c r="A138">
        <f t="shared" si="11"/>
        <v>135</v>
      </c>
      <c r="B138">
        <v>100</v>
      </c>
      <c r="C138">
        <f t="shared" si="8"/>
        <v>26.098439435829977</v>
      </c>
      <c r="D138">
        <f t="shared" si="9"/>
        <v>200.67633683953855</v>
      </c>
      <c r="E138">
        <f t="shared" si="10"/>
        <v>33.469473752527882</v>
      </c>
    </row>
    <row r="139" spans="1:5" x14ac:dyDescent="0.3">
      <c r="A139">
        <f t="shared" si="11"/>
        <v>136</v>
      </c>
      <c r="B139">
        <v>100</v>
      </c>
      <c r="C139">
        <f t="shared" si="8"/>
        <v>25.840039045376212</v>
      </c>
      <c r="D139">
        <f t="shared" si="9"/>
        <v>198.68944241538466</v>
      </c>
      <c r="E139">
        <f t="shared" si="10"/>
        <v>33.138092824285046</v>
      </c>
    </row>
    <row r="140" spans="1:5" x14ac:dyDescent="0.3">
      <c r="A140">
        <f t="shared" si="11"/>
        <v>137</v>
      </c>
      <c r="B140">
        <v>100</v>
      </c>
      <c r="C140">
        <f t="shared" si="8"/>
        <v>25.584197074629913</v>
      </c>
      <c r="D140">
        <f t="shared" si="9"/>
        <v>196.72222021325217</v>
      </c>
      <c r="E140">
        <f t="shared" si="10"/>
        <v>32.809992895331717</v>
      </c>
    </row>
    <row r="141" spans="1:5" x14ac:dyDescent="0.3">
      <c r="A141">
        <f t="shared" si="11"/>
        <v>138</v>
      </c>
      <c r="B141">
        <v>100</v>
      </c>
      <c r="C141">
        <f t="shared" si="8"/>
        <v>25.330888192702883</v>
      </c>
      <c r="D141">
        <f t="shared" si="9"/>
        <v>194.77447545866548</v>
      </c>
      <c r="E141">
        <f t="shared" si="10"/>
        <v>32.485141480526451</v>
      </c>
    </row>
    <row r="142" spans="1:5" x14ac:dyDescent="0.3">
      <c r="A142">
        <f t="shared" si="11"/>
        <v>139</v>
      </c>
      <c r="B142">
        <v>100</v>
      </c>
      <c r="C142">
        <f t="shared" si="8"/>
        <v>25.080087319507811</v>
      </c>
      <c r="D142">
        <f t="shared" si="9"/>
        <v>192.8460153056094</v>
      </c>
      <c r="E142">
        <f t="shared" si="10"/>
        <v>32.163506416362821</v>
      </c>
    </row>
    <row r="143" spans="1:5" x14ac:dyDescent="0.3">
      <c r="A143">
        <f t="shared" si="11"/>
        <v>140</v>
      </c>
      <c r="B143">
        <v>100</v>
      </c>
      <c r="C143">
        <f t="shared" si="8"/>
        <v>24.831769623275058</v>
      </c>
      <c r="D143">
        <f t="shared" si="9"/>
        <v>190.93664881743507</v>
      </c>
      <c r="E143">
        <f t="shared" si="10"/>
        <v>31.845055857784978</v>
      </c>
    </row>
    <row r="144" spans="1:5" x14ac:dyDescent="0.3">
      <c r="A144">
        <f t="shared" si="11"/>
        <v>141</v>
      </c>
      <c r="B144">
        <v>100</v>
      </c>
      <c r="C144">
        <f t="shared" si="8"/>
        <v>24.585910518094114</v>
      </c>
      <c r="D144">
        <f t="shared" si="9"/>
        <v>189.0461869479555</v>
      </c>
      <c r="E144">
        <f t="shared" si="10"/>
        <v>31.529758275034631</v>
      </c>
    </row>
    <row r="145" spans="1:5" x14ac:dyDescent="0.3">
      <c r="A145">
        <f t="shared" si="11"/>
        <v>142</v>
      </c>
      <c r="B145">
        <v>100</v>
      </c>
      <c r="C145">
        <f t="shared" si="8"/>
        <v>24.342485661479323</v>
      </c>
      <c r="D145">
        <f t="shared" si="9"/>
        <v>187.17444252272816</v>
      </c>
      <c r="E145">
        <f t="shared" si="10"/>
        <v>31.217582450529342</v>
      </c>
    </row>
    <row r="146" spans="1:5" x14ac:dyDescent="0.3">
      <c r="A146">
        <f t="shared" si="11"/>
        <v>143</v>
      </c>
      <c r="B146">
        <v>100</v>
      </c>
      <c r="C146">
        <f t="shared" si="8"/>
        <v>24.101470951959726</v>
      </c>
      <c r="D146">
        <f t="shared" si="9"/>
        <v>185.32123022052301</v>
      </c>
      <c r="E146">
        <f t="shared" si="10"/>
        <v>30.908497475771611</v>
      </c>
    </row>
    <row r="147" spans="1:5" x14ac:dyDescent="0.3">
      <c r="A147">
        <f t="shared" si="11"/>
        <v>144</v>
      </c>
      <c r="B147">
        <v>100</v>
      </c>
      <c r="C147">
        <f t="shared" si="8"/>
        <v>23.862842526692791</v>
      </c>
      <c r="D147">
        <f t="shared" si="9"/>
        <v>183.48636655497324</v>
      </c>
      <c r="E147">
        <f t="shared" si="10"/>
        <v>30.602472748288733</v>
      </c>
    </row>
    <row r="148" spans="1:5" x14ac:dyDescent="0.3">
      <c r="A148">
        <f t="shared" si="11"/>
        <v>145</v>
      </c>
      <c r="B148">
        <v>100</v>
      </c>
      <c r="C148">
        <f t="shared" si="8"/>
        <v>23.626576759101773</v>
      </c>
      <c r="D148">
        <f t="shared" si="9"/>
        <v>181.66966985640914</v>
      </c>
      <c r="E148">
        <f t="shared" si="10"/>
        <v>30.299477968602702</v>
      </c>
    </row>
    <row r="149" spans="1:5" x14ac:dyDescent="0.3">
      <c r="A149">
        <f t="shared" si="11"/>
        <v>146</v>
      </c>
      <c r="B149">
        <v>100</v>
      </c>
      <c r="C149">
        <f t="shared" si="8"/>
        <v>23.39265025653641</v>
      </c>
      <c r="D149">
        <f t="shared" si="9"/>
        <v>179.87096025387041</v>
      </c>
      <c r="E149">
        <f t="shared" si="10"/>
        <v>29.999483137230399</v>
      </c>
    </row>
    <row r="150" spans="1:5" x14ac:dyDescent="0.3">
      <c r="A150">
        <f t="shared" si="11"/>
        <v>147</v>
      </c>
      <c r="B150">
        <v>100</v>
      </c>
      <c r="C150">
        <f t="shared" si="8"/>
        <v>23.161039857956847</v>
      </c>
      <c r="D150">
        <f t="shared" si="9"/>
        <v>178.0900596572975</v>
      </c>
      <c r="E150">
        <f t="shared" si="10"/>
        <v>29.702458551713264</v>
      </c>
    </row>
    <row r="151" spans="1:5" x14ac:dyDescent="0.3">
      <c r="A151">
        <f t="shared" si="11"/>
        <v>148</v>
      </c>
      <c r="B151">
        <v>100</v>
      </c>
      <c r="C151">
        <f t="shared" si="8"/>
        <v>22.93172263164044</v>
      </c>
      <c r="D151">
        <f t="shared" si="9"/>
        <v>176.32679173989851</v>
      </c>
      <c r="E151">
        <f t="shared" si="10"/>
        <v>29.408374803676509</v>
      </c>
    </row>
    <row r="152" spans="1:5" x14ac:dyDescent="0.3">
      <c r="A152">
        <f t="shared" si="11"/>
        <v>149</v>
      </c>
      <c r="B152">
        <v>100</v>
      </c>
      <c r="C152">
        <f t="shared" si="8"/>
        <v>22.704675872911331</v>
      </c>
      <c r="D152">
        <f t="shared" si="9"/>
        <v>174.58098192069158</v>
      </c>
      <c r="E152">
        <f t="shared" si="10"/>
        <v>29.117202775917335</v>
      </c>
    </row>
    <row r="153" spans="1:5" x14ac:dyDescent="0.3">
      <c r="A153">
        <f t="shared" si="11"/>
        <v>150</v>
      </c>
      <c r="B153">
        <v>100</v>
      </c>
      <c r="C153">
        <f t="shared" si="8"/>
        <v>22.479877101892402</v>
      </c>
      <c r="D153">
        <f t="shared" si="9"/>
        <v>172.85245734721934</v>
      </c>
      <c r="E153">
        <f t="shared" si="10"/>
        <v>28.828913639522106</v>
      </c>
    </row>
    <row r="154" spans="1:5" x14ac:dyDescent="0.3">
      <c r="A154">
        <f t="shared" si="11"/>
        <v>151</v>
      </c>
      <c r="B154">
        <v>100</v>
      </c>
      <c r="C154">
        <f t="shared" si="8"/>
        <v>22.257304061279605</v>
      </c>
      <c r="D154">
        <f t="shared" si="9"/>
        <v>171.14104687843502</v>
      </c>
      <c r="E154">
        <f t="shared" si="10"/>
        <v>28.543478851011983</v>
      </c>
    </row>
    <row r="155" spans="1:5" x14ac:dyDescent="0.3">
      <c r="A155">
        <f t="shared" si="11"/>
        <v>152</v>
      </c>
      <c r="B155">
        <v>100</v>
      </c>
      <c r="C155">
        <f t="shared" si="8"/>
        <v>22.036934714138219</v>
      </c>
      <c r="D155">
        <f t="shared" si="9"/>
        <v>169.44658106775739</v>
      </c>
      <c r="E155">
        <f t="shared" si="10"/>
        <v>28.260870149516826</v>
      </c>
    </row>
    <row r="156" spans="1:5" x14ac:dyDescent="0.3">
      <c r="A156">
        <f t="shared" si="11"/>
        <v>153</v>
      </c>
      <c r="B156">
        <v>100</v>
      </c>
      <c r="C156">
        <f t="shared" si="8"/>
        <v>21.818747241721006</v>
      </c>
      <c r="D156">
        <f t="shared" si="9"/>
        <v>167.76889214629449</v>
      </c>
      <c r="E156">
        <f t="shared" si="10"/>
        <v>27.981059553977051</v>
      </c>
    </row>
    <row r="157" spans="1:5" x14ac:dyDescent="0.3">
      <c r="A157">
        <f t="shared" si="11"/>
        <v>154</v>
      </c>
      <c r="B157">
        <v>100</v>
      </c>
      <c r="C157">
        <f t="shared" si="8"/>
        <v>21.602720041307926</v>
      </c>
      <c r="D157">
        <f t="shared" si="9"/>
        <v>166.10781400623216</v>
      </c>
      <c r="E157">
        <f t="shared" si="10"/>
        <v>27.704019360373316</v>
      </c>
    </row>
    <row r="158" spans="1:5" x14ac:dyDescent="0.3">
      <c r="A158">
        <f t="shared" si="11"/>
        <v>155</v>
      </c>
      <c r="B158">
        <v>100</v>
      </c>
      <c r="C158">
        <f t="shared" si="8"/>
        <v>21.388831724067263</v>
      </c>
      <c r="D158">
        <f t="shared" si="9"/>
        <v>164.4631821843883</v>
      </c>
      <c r="E158">
        <f t="shared" si="10"/>
        <v>27.429722138983482</v>
      </c>
    </row>
    <row r="159" spans="1:5" x14ac:dyDescent="0.3">
      <c r="A159">
        <f t="shared" si="11"/>
        <v>156</v>
      </c>
      <c r="B159">
        <v>100</v>
      </c>
      <c r="C159">
        <f t="shared" si="8"/>
        <v>21.177061112937885</v>
      </c>
      <c r="D159">
        <f t="shared" si="9"/>
        <v>162.83483384592901</v>
      </c>
      <c r="E159">
        <f t="shared" si="10"/>
        <v>27.158140731666812</v>
      </c>
    </row>
    <row r="160" spans="1:5" x14ac:dyDescent="0.3">
      <c r="A160">
        <f t="shared" si="11"/>
        <v>157</v>
      </c>
      <c r="B160">
        <v>100</v>
      </c>
      <c r="C160">
        <f t="shared" si="8"/>
        <v>20.967387240532556</v>
      </c>
      <c r="D160">
        <f t="shared" si="9"/>
        <v>161.22260776824652</v>
      </c>
      <c r="E160">
        <f t="shared" si="10"/>
        <v>26.889248249175058</v>
      </c>
    </row>
    <row r="161" spans="1:5" x14ac:dyDescent="0.3">
      <c r="A161">
        <f t="shared" si="11"/>
        <v>158</v>
      </c>
      <c r="B161">
        <v>100</v>
      </c>
      <c r="C161">
        <f t="shared" si="8"/>
        <v>20.759789347061933</v>
      </c>
      <c r="D161">
        <f t="shared" si="9"/>
        <v>159.62634432499652</v>
      </c>
      <c r="E161">
        <f t="shared" si="10"/>
        <v>26.623018068490161</v>
      </c>
    </row>
    <row r="162" spans="1:5" x14ac:dyDescent="0.3">
      <c r="A162">
        <f t="shared" si="11"/>
        <v>159</v>
      </c>
      <c r="B162">
        <v>100</v>
      </c>
      <c r="C162">
        <f t="shared" si="8"/>
        <v>20.554246878279148</v>
      </c>
      <c r="D162">
        <f t="shared" si="9"/>
        <v>158.04588547029363</v>
      </c>
      <c r="E162">
        <f t="shared" si="10"/>
        <v>26.359423830188277</v>
      </c>
    </row>
    <row r="163" spans="1:5" x14ac:dyDescent="0.3">
      <c r="A163">
        <f t="shared" si="11"/>
        <v>160</v>
      </c>
      <c r="B163">
        <v>100</v>
      </c>
      <c r="C163">
        <f t="shared" si="8"/>
        <v>20.350739483444695</v>
      </c>
      <c r="D163">
        <f t="shared" si="9"/>
        <v>156.48107472306299</v>
      </c>
      <c r="E163">
        <f t="shared" si="10"/>
        <v>26.098439435829977</v>
      </c>
    </row>
    <row r="164" spans="1:5" x14ac:dyDescent="0.3">
      <c r="A164">
        <f t="shared" si="11"/>
        <v>161</v>
      </c>
      <c r="B164">
        <v>100</v>
      </c>
      <c r="C164">
        <f t="shared" si="8"/>
        <v>20.14924701331158</v>
      </c>
      <c r="D164">
        <f t="shared" si="9"/>
        <v>154.93175715154749</v>
      </c>
      <c r="E164">
        <f t="shared" si="10"/>
        <v>25.840039045376212</v>
      </c>
    </row>
    <row r="165" spans="1:5" x14ac:dyDescent="0.3">
      <c r="A165">
        <f t="shared" si="11"/>
        <v>162</v>
      </c>
      <c r="B165">
        <v>100</v>
      </c>
      <c r="C165">
        <f t="shared" si="8"/>
        <v>19.949749518130279</v>
      </c>
      <c r="D165">
        <f t="shared" si="9"/>
        <v>153.39777935796781</v>
      </c>
      <c r="E165">
        <f t="shared" si="10"/>
        <v>25.584197074629913</v>
      </c>
    </row>
    <row r="166" spans="1:5" x14ac:dyDescent="0.3">
      <c r="A166">
        <f t="shared" si="11"/>
        <v>163</v>
      </c>
      <c r="B166">
        <v>100</v>
      </c>
      <c r="C166">
        <f t="shared" si="8"/>
        <v>19.752227245673545</v>
      </c>
      <c r="D166">
        <f t="shared" si="9"/>
        <v>151.87898946333451</v>
      </c>
      <c r="E166">
        <f t="shared" si="10"/>
        <v>25.330888192702883</v>
      </c>
    </row>
    <row r="167" spans="1:5" x14ac:dyDescent="0.3">
      <c r="A167">
        <f t="shared" si="11"/>
        <v>164</v>
      </c>
      <c r="B167">
        <v>100</v>
      </c>
      <c r="C167">
        <f t="shared" si="8"/>
        <v>19.556660639280736</v>
      </c>
      <c r="D167">
        <f t="shared" si="9"/>
        <v>150.37523709241037</v>
      </c>
      <c r="E167">
        <f t="shared" si="10"/>
        <v>25.080087319507811</v>
      </c>
    </row>
    <row r="168" spans="1:5" x14ac:dyDescent="0.3">
      <c r="A168">
        <f t="shared" si="11"/>
        <v>165</v>
      </c>
      <c r="B168">
        <v>100</v>
      </c>
      <c r="C168">
        <f t="shared" si="8"/>
        <v>19.363030335921518</v>
      </c>
      <c r="D168">
        <f t="shared" si="9"/>
        <v>148.88637335882214</v>
      </c>
      <c r="E168">
        <f t="shared" si="10"/>
        <v>24.831769623275058</v>
      </c>
    </row>
    <row r="169" spans="1:5" x14ac:dyDescent="0.3">
      <c r="A169">
        <f t="shared" si="11"/>
        <v>166</v>
      </c>
      <c r="B169">
        <v>100</v>
      </c>
      <c r="C169">
        <f t="shared" si="8"/>
        <v>19.171317164278729</v>
      </c>
      <c r="D169">
        <f t="shared" si="9"/>
        <v>147.41225085031891</v>
      </c>
      <c r="E169">
        <f t="shared" si="10"/>
        <v>24.585910518094114</v>
      </c>
    </row>
    <row r="170" spans="1:5" x14ac:dyDescent="0.3">
      <c r="A170">
        <f t="shared" si="11"/>
        <v>167</v>
      </c>
      <c r="B170">
        <v>100</v>
      </c>
      <c r="C170">
        <f t="shared" si="8"/>
        <v>18.981502142850232</v>
      </c>
      <c r="D170">
        <f t="shared" si="9"/>
        <v>145.95272361417719</v>
      </c>
      <c r="E170">
        <f t="shared" si="10"/>
        <v>24.342485661479323</v>
      </c>
    </row>
    <row r="171" spans="1:5" x14ac:dyDescent="0.3">
      <c r="A171">
        <f t="shared" si="11"/>
        <v>168</v>
      </c>
      <c r="B171">
        <v>100</v>
      </c>
      <c r="C171">
        <f t="shared" si="8"/>
        <v>18.793566478069533</v>
      </c>
      <c r="D171">
        <f t="shared" si="9"/>
        <v>144.50764714274968</v>
      </c>
      <c r="E171">
        <f t="shared" si="10"/>
        <v>24.101470951959726</v>
      </c>
    </row>
    <row r="172" spans="1:5" x14ac:dyDescent="0.3">
      <c r="A172">
        <f t="shared" si="11"/>
        <v>169</v>
      </c>
      <c r="B172">
        <v>100</v>
      </c>
      <c r="C172">
        <f t="shared" si="8"/>
        <v>18.60749156244508</v>
      </c>
      <c r="D172">
        <f t="shared" si="9"/>
        <v>143.07687835915809</v>
      </c>
      <c r="E172">
        <f t="shared" si="10"/>
        <v>23.862842526692791</v>
      </c>
    </row>
    <row r="173" spans="1:5" x14ac:dyDescent="0.3">
      <c r="A173">
        <f t="shared" si="11"/>
        <v>170</v>
      </c>
      <c r="B173">
        <v>100</v>
      </c>
      <c r="C173">
        <f t="shared" si="8"/>
        <v>18.4232589727179</v>
      </c>
      <c r="D173">
        <f t="shared" si="9"/>
        <v>141.66027560312682</v>
      </c>
      <c r="E173">
        <f t="shared" si="10"/>
        <v>23.626576759101773</v>
      </c>
    </row>
    <row r="174" spans="1:5" x14ac:dyDescent="0.3">
      <c r="A174">
        <f t="shared" si="11"/>
        <v>171</v>
      </c>
      <c r="B174">
        <v>100</v>
      </c>
      <c r="C174">
        <f t="shared" si="8"/>
        <v>18.240850468037529</v>
      </c>
      <c r="D174">
        <f t="shared" si="9"/>
        <v>140.25769861695727</v>
      </c>
      <c r="E174">
        <f t="shared" si="10"/>
        <v>23.39265025653641</v>
      </c>
    </row>
    <row r="175" spans="1:5" x14ac:dyDescent="0.3">
      <c r="A175">
        <f t="shared" si="11"/>
        <v>172</v>
      </c>
      <c r="B175">
        <v>100</v>
      </c>
      <c r="C175">
        <f t="shared" si="8"/>
        <v>18.060247988155968</v>
      </c>
      <c r="D175">
        <f t="shared" si="9"/>
        <v>138.86900853164087</v>
      </c>
      <c r="E175">
        <f t="shared" si="10"/>
        <v>23.161039857956847</v>
      </c>
    </row>
    <row r="176" spans="1:5" x14ac:dyDescent="0.3">
      <c r="A176">
        <f t="shared" si="11"/>
        <v>173</v>
      </c>
      <c r="B176">
        <v>100</v>
      </c>
      <c r="C176">
        <f t="shared" si="8"/>
        <v>17.881433651639572</v>
      </c>
      <c r="D176">
        <f t="shared" si="9"/>
        <v>137.49406785310975</v>
      </c>
      <c r="E176">
        <f t="shared" si="10"/>
        <v>22.93172263164044</v>
      </c>
    </row>
    <row r="177" spans="1:5" x14ac:dyDescent="0.3">
      <c r="A177">
        <f t="shared" si="11"/>
        <v>174</v>
      </c>
      <c r="B177">
        <v>100</v>
      </c>
      <c r="C177">
        <f t="shared" si="8"/>
        <v>17.704389754098585</v>
      </c>
      <c r="D177">
        <f t="shared" si="9"/>
        <v>136.13274044862348</v>
      </c>
      <c r="E177">
        <f t="shared" si="10"/>
        <v>22.704675872911331</v>
      </c>
    </row>
    <row r="178" spans="1:5" x14ac:dyDescent="0.3">
      <c r="A178">
        <f t="shared" si="11"/>
        <v>175</v>
      </c>
      <c r="B178">
        <v>100</v>
      </c>
      <c r="C178">
        <f t="shared" si="8"/>
        <v>17.529098766434249</v>
      </c>
      <c r="D178">
        <f t="shared" si="9"/>
        <v>134.78489153329062</v>
      </c>
      <c r="E178">
        <f t="shared" si="10"/>
        <v>22.479877101892402</v>
      </c>
    </row>
    <row r="179" spans="1:5" x14ac:dyDescent="0.3">
      <c r="A179">
        <f t="shared" si="11"/>
        <v>176</v>
      </c>
      <c r="B179">
        <v>100</v>
      </c>
      <c r="C179">
        <f t="shared" si="8"/>
        <v>17.35554333310321</v>
      </c>
      <c r="D179">
        <f t="shared" si="9"/>
        <v>133.45038765672336</v>
      </c>
      <c r="E179">
        <f t="shared" si="10"/>
        <v>22.257304061279605</v>
      </c>
    </row>
    <row r="180" spans="1:5" x14ac:dyDescent="0.3">
      <c r="A180">
        <f t="shared" si="11"/>
        <v>177</v>
      </c>
      <c r="B180">
        <v>100</v>
      </c>
      <c r="C180">
        <f t="shared" si="8"/>
        <v>17.183706270399217</v>
      </c>
      <c r="D180">
        <f t="shared" si="9"/>
        <v>132.1290966898251</v>
      </c>
      <c r="E180">
        <f t="shared" si="10"/>
        <v>22.036934714138219</v>
      </c>
    </row>
    <row r="181" spans="1:5" x14ac:dyDescent="0.3">
      <c r="A181">
        <f t="shared" si="11"/>
        <v>178</v>
      </c>
      <c r="B181">
        <v>100</v>
      </c>
      <c r="C181">
        <f t="shared" si="8"/>
        <v>17.013570564751699</v>
      </c>
      <c r="D181">
        <f t="shared" si="9"/>
        <v>130.82088781170802</v>
      </c>
      <c r="E181">
        <f t="shared" si="10"/>
        <v>21.818747241721006</v>
      </c>
    </row>
    <row r="182" spans="1:5" x14ac:dyDescent="0.3">
      <c r="A182">
        <f t="shared" si="11"/>
        <v>179</v>
      </c>
      <c r="B182">
        <v>100</v>
      </c>
      <c r="C182">
        <f t="shared" si="8"/>
        <v>16.845119371041289</v>
      </c>
      <c r="D182">
        <f t="shared" si="9"/>
        <v>129.52563149674066</v>
      </c>
      <c r="E182">
        <f t="shared" si="10"/>
        <v>21.602720041307926</v>
      </c>
    </row>
    <row r="183" spans="1:5" x14ac:dyDescent="0.3">
      <c r="A183">
        <f t="shared" si="11"/>
        <v>180</v>
      </c>
      <c r="B183">
        <v>100</v>
      </c>
      <c r="C183">
        <f t="shared" si="8"/>
        <v>16.678336010931968</v>
      </c>
      <c r="D183">
        <f t="shared" si="9"/>
        <v>128.24319950172344</v>
      </c>
      <c r="E183">
        <f t="shared" si="10"/>
        <v>21.388831724067263</v>
      </c>
    </row>
    <row r="184" spans="1:5" x14ac:dyDescent="0.3">
      <c r="A184">
        <f t="shared" si="11"/>
        <v>181</v>
      </c>
      <c r="B184">
        <v>100</v>
      </c>
      <c r="C184">
        <f t="shared" si="8"/>
        <v>16.513203971219774</v>
      </c>
      <c r="D184">
        <f t="shared" si="9"/>
        <v>126.9734648531915</v>
      </c>
      <c r="E184">
        <f t="shared" si="10"/>
        <v>21.177061112937885</v>
      </c>
    </row>
    <row r="185" spans="1:5" x14ac:dyDescent="0.3">
      <c r="A185">
        <f t="shared" si="11"/>
        <v>182</v>
      </c>
      <c r="B185">
        <v>100</v>
      </c>
      <c r="C185">
        <f t="shared" si="8"/>
        <v>16.349706902197791</v>
      </c>
      <c r="D185">
        <f t="shared" si="9"/>
        <v>125.71630183484304</v>
      </c>
      <c r="E185">
        <f t="shared" si="10"/>
        <v>20.967387240532556</v>
      </c>
    </row>
    <row r="186" spans="1:5" x14ac:dyDescent="0.3">
      <c r="A186">
        <f t="shared" si="11"/>
        <v>183</v>
      </c>
      <c r="B186">
        <v>100</v>
      </c>
      <c r="C186">
        <f t="shared" si="8"/>
        <v>16.187828616037418</v>
      </c>
      <c r="D186">
        <f t="shared" si="9"/>
        <v>124.47158597509214</v>
      </c>
      <c r="E186">
        <f t="shared" si="10"/>
        <v>20.759789347061933</v>
      </c>
    </row>
    <row r="187" spans="1:5" x14ac:dyDescent="0.3">
      <c r="A187">
        <f t="shared" si="11"/>
        <v>184</v>
      </c>
      <c r="B187">
        <v>100</v>
      </c>
      <c r="C187">
        <f t="shared" si="8"/>
        <v>16.027553085185559</v>
      </c>
      <c r="D187">
        <f t="shared" si="9"/>
        <v>123.23919403474466</v>
      </c>
      <c r="E187">
        <f t="shared" si="10"/>
        <v>20.554246878279148</v>
      </c>
    </row>
    <row r="188" spans="1:5" x14ac:dyDescent="0.3">
      <c r="A188">
        <f t="shared" si="11"/>
        <v>185</v>
      </c>
      <c r="B188">
        <v>100</v>
      </c>
      <c r="C188">
        <f t="shared" si="8"/>
        <v>15.868864440777781</v>
      </c>
      <c r="D188">
        <f t="shared" si="9"/>
        <v>122.01900399479671</v>
      </c>
      <c r="E188">
        <f t="shared" si="10"/>
        <v>20.350739483444695</v>
      </c>
    </row>
    <row r="189" spans="1:5" x14ac:dyDescent="0.3">
      <c r="A189">
        <f t="shared" si="11"/>
        <v>186</v>
      </c>
      <c r="B189">
        <v>100</v>
      </c>
      <c r="C189">
        <f t="shared" si="8"/>
        <v>15.711746971067109</v>
      </c>
      <c r="D189">
        <f t="shared" si="9"/>
        <v>120.81089504435316</v>
      </c>
      <c r="E189">
        <f t="shared" si="10"/>
        <v>20.14924701331158</v>
      </c>
    </row>
    <row r="190" spans="1:5" x14ac:dyDescent="0.3">
      <c r="A190">
        <f t="shared" si="11"/>
        <v>187</v>
      </c>
      <c r="B190">
        <v>100</v>
      </c>
      <c r="C190">
        <f t="shared" si="8"/>
        <v>15.556185119868429</v>
      </c>
      <c r="D190">
        <f t="shared" si="9"/>
        <v>119.61474756866653</v>
      </c>
      <c r="E190">
        <f t="shared" si="10"/>
        <v>19.949749518130279</v>
      </c>
    </row>
    <row r="191" spans="1:5" x14ac:dyDescent="0.3">
      <c r="A191">
        <f t="shared" si="11"/>
        <v>188</v>
      </c>
      <c r="B191">
        <v>100</v>
      </c>
      <c r="C191">
        <f t="shared" si="8"/>
        <v>15.402163485018248</v>
      </c>
      <c r="D191">
        <f t="shared" si="9"/>
        <v>118.43044313729358</v>
      </c>
      <c r="E191">
        <f t="shared" si="10"/>
        <v>19.752227245673545</v>
      </c>
    </row>
    <row r="192" spans="1:5" x14ac:dyDescent="0.3">
      <c r="A192">
        <f t="shared" si="11"/>
        <v>189</v>
      </c>
      <c r="B192">
        <v>100</v>
      </c>
      <c r="C192">
        <f t="shared" si="8"/>
        <v>15.24966681684975</v>
      </c>
      <c r="D192">
        <f t="shared" si="9"/>
        <v>117.25786449236988</v>
      </c>
      <c r="E192">
        <f t="shared" si="10"/>
        <v>19.556660639280736</v>
      </c>
    </row>
    <row r="193" spans="1:5" x14ac:dyDescent="0.3">
      <c r="A193">
        <f t="shared" si="11"/>
        <v>190</v>
      </c>
      <c r="B193">
        <v>100</v>
      </c>
      <c r="C193">
        <f t="shared" si="8"/>
        <v>15.098680016682916</v>
      </c>
      <c r="D193">
        <f t="shared" si="9"/>
        <v>116.09689553699984</v>
      </c>
      <c r="E193">
        <f t="shared" si="10"/>
        <v>19.363030335921518</v>
      </c>
    </row>
    <row r="194" spans="1:5" x14ac:dyDescent="0.3">
      <c r="A194">
        <f t="shared" si="11"/>
        <v>191</v>
      </c>
      <c r="B194">
        <v>100</v>
      </c>
      <c r="C194">
        <f t="shared" si="8"/>
        <v>14.949188135329624</v>
      </c>
      <c r="D194">
        <f t="shared" si="9"/>
        <v>114.94742132376226</v>
      </c>
      <c r="E194">
        <f t="shared" si="10"/>
        <v>19.171317164278729</v>
      </c>
    </row>
    <row r="195" spans="1:5" x14ac:dyDescent="0.3">
      <c r="A195">
        <f t="shared" si="11"/>
        <v>192</v>
      </c>
      <c r="B195">
        <v>100</v>
      </c>
      <c r="C195">
        <f t="shared" si="8"/>
        <v>14.801176371613487</v>
      </c>
      <c r="D195">
        <f t="shared" si="9"/>
        <v>113.80932804332895</v>
      </c>
      <c r="E195">
        <f t="shared" si="10"/>
        <v>18.981502142850232</v>
      </c>
    </row>
    <row r="196" spans="1:5" x14ac:dyDescent="0.3">
      <c r="A196">
        <f t="shared" si="11"/>
        <v>193</v>
      </c>
      <c r="B196">
        <v>100</v>
      </c>
      <c r="C196">
        <f t="shared" ref="C196:C208" si="12">B196*(1+$H$3)^(-A196)</f>
        <v>14.654630070904442</v>
      </c>
      <c r="D196">
        <f t="shared" ref="D196:D208" si="13">B196*(1+$H$3)^($H$2-A196)</f>
        <v>112.68250301319698</v>
      </c>
      <c r="E196">
        <f t="shared" ref="E196:E208" si="14">B196*(1+$H$3)^($H$6-A196)</f>
        <v>18.793566478069533</v>
      </c>
    </row>
    <row r="197" spans="1:5" x14ac:dyDescent="0.3">
      <c r="A197">
        <f t="shared" si="11"/>
        <v>194</v>
      </c>
      <c r="B197">
        <v>100</v>
      </c>
      <c r="C197">
        <f t="shared" si="12"/>
        <v>14.509534723667764</v>
      </c>
      <c r="D197">
        <f t="shared" si="13"/>
        <v>111.56683466653166</v>
      </c>
      <c r="E197">
        <f t="shared" si="14"/>
        <v>18.60749156244508</v>
      </c>
    </row>
    <row r="198" spans="1:5" x14ac:dyDescent="0.3">
      <c r="A198">
        <f t="shared" ref="A198:A207" si="15">A197+1</f>
        <v>195</v>
      </c>
      <c r="B198">
        <v>100</v>
      </c>
      <c r="C198">
        <f t="shared" si="12"/>
        <v>14.365875964027492</v>
      </c>
      <c r="D198">
        <f t="shared" si="13"/>
        <v>110.46221254112048</v>
      </c>
      <c r="E198">
        <f t="shared" si="14"/>
        <v>18.4232589727179</v>
      </c>
    </row>
    <row r="199" spans="1:5" x14ac:dyDescent="0.3">
      <c r="A199">
        <f t="shared" si="15"/>
        <v>196</v>
      </c>
      <c r="B199">
        <v>100</v>
      </c>
      <c r="C199">
        <f t="shared" si="12"/>
        <v>14.223639568344048</v>
      </c>
      <c r="D199">
        <f t="shared" si="13"/>
        <v>109.36852726843611</v>
      </c>
      <c r="E199">
        <f t="shared" si="14"/>
        <v>18.240850468037529</v>
      </c>
    </row>
    <row r="200" spans="1:5" x14ac:dyDescent="0.3">
      <c r="A200">
        <f t="shared" si="15"/>
        <v>197</v>
      </c>
      <c r="B200">
        <v>100</v>
      </c>
      <c r="C200">
        <f t="shared" si="12"/>
        <v>14.082811453805991</v>
      </c>
      <c r="D200">
        <f t="shared" si="13"/>
        <v>108.28567056280802</v>
      </c>
      <c r="E200">
        <f t="shared" si="14"/>
        <v>18.060247988155968</v>
      </c>
    </row>
    <row r="201" spans="1:5" x14ac:dyDescent="0.3">
      <c r="A201">
        <f t="shared" si="15"/>
        <v>198</v>
      </c>
      <c r="B201">
        <v>100</v>
      </c>
      <c r="C201">
        <f t="shared" si="12"/>
        <v>13.943377677035629</v>
      </c>
      <c r="D201">
        <f t="shared" si="13"/>
        <v>107.21353521070098</v>
      </c>
      <c r="E201">
        <f t="shared" si="14"/>
        <v>17.881433651639572</v>
      </c>
    </row>
    <row r="202" spans="1:5" x14ac:dyDescent="0.3">
      <c r="A202">
        <f t="shared" si="15"/>
        <v>199</v>
      </c>
      <c r="B202">
        <v>100</v>
      </c>
      <c r="C202">
        <f t="shared" si="12"/>
        <v>13.805324432708552</v>
      </c>
      <c r="D202">
        <f t="shared" si="13"/>
        <v>106.15201506010001</v>
      </c>
      <c r="E202">
        <f t="shared" si="14"/>
        <v>17.704389754098585</v>
      </c>
    </row>
    <row r="203" spans="1:5" x14ac:dyDescent="0.3">
      <c r="A203">
        <f t="shared" si="15"/>
        <v>200</v>
      </c>
      <c r="B203">
        <v>100</v>
      </c>
      <c r="C203">
        <f t="shared" si="12"/>
        <v>13.668638052186679</v>
      </c>
      <c r="D203">
        <f t="shared" si="13"/>
        <v>105.10100500999999</v>
      </c>
      <c r="E203">
        <f t="shared" si="14"/>
        <v>17.529098766434249</v>
      </c>
    </row>
    <row r="204" spans="1:5" x14ac:dyDescent="0.3">
      <c r="A204">
        <f t="shared" si="15"/>
        <v>201</v>
      </c>
      <c r="B204">
        <v>100</v>
      </c>
      <c r="C204">
        <f t="shared" si="12"/>
        <v>13.533305002165029</v>
      </c>
      <c r="D204">
        <f t="shared" si="13"/>
        <v>104.060401</v>
      </c>
      <c r="E204">
        <f t="shared" si="14"/>
        <v>17.35554333310321</v>
      </c>
    </row>
    <row r="205" spans="1:5" x14ac:dyDescent="0.3">
      <c r="A205">
        <f t="shared" si="15"/>
        <v>202</v>
      </c>
      <c r="B205">
        <v>100</v>
      </c>
      <c r="C205">
        <f t="shared" si="12"/>
        <v>13.399311883331711</v>
      </c>
      <c r="D205">
        <f t="shared" si="13"/>
        <v>103.03009999999999</v>
      </c>
      <c r="E205">
        <f t="shared" si="14"/>
        <v>17.183706270399217</v>
      </c>
    </row>
    <row r="206" spans="1:5" x14ac:dyDescent="0.3">
      <c r="A206">
        <f t="shared" si="15"/>
        <v>203</v>
      </c>
      <c r="B206">
        <v>100</v>
      </c>
      <c r="C206">
        <f t="shared" si="12"/>
        <v>13.266645429041299</v>
      </c>
      <c r="D206">
        <f t="shared" si="13"/>
        <v>102.01</v>
      </c>
      <c r="E206">
        <f t="shared" si="14"/>
        <v>17.013570564751699</v>
      </c>
    </row>
    <row r="207" spans="1:5" x14ac:dyDescent="0.3">
      <c r="A207">
        <f t="shared" si="15"/>
        <v>204</v>
      </c>
      <c r="B207">
        <v>100</v>
      </c>
      <c r="C207">
        <f t="shared" si="12"/>
        <v>13.135292504001287</v>
      </c>
      <c r="D207">
        <f t="shared" si="13"/>
        <v>101</v>
      </c>
      <c r="E207">
        <f t="shared" si="14"/>
        <v>16.845119371041289</v>
      </c>
    </row>
    <row r="208" spans="1:5" x14ac:dyDescent="0.3">
      <c r="A208">
        <f>A207+1</f>
        <v>205</v>
      </c>
      <c r="B208">
        <v>100</v>
      </c>
      <c r="C208">
        <f t="shared" si="12"/>
        <v>13.005240102971571</v>
      </c>
      <c r="D208">
        <f t="shared" si="13"/>
        <v>100</v>
      </c>
      <c r="E208">
        <f t="shared" si="14"/>
        <v>16.678336010931968</v>
      </c>
    </row>
  </sheetData>
  <mergeCells count="1">
    <mergeCell ref="A1:G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A3D3-7B26-4F3B-858E-94569805DA05}">
  <dimension ref="A1:L300"/>
  <sheetViews>
    <sheetView workbookViewId="0">
      <selection activeCell="K12" sqref="K12"/>
    </sheetView>
  </sheetViews>
  <sheetFormatPr baseColWidth="10" defaultRowHeight="14.4" x14ac:dyDescent="0.3"/>
  <cols>
    <col min="3" max="4" width="23.33203125" bestFit="1" customWidth="1"/>
    <col min="5" max="5" width="24.88671875" bestFit="1" customWidth="1"/>
    <col min="6" max="6" width="23.33203125" bestFit="1" customWidth="1"/>
    <col min="10" max="10" width="17.21875" customWidth="1"/>
  </cols>
  <sheetData>
    <row r="1" spans="1:12" x14ac:dyDescent="0.3">
      <c r="A1" s="1" t="s">
        <v>33</v>
      </c>
      <c r="B1" s="1"/>
      <c r="C1" s="1"/>
      <c r="D1" s="1"/>
      <c r="E1" s="1"/>
      <c r="F1" s="1"/>
    </row>
    <row r="2" spans="1:12" x14ac:dyDescent="0.3">
      <c r="A2" t="s">
        <v>4</v>
      </c>
      <c r="B2" t="s">
        <v>29</v>
      </c>
      <c r="C2" t="s">
        <v>30</v>
      </c>
      <c r="D2" t="s">
        <v>31</v>
      </c>
      <c r="E2" t="s">
        <v>38</v>
      </c>
      <c r="F2" t="s">
        <v>32</v>
      </c>
      <c r="I2" t="s">
        <v>34</v>
      </c>
      <c r="K2" t="s">
        <v>7</v>
      </c>
    </row>
    <row r="3" spans="1:12" x14ac:dyDescent="0.3">
      <c r="A3">
        <v>0</v>
      </c>
      <c r="B3" s="6">
        <v>0</v>
      </c>
      <c r="C3" s="6">
        <v>0</v>
      </c>
      <c r="D3" s="6">
        <v>0</v>
      </c>
      <c r="E3" s="8">
        <v>500000</v>
      </c>
      <c r="F3" s="6">
        <f>E3*$L$3</f>
        <v>40000</v>
      </c>
      <c r="I3" t="s">
        <v>35</v>
      </c>
      <c r="J3" s="6">
        <f>SUM(B3:B300)</f>
        <v>855701.6</v>
      </c>
      <c r="K3" t="s">
        <v>1</v>
      </c>
      <c r="L3">
        <v>0.08</v>
      </c>
    </row>
    <row r="4" spans="1:12" x14ac:dyDescent="0.3">
      <c r="A4">
        <f>A3+1</f>
        <v>1</v>
      </c>
      <c r="B4" s="4">
        <v>60000</v>
      </c>
      <c r="C4" s="6">
        <f>F3</f>
        <v>40000</v>
      </c>
      <c r="D4" s="6">
        <f>B4-C4</f>
        <v>20000</v>
      </c>
      <c r="E4" s="6">
        <f>E3-D4</f>
        <v>480000</v>
      </c>
      <c r="F4" s="6">
        <f t="shared" ref="F4:F67" si="0">E4*$L$3</f>
        <v>38400</v>
      </c>
      <c r="I4" t="s">
        <v>36</v>
      </c>
      <c r="J4" s="6">
        <f>SUM(C3:C300)</f>
        <v>355701.59393558587</v>
      </c>
    </row>
    <row r="5" spans="1:12" x14ac:dyDescent="0.3">
      <c r="A5">
        <f t="shared" ref="A5:A68" si="1">A4+1</f>
        <v>2</v>
      </c>
      <c r="B5" s="4">
        <v>60000</v>
      </c>
      <c r="C5" s="6">
        <f>F4</f>
        <v>38400</v>
      </c>
      <c r="D5" s="6">
        <f t="shared" ref="D5:D68" si="2">B5-C5</f>
        <v>21600</v>
      </c>
      <c r="E5" s="6">
        <f t="shared" ref="E5:E68" si="3">E4-D5</f>
        <v>458400</v>
      </c>
      <c r="F5" s="6">
        <f t="shared" si="0"/>
        <v>36672</v>
      </c>
      <c r="I5" t="s">
        <v>37</v>
      </c>
      <c r="J5" s="6">
        <f>SUM(D3:D300)</f>
        <v>500000.0060644141</v>
      </c>
    </row>
    <row r="6" spans="1:12" x14ac:dyDescent="0.3">
      <c r="A6">
        <f t="shared" si="1"/>
        <v>3</v>
      </c>
      <c r="B6" s="4">
        <v>60000</v>
      </c>
      <c r="C6" s="6">
        <f t="shared" ref="C6:C69" si="4">F5</f>
        <v>36672</v>
      </c>
      <c r="D6" s="6">
        <f t="shared" si="2"/>
        <v>23328</v>
      </c>
      <c r="E6" s="6">
        <f t="shared" si="3"/>
        <v>435072</v>
      </c>
      <c r="F6" s="6">
        <f t="shared" si="0"/>
        <v>34805.760000000002</v>
      </c>
    </row>
    <row r="7" spans="1:12" x14ac:dyDescent="0.3">
      <c r="A7">
        <f t="shared" si="1"/>
        <v>4</v>
      </c>
      <c r="B7" s="4">
        <v>60000</v>
      </c>
      <c r="C7" s="6">
        <f t="shared" si="4"/>
        <v>34805.760000000002</v>
      </c>
      <c r="D7" s="6">
        <f t="shared" si="2"/>
        <v>25194.239999999998</v>
      </c>
      <c r="E7" s="6">
        <f t="shared" si="3"/>
        <v>409877.76000000001</v>
      </c>
      <c r="F7" s="6">
        <f t="shared" si="0"/>
        <v>32790.220800000003</v>
      </c>
    </row>
    <row r="8" spans="1:12" x14ac:dyDescent="0.3">
      <c r="A8">
        <f t="shared" si="1"/>
        <v>5</v>
      </c>
      <c r="B8" s="4">
        <v>60000</v>
      </c>
      <c r="C8" s="6">
        <f t="shared" si="4"/>
        <v>32790.220800000003</v>
      </c>
      <c r="D8" s="6">
        <f t="shared" si="2"/>
        <v>27209.779199999997</v>
      </c>
      <c r="E8" s="6">
        <f t="shared" si="3"/>
        <v>382667.98080000002</v>
      </c>
      <c r="F8" s="6">
        <f t="shared" si="0"/>
        <v>30613.438464000003</v>
      </c>
    </row>
    <row r="9" spans="1:12" x14ac:dyDescent="0.3">
      <c r="A9">
        <f t="shared" si="1"/>
        <v>6</v>
      </c>
      <c r="B9" s="4">
        <v>60000</v>
      </c>
      <c r="C9" s="6">
        <f t="shared" si="4"/>
        <v>30613.438464000003</v>
      </c>
      <c r="D9" s="6">
        <f t="shared" si="2"/>
        <v>29386.561535999997</v>
      </c>
      <c r="E9" s="6">
        <f t="shared" si="3"/>
        <v>353281.41926400003</v>
      </c>
      <c r="F9" s="6">
        <f t="shared" si="0"/>
        <v>28262.513541120003</v>
      </c>
    </row>
    <row r="10" spans="1:12" x14ac:dyDescent="0.3">
      <c r="A10">
        <f t="shared" si="1"/>
        <v>7</v>
      </c>
      <c r="B10" s="4">
        <v>60000</v>
      </c>
      <c r="C10" s="6">
        <f t="shared" si="4"/>
        <v>28262.513541120003</v>
      </c>
      <c r="D10" s="6">
        <f t="shared" si="2"/>
        <v>31737.486458879997</v>
      </c>
      <c r="E10" s="6">
        <f t="shared" si="3"/>
        <v>321543.93280512001</v>
      </c>
      <c r="F10" s="6">
        <f t="shared" si="0"/>
        <v>25723.514624409603</v>
      </c>
    </row>
    <row r="11" spans="1:12" x14ac:dyDescent="0.3">
      <c r="A11">
        <f t="shared" si="1"/>
        <v>8</v>
      </c>
      <c r="B11" s="4">
        <v>60000</v>
      </c>
      <c r="C11" s="6">
        <f t="shared" si="4"/>
        <v>25723.514624409603</v>
      </c>
      <c r="D11" s="6">
        <f t="shared" si="2"/>
        <v>34276.485375590397</v>
      </c>
      <c r="E11" s="6">
        <f t="shared" si="3"/>
        <v>287267.44742952962</v>
      </c>
      <c r="F11" s="6">
        <f t="shared" si="0"/>
        <v>22981.395794362372</v>
      </c>
    </row>
    <row r="12" spans="1:12" x14ac:dyDescent="0.3">
      <c r="A12">
        <f t="shared" si="1"/>
        <v>9</v>
      </c>
      <c r="B12" s="4">
        <v>60000</v>
      </c>
      <c r="C12" s="6">
        <f t="shared" si="4"/>
        <v>22981.395794362372</v>
      </c>
      <c r="D12" s="6">
        <f t="shared" si="2"/>
        <v>37018.604205637632</v>
      </c>
      <c r="E12" s="6">
        <f t="shared" si="3"/>
        <v>250248.84322389198</v>
      </c>
      <c r="F12" s="6">
        <f t="shared" si="0"/>
        <v>20019.907457911359</v>
      </c>
    </row>
    <row r="13" spans="1:12" x14ac:dyDescent="0.3">
      <c r="A13">
        <f t="shared" si="1"/>
        <v>10</v>
      </c>
      <c r="B13" s="4">
        <v>60000</v>
      </c>
      <c r="C13" s="6">
        <f t="shared" si="4"/>
        <v>20019.907457911359</v>
      </c>
      <c r="D13" s="6">
        <f t="shared" si="2"/>
        <v>39980.092542088641</v>
      </c>
      <c r="E13" s="6">
        <f t="shared" si="3"/>
        <v>210268.75068180333</v>
      </c>
      <c r="F13" s="6">
        <f t="shared" si="0"/>
        <v>16821.500054544267</v>
      </c>
    </row>
    <row r="14" spans="1:12" x14ac:dyDescent="0.3">
      <c r="A14">
        <f t="shared" si="1"/>
        <v>11</v>
      </c>
      <c r="B14" s="4">
        <v>60000</v>
      </c>
      <c r="C14" s="6">
        <f t="shared" si="4"/>
        <v>16821.500054544267</v>
      </c>
      <c r="D14" s="6">
        <f t="shared" si="2"/>
        <v>43178.499945455733</v>
      </c>
      <c r="E14" s="6">
        <f t="shared" si="3"/>
        <v>167090.2507363476</v>
      </c>
      <c r="F14" s="6">
        <f t="shared" si="0"/>
        <v>13367.220058907809</v>
      </c>
    </row>
    <row r="15" spans="1:12" x14ac:dyDescent="0.3">
      <c r="A15">
        <f t="shared" si="1"/>
        <v>12</v>
      </c>
      <c r="B15" s="4">
        <v>60000</v>
      </c>
      <c r="C15" s="6">
        <f t="shared" si="4"/>
        <v>13367.220058907809</v>
      </c>
      <c r="D15" s="6">
        <f t="shared" si="2"/>
        <v>46632.779941092187</v>
      </c>
      <c r="E15" s="6">
        <f t="shared" si="3"/>
        <v>120457.47079525542</v>
      </c>
      <c r="F15" s="6">
        <f t="shared" si="0"/>
        <v>9636.5976636204341</v>
      </c>
    </row>
    <row r="16" spans="1:12" x14ac:dyDescent="0.3">
      <c r="A16">
        <f t="shared" si="1"/>
        <v>13</v>
      </c>
      <c r="B16" s="4">
        <v>60000</v>
      </c>
      <c r="C16" s="6">
        <f t="shared" si="4"/>
        <v>9636.5976636204341</v>
      </c>
      <c r="D16" s="6">
        <f t="shared" si="2"/>
        <v>50363.402336379564</v>
      </c>
      <c r="E16" s="6">
        <f t="shared" si="3"/>
        <v>70094.068458875845</v>
      </c>
      <c r="F16" s="6">
        <f t="shared" si="0"/>
        <v>5607.5254767100678</v>
      </c>
    </row>
    <row r="17" spans="1:6" x14ac:dyDescent="0.3">
      <c r="A17">
        <f t="shared" si="1"/>
        <v>14</v>
      </c>
      <c r="B17" s="4">
        <v>75701.600000000006</v>
      </c>
      <c r="C17" s="6">
        <f t="shared" si="4"/>
        <v>5607.5254767100678</v>
      </c>
      <c r="D17" s="6">
        <f t="shared" si="2"/>
        <v>70094.074523289935</v>
      </c>
      <c r="E17" s="6">
        <f t="shared" si="3"/>
        <v>-6.0644140903605148E-3</v>
      </c>
      <c r="F17" s="6">
        <f t="shared" si="0"/>
        <v>-4.8515312722884117E-4</v>
      </c>
    </row>
    <row r="18" spans="1:6" x14ac:dyDescent="0.3">
      <c r="A18">
        <f t="shared" si="1"/>
        <v>15</v>
      </c>
      <c r="B18" s="4"/>
      <c r="C18" s="6"/>
      <c r="D18" s="6"/>
      <c r="E18" s="6"/>
      <c r="F18" s="6"/>
    </row>
    <row r="19" spans="1:6" x14ac:dyDescent="0.3">
      <c r="A19">
        <f t="shared" si="1"/>
        <v>16</v>
      </c>
      <c r="B19" s="4"/>
      <c r="C19" s="6"/>
      <c r="D19" s="6"/>
      <c r="E19" s="6"/>
      <c r="F19" s="6"/>
    </row>
    <row r="20" spans="1:6" x14ac:dyDescent="0.3">
      <c r="A20">
        <f t="shared" si="1"/>
        <v>17</v>
      </c>
      <c r="B20" s="4"/>
      <c r="C20" s="6"/>
      <c r="D20" s="6"/>
      <c r="E20" s="6"/>
      <c r="F20" s="6"/>
    </row>
    <row r="21" spans="1:6" x14ac:dyDescent="0.3">
      <c r="A21">
        <f t="shared" si="1"/>
        <v>18</v>
      </c>
      <c r="B21" s="4"/>
      <c r="C21" s="6"/>
      <c r="D21" s="6"/>
      <c r="E21" s="6"/>
      <c r="F21" s="6"/>
    </row>
    <row r="22" spans="1:6" x14ac:dyDescent="0.3">
      <c r="A22">
        <f t="shared" si="1"/>
        <v>19</v>
      </c>
      <c r="B22" s="4"/>
      <c r="C22" s="6"/>
      <c r="D22" s="6"/>
      <c r="E22" s="6"/>
      <c r="F22" s="6"/>
    </row>
    <row r="23" spans="1:6" x14ac:dyDescent="0.3">
      <c r="A23">
        <f t="shared" si="1"/>
        <v>20</v>
      </c>
      <c r="B23" s="4"/>
      <c r="C23" s="6"/>
      <c r="D23" s="6"/>
      <c r="E23" s="6"/>
      <c r="F23" s="6"/>
    </row>
    <row r="24" spans="1:6" x14ac:dyDescent="0.3">
      <c r="A24">
        <f t="shared" si="1"/>
        <v>21</v>
      </c>
      <c r="B24" s="4"/>
      <c r="C24" s="6"/>
      <c r="D24" s="6"/>
      <c r="E24" s="6"/>
      <c r="F24" s="6"/>
    </row>
    <row r="25" spans="1:6" x14ac:dyDescent="0.3">
      <c r="A25">
        <f t="shared" si="1"/>
        <v>22</v>
      </c>
      <c r="B25" s="4"/>
      <c r="C25" s="6"/>
      <c r="D25" s="6"/>
      <c r="E25" s="6"/>
      <c r="F25" s="6"/>
    </row>
    <row r="26" spans="1:6" x14ac:dyDescent="0.3">
      <c r="A26">
        <f t="shared" si="1"/>
        <v>23</v>
      </c>
      <c r="B26" s="4"/>
      <c r="C26" s="6"/>
      <c r="D26" s="6"/>
      <c r="E26" s="6"/>
      <c r="F26" s="6"/>
    </row>
    <row r="27" spans="1:6" x14ac:dyDescent="0.3">
      <c r="A27">
        <f t="shared" si="1"/>
        <v>24</v>
      </c>
      <c r="B27" s="4"/>
      <c r="C27" s="6"/>
      <c r="D27" s="6"/>
      <c r="E27" s="6"/>
      <c r="F27" s="6"/>
    </row>
    <row r="28" spans="1:6" x14ac:dyDescent="0.3">
      <c r="A28">
        <f t="shared" si="1"/>
        <v>25</v>
      </c>
      <c r="B28" s="4"/>
      <c r="C28" s="6"/>
      <c r="D28" s="6"/>
      <c r="E28" s="6"/>
      <c r="F28" s="6"/>
    </row>
    <row r="29" spans="1:6" x14ac:dyDescent="0.3">
      <c r="A29">
        <f t="shared" si="1"/>
        <v>26</v>
      </c>
      <c r="B29" s="4"/>
      <c r="C29" s="6"/>
      <c r="D29" s="6"/>
      <c r="E29" s="6"/>
      <c r="F29" s="6"/>
    </row>
    <row r="30" spans="1:6" x14ac:dyDescent="0.3">
      <c r="A30">
        <f t="shared" si="1"/>
        <v>27</v>
      </c>
      <c r="B30" s="4"/>
      <c r="C30" s="6"/>
      <c r="D30" s="6"/>
      <c r="E30" s="6"/>
      <c r="F30" s="6"/>
    </row>
    <row r="31" spans="1:6" x14ac:dyDescent="0.3">
      <c r="A31">
        <f t="shared" si="1"/>
        <v>28</v>
      </c>
      <c r="B31" s="4"/>
      <c r="C31" s="6"/>
      <c r="D31" s="6"/>
      <c r="E31" s="6"/>
      <c r="F31" s="6"/>
    </row>
    <row r="32" spans="1:6" x14ac:dyDescent="0.3">
      <c r="A32">
        <f t="shared" si="1"/>
        <v>29</v>
      </c>
      <c r="B32" s="4"/>
      <c r="C32" s="6"/>
      <c r="D32" s="6"/>
      <c r="E32" s="6"/>
      <c r="F32" s="6"/>
    </row>
    <row r="33" spans="1:6" x14ac:dyDescent="0.3">
      <c r="A33">
        <f t="shared" si="1"/>
        <v>30</v>
      </c>
      <c r="B33" s="4"/>
      <c r="C33" s="6"/>
      <c r="D33" s="6"/>
      <c r="E33" s="6"/>
      <c r="F33" s="6"/>
    </row>
    <row r="34" spans="1:6" x14ac:dyDescent="0.3">
      <c r="A34">
        <f t="shared" si="1"/>
        <v>31</v>
      </c>
      <c r="B34" s="4"/>
      <c r="C34" s="6"/>
      <c r="D34" s="6"/>
      <c r="E34" s="6"/>
      <c r="F34" s="6"/>
    </row>
    <row r="35" spans="1:6" x14ac:dyDescent="0.3">
      <c r="A35">
        <f t="shared" si="1"/>
        <v>32</v>
      </c>
      <c r="B35" s="4"/>
      <c r="C35" s="6"/>
      <c r="D35" s="6"/>
      <c r="E35" s="6"/>
      <c r="F35" s="6"/>
    </row>
    <row r="36" spans="1:6" x14ac:dyDescent="0.3">
      <c r="A36">
        <f t="shared" si="1"/>
        <v>33</v>
      </c>
      <c r="B36" s="4"/>
      <c r="C36" s="6"/>
      <c r="D36" s="6"/>
      <c r="E36" s="6"/>
      <c r="F36" s="6"/>
    </row>
    <row r="37" spans="1:6" x14ac:dyDescent="0.3">
      <c r="A37">
        <f t="shared" si="1"/>
        <v>34</v>
      </c>
      <c r="B37" s="4"/>
      <c r="C37" s="6"/>
      <c r="D37" s="6"/>
      <c r="E37" s="6"/>
      <c r="F37" s="6"/>
    </row>
    <row r="38" spans="1:6" x14ac:dyDescent="0.3">
      <c r="A38">
        <f t="shared" si="1"/>
        <v>35</v>
      </c>
      <c r="B38" s="4"/>
      <c r="C38" s="6"/>
      <c r="D38" s="6"/>
      <c r="E38" s="6"/>
      <c r="F38" s="6"/>
    </row>
    <row r="39" spans="1:6" x14ac:dyDescent="0.3">
      <c r="A39">
        <f t="shared" si="1"/>
        <v>36</v>
      </c>
      <c r="B39" s="4"/>
      <c r="C39" s="6"/>
      <c r="D39" s="6"/>
      <c r="E39" s="6"/>
      <c r="F39" s="6"/>
    </row>
    <row r="40" spans="1:6" x14ac:dyDescent="0.3">
      <c r="A40">
        <f t="shared" si="1"/>
        <v>37</v>
      </c>
      <c r="B40" s="4"/>
      <c r="C40" s="6"/>
      <c r="D40" s="6"/>
      <c r="E40" s="6"/>
      <c r="F40" s="6"/>
    </row>
    <row r="41" spans="1:6" x14ac:dyDescent="0.3">
      <c r="A41">
        <f t="shared" si="1"/>
        <v>38</v>
      </c>
      <c r="B41" s="4"/>
      <c r="C41" s="6"/>
      <c r="D41" s="6"/>
      <c r="E41" s="6"/>
      <c r="F41" s="6"/>
    </row>
    <row r="42" spans="1:6" x14ac:dyDescent="0.3">
      <c r="A42">
        <f t="shared" si="1"/>
        <v>39</v>
      </c>
      <c r="B42" s="4"/>
      <c r="C42" s="6"/>
      <c r="D42" s="6"/>
      <c r="E42" s="6"/>
      <c r="F42" s="6"/>
    </row>
    <row r="43" spans="1:6" x14ac:dyDescent="0.3">
      <c r="A43">
        <f t="shared" si="1"/>
        <v>40</v>
      </c>
      <c r="B43" s="4"/>
      <c r="C43" s="6"/>
      <c r="D43" s="6"/>
      <c r="E43" s="6"/>
      <c r="F43" s="6"/>
    </row>
    <row r="44" spans="1:6" x14ac:dyDescent="0.3">
      <c r="A44">
        <f t="shared" si="1"/>
        <v>41</v>
      </c>
      <c r="B44" s="4"/>
      <c r="C44" s="6"/>
      <c r="D44" s="6"/>
      <c r="E44" s="6"/>
      <c r="F44" s="6"/>
    </row>
    <row r="45" spans="1:6" x14ac:dyDescent="0.3">
      <c r="A45">
        <f t="shared" si="1"/>
        <v>42</v>
      </c>
      <c r="B45" s="4"/>
      <c r="C45" s="6"/>
      <c r="D45" s="6"/>
      <c r="E45" s="6"/>
      <c r="F45" s="6"/>
    </row>
    <row r="46" spans="1:6" x14ac:dyDescent="0.3">
      <c r="A46">
        <f t="shared" si="1"/>
        <v>43</v>
      </c>
      <c r="B46" s="4"/>
      <c r="C46" s="6"/>
      <c r="D46" s="6"/>
      <c r="E46" s="6"/>
      <c r="F46" s="6"/>
    </row>
    <row r="47" spans="1:6" x14ac:dyDescent="0.3">
      <c r="A47">
        <f t="shared" si="1"/>
        <v>44</v>
      </c>
      <c r="B47" s="4"/>
      <c r="C47" s="6"/>
      <c r="D47" s="6"/>
      <c r="E47" s="6"/>
      <c r="F47" s="6"/>
    </row>
    <row r="48" spans="1:6" x14ac:dyDescent="0.3">
      <c r="A48">
        <f t="shared" si="1"/>
        <v>45</v>
      </c>
      <c r="B48" s="4"/>
      <c r="C48" s="6"/>
      <c r="D48" s="6"/>
      <c r="E48" s="6"/>
      <c r="F48" s="6"/>
    </row>
    <row r="49" spans="1:6" x14ac:dyDescent="0.3">
      <c r="A49">
        <f t="shared" si="1"/>
        <v>46</v>
      </c>
      <c r="B49" s="4"/>
      <c r="C49" s="6"/>
      <c r="D49" s="6"/>
      <c r="E49" s="6"/>
      <c r="F49" s="6"/>
    </row>
    <row r="50" spans="1:6" x14ac:dyDescent="0.3">
      <c r="A50">
        <f t="shared" si="1"/>
        <v>47</v>
      </c>
      <c r="B50" s="4"/>
      <c r="C50" s="6"/>
      <c r="D50" s="6"/>
      <c r="E50" s="6"/>
      <c r="F50" s="6"/>
    </row>
    <row r="51" spans="1:6" x14ac:dyDescent="0.3">
      <c r="A51">
        <f t="shared" si="1"/>
        <v>48</v>
      </c>
      <c r="B51" s="4"/>
      <c r="C51" s="6"/>
      <c r="D51" s="6"/>
      <c r="E51" s="6"/>
      <c r="F51" s="6"/>
    </row>
    <row r="52" spans="1:6" x14ac:dyDescent="0.3">
      <c r="A52">
        <f t="shared" si="1"/>
        <v>49</v>
      </c>
      <c r="B52" s="4"/>
      <c r="C52" s="6"/>
      <c r="D52" s="6"/>
      <c r="E52" s="6"/>
      <c r="F52" s="6"/>
    </row>
    <row r="53" spans="1:6" x14ac:dyDescent="0.3">
      <c r="A53">
        <f t="shared" si="1"/>
        <v>50</v>
      </c>
      <c r="B53" s="4"/>
      <c r="C53" s="6"/>
      <c r="D53" s="6"/>
      <c r="E53" s="6"/>
      <c r="F53" s="6"/>
    </row>
    <row r="54" spans="1:6" x14ac:dyDescent="0.3">
      <c r="A54">
        <f t="shared" si="1"/>
        <v>51</v>
      </c>
      <c r="B54" s="4"/>
      <c r="C54" s="6"/>
      <c r="D54" s="6"/>
      <c r="E54" s="6"/>
      <c r="F54" s="6"/>
    </row>
    <row r="55" spans="1:6" x14ac:dyDescent="0.3">
      <c r="A55">
        <f t="shared" si="1"/>
        <v>52</v>
      </c>
      <c r="B55" s="4"/>
      <c r="C55" s="6"/>
      <c r="D55" s="6"/>
      <c r="E55" s="6"/>
      <c r="F55" s="6"/>
    </row>
    <row r="56" spans="1:6" x14ac:dyDescent="0.3">
      <c r="A56">
        <f t="shared" si="1"/>
        <v>53</v>
      </c>
      <c r="B56" s="4"/>
      <c r="C56" s="6"/>
      <c r="D56" s="6"/>
      <c r="E56" s="6"/>
      <c r="F56" s="6"/>
    </row>
    <row r="57" spans="1:6" x14ac:dyDescent="0.3">
      <c r="A57">
        <f t="shared" si="1"/>
        <v>54</v>
      </c>
      <c r="B57" s="4"/>
      <c r="C57" s="6"/>
      <c r="D57" s="6"/>
      <c r="E57" s="6"/>
      <c r="F57" s="6"/>
    </row>
    <row r="58" spans="1:6" x14ac:dyDescent="0.3">
      <c r="A58">
        <f t="shared" si="1"/>
        <v>55</v>
      </c>
      <c r="B58" s="4"/>
      <c r="C58" s="6"/>
      <c r="D58" s="6"/>
      <c r="E58" s="6"/>
      <c r="F58" s="6"/>
    </row>
    <row r="59" spans="1:6" x14ac:dyDescent="0.3">
      <c r="A59">
        <f t="shared" si="1"/>
        <v>56</v>
      </c>
      <c r="B59" s="4"/>
      <c r="C59" s="6"/>
      <c r="D59" s="6"/>
      <c r="E59" s="6"/>
      <c r="F59" s="6"/>
    </row>
    <row r="60" spans="1:6" x14ac:dyDescent="0.3">
      <c r="A60">
        <f t="shared" si="1"/>
        <v>57</v>
      </c>
      <c r="B60" s="4"/>
      <c r="C60" s="6"/>
      <c r="D60" s="6"/>
      <c r="E60" s="6"/>
      <c r="F60" s="6"/>
    </row>
    <row r="61" spans="1:6" x14ac:dyDescent="0.3">
      <c r="A61">
        <f t="shared" si="1"/>
        <v>58</v>
      </c>
      <c r="B61" s="4"/>
      <c r="C61" s="6"/>
      <c r="D61" s="6"/>
      <c r="E61" s="6"/>
      <c r="F61" s="6"/>
    </row>
    <row r="62" spans="1:6" x14ac:dyDescent="0.3">
      <c r="A62">
        <f t="shared" si="1"/>
        <v>59</v>
      </c>
      <c r="B62" s="4"/>
      <c r="C62" s="6"/>
      <c r="D62" s="6"/>
      <c r="E62" s="6"/>
      <c r="F62" s="6"/>
    </row>
    <row r="63" spans="1:6" x14ac:dyDescent="0.3">
      <c r="A63">
        <f t="shared" si="1"/>
        <v>60</v>
      </c>
      <c r="B63" s="4"/>
      <c r="C63" s="6"/>
      <c r="D63" s="6"/>
      <c r="E63" s="6"/>
      <c r="F63" s="6"/>
    </row>
    <row r="64" spans="1:6" x14ac:dyDescent="0.3">
      <c r="A64">
        <f t="shared" si="1"/>
        <v>61</v>
      </c>
      <c r="B64" s="4"/>
      <c r="C64" s="6"/>
      <c r="D64" s="6"/>
      <c r="E64" s="6"/>
      <c r="F64" s="6"/>
    </row>
    <row r="65" spans="1:6" x14ac:dyDescent="0.3">
      <c r="A65">
        <f t="shared" si="1"/>
        <v>62</v>
      </c>
      <c r="B65" s="4"/>
      <c r="C65" s="6"/>
      <c r="D65" s="6"/>
      <c r="E65" s="6"/>
      <c r="F65" s="6"/>
    </row>
    <row r="66" spans="1:6" x14ac:dyDescent="0.3">
      <c r="A66">
        <f t="shared" si="1"/>
        <v>63</v>
      </c>
      <c r="B66" s="4"/>
      <c r="C66" s="6"/>
      <c r="D66" s="6"/>
      <c r="E66" s="6"/>
      <c r="F66" s="6"/>
    </row>
    <row r="67" spans="1:6" x14ac:dyDescent="0.3">
      <c r="A67">
        <f t="shared" si="1"/>
        <v>64</v>
      </c>
      <c r="B67" s="4"/>
      <c r="C67" s="6"/>
      <c r="D67" s="6"/>
      <c r="E67" s="6"/>
      <c r="F67" s="6"/>
    </row>
    <row r="68" spans="1:6" x14ac:dyDescent="0.3">
      <c r="A68">
        <f t="shared" si="1"/>
        <v>65</v>
      </c>
      <c r="B68" s="4"/>
      <c r="C68" s="6"/>
      <c r="D68" s="6"/>
      <c r="E68" s="6"/>
      <c r="F68" s="6"/>
    </row>
    <row r="69" spans="1:6" x14ac:dyDescent="0.3">
      <c r="A69">
        <f t="shared" ref="A69:A132" si="5">A68+1</f>
        <v>66</v>
      </c>
      <c r="B69" s="4"/>
      <c r="C69" s="6"/>
      <c r="D69" s="6"/>
      <c r="E69" s="6"/>
      <c r="F69" s="6"/>
    </row>
    <row r="70" spans="1:6" x14ac:dyDescent="0.3">
      <c r="A70">
        <f t="shared" si="5"/>
        <v>67</v>
      </c>
      <c r="B70" s="4"/>
      <c r="C70" s="6"/>
      <c r="D70" s="6"/>
      <c r="E70" s="6"/>
      <c r="F70" s="6"/>
    </row>
    <row r="71" spans="1:6" x14ac:dyDescent="0.3">
      <c r="A71">
        <f t="shared" si="5"/>
        <v>68</v>
      </c>
      <c r="B71" s="4"/>
      <c r="C71" s="6"/>
      <c r="D71" s="6"/>
      <c r="E71" s="6"/>
      <c r="F71" s="6"/>
    </row>
    <row r="72" spans="1:6" x14ac:dyDescent="0.3">
      <c r="A72">
        <f t="shared" si="5"/>
        <v>69</v>
      </c>
      <c r="B72" s="4"/>
      <c r="C72" s="6"/>
      <c r="D72" s="6"/>
      <c r="E72" s="6"/>
      <c r="F72" s="6"/>
    </row>
    <row r="73" spans="1:6" x14ac:dyDescent="0.3">
      <c r="A73">
        <f t="shared" si="5"/>
        <v>70</v>
      </c>
      <c r="B73" s="4"/>
      <c r="C73" s="6"/>
      <c r="D73" s="6"/>
      <c r="E73" s="6"/>
      <c r="F73" s="6"/>
    </row>
    <row r="74" spans="1:6" x14ac:dyDescent="0.3">
      <c r="A74">
        <f t="shared" si="5"/>
        <v>71</v>
      </c>
      <c r="B74" s="4"/>
      <c r="C74" s="6"/>
      <c r="D74" s="6"/>
      <c r="E74" s="6"/>
      <c r="F74" s="6"/>
    </row>
    <row r="75" spans="1:6" x14ac:dyDescent="0.3">
      <c r="A75">
        <f t="shared" si="5"/>
        <v>72</v>
      </c>
      <c r="B75" s="4"/>
      <c r="C75" s="6"/>
      <c r="D75" s="6"/>
      <c r="E75" s="6"/>
      <c r="F75" s="6"/>
    </row>
    <row r="76" spans="1:6" x14ac:dyDescent="0.3">
      <c r="A76">
        <f t="shared" si="5"/>
        <v>73</v>
      </c>
      <c r="B76" s="4"/>
      <c r="C76" s="6"/>
      <c r="D76" s="6"/>
      <c r="E76" s="6"/>
      <c r="F76" s="6"/>
    </row>
    <row r="77" spans="1:6" x14ac:dyDescent="0.3">
      <c r="A77">
        <f t="shared" si="5"/>
        <v>74</v>
      </c>
      <c r="B77" s="4"/>
      <c r="C77" s="6"/>
      <c r="D77" s="6"/>
      <c r="E77" s="6"/>
      <c r="F77" s="6"/>
    </row>
    <row r="78" spans="1:6" x14ac:dyDescent="0.3">
      <c r="A78">
        <f t="shared" si="5"/>
        <v>75</v>
      </c>
      <c r="B78" s="4"/>
      <c r="C78" s="6"/>
      <c r="D78" s="6"/>
      <c r="E78" s="6"/>
      <c r="F78" s="6"/>
    </row>
    <row r="79" spans="1:6" x14ac:dyDescent="0.3">
      <c r="A79">
        <f t="shared" si="5"/>
        <v>76</v>
      </c>
      <c r="B79" s="4"/>
      <c r="C79" s="6"/>
      <c r="D79" s="6"/>
      <c r="E79" s="6"/>
      <c r="F79" s="6"/>
    </row>
    <row r="80" spans="1:6" x14ac:dyDescent="0.3">
      <c r="A80">
        <f t="shared" si="5"/>
        <v>77</v>
      </c>
      <c r="B80" s="4"/>
      <c r="C80" s="6"/>
      <c r="D80" s="6"/>
      <c r="E80" s="6"/>
      <c r="F80" s="6"/>
    </row>
    <row r="81" spans="1:6" x14ac:dyDescent="0.3">
      <c r="A81">
        <f t="shared" si="5"/>
        <v>78</v>
      </c>
      <c r="B81" s="4"/>
      <c r="C81" s="6"/>
      <c r="D81" s="6"/>
      <c r="E81" s="6"/>
      <c r="F81" s="6"/>
    </row>
    <row r="82" spans="1:6" x14ac:dyDescent="0.3">
      <c r="A82">
        <f t="shared" si="5"/>
        <v>79</v>
      </c>
      <c r="B82" s="4"/>
      <c r="C82" s="6"/>
      <c r="D82" s="6"/>
      <c r="E82" s="6"/>
      <c r="F82" s="6"/>
    </row>
    <row r="83" spans="1:6" x14ac:dyDescent="0.3">
      <c r="A83">
        <f t="shared" si="5"/>
        <v>80</v>
      </c>
      <c r="B83" s="4"/>
      <c r="C83" s="6"/>
      <c r="D83" s="6"/>
      <c r="E83" s="6"/>
      <c r="F83" s="6"/>
    </row>
    <row r="84" spans="1:6" x14ac:dyDescent="0.3">
      <c r="A84">
        <f t="shared" si="5"/>
        <v>81</v>
      </c>
      <c r="B84" s="4"/>
      <c r="C84" s="6"/>
      <c r="D84" s="6"/>
      <c r="E84" s="6"/>
      <c r="F84" s="6"/>
    </row>
    <row r="85" spans="1:6" x14ac:dyDescent="0.3">
      <c r="A85">
        <f t="shared" si="5"/>
        <v>82</v>
      </c>
      <c r="B85" s="4"/>
      <c r="C85" s="6"/>
      <c r="D85" s="6"/>
      <c r="E85" s="6"/>
      <c r="F85" s="6"/>
    </row>
    <row r="86" spans="1:6" x14ac:dyDescent="0.3">
      <c r="A86">
        <f t="shared" si="5"/>
        <v>83</v>
      </c>
      <c r="B86" s="4"/>
      <c r="C86" s="6"/>
      <c r="D86" s="6"/>
      <c r="E86" s="6"/>
      <c r="F86" s="6"/>
    </row>
    <row r="87" spans="1:6" x14ac:dyDescent="0.3">
      <c r="A87">
        <f t="shared" si="5"/>
        <v>84</v>
      </c>
      <c r="B87" s="4"/>
      <c r="C87" s="6"/>
      <c r="D87" s="6"/>
      <c r="E87" s="6"/>
      <c r="F87" s="6"/>
    </row>
    <row r="88" spans="1:6" x14ac:dyDescent="0.3">
      <c r="A88">
        <f t="shared" si="5"/>
        <v>85</v>
      </c>
      <c r="B88" s="4"/>
      <c r="C88" s="6"/>
      <c r="D88" s="6"/>
      <c r="E88" s="6"/>
      <c r="F88" s="6"/>
    </row>
    <row r="89" spans="1:6" x14ac:dyDescent="0.3">
      <c r="A89">
        <f t="shared" si="5"/>
        <v>86</v>
      </c>
      <c r="B89" s="4"/>
      <c r="C89" s="6"/>
      <c r="D89" s="6"/>
      <c r="E89" s="6"/>
      <c r="F89" s="6"/>
    </row>
    <row r="90" spans="1:6" x14ac:dyDescent="0.3">
      <c r="A90">
        <f t="shared" si="5"/>
        <v>87</v>
      </c>
      <c r="B90" s="4"/>
      <c r="C90" s="6"/>
      <c r="D90" s="6"/>
      <c r="E90" s="6"/>
      <c r="F90" s="6"/>
    </row>
    <row r="91" spans="1:6" x14ac:dyDescent="0.3">
      <c r="A91">
        <f t="shared" si="5"/>
        <v>88</v>
      </c>
      <c r="B91" s="4"/>
      <c r="C91" s="6"/>
      <c r="D91" s="6"/>
      <c r="E91" s="6"/>
      <c r="F91" s="6"/>
    </row>
    <row r="92" spans="1:6" x14ac:dyDescent="0.3">
      <c r="A92">
        <f t="shared" si="5"/>
        <v>89</v>
      </c>
      <c r="B92" s="4"/>
      <c r="C92" s="6"/>
      <c r="D92" s="6"/>
      <c r="E92" s="6"/>
      <c r="F92" s="6"/>
    </row>
    <row r="93" spans="1:6" x14ac:dyDescent="0.3">
      <c r="A93">
        <f t="shared" si="5"/>
        <v>90</v>
      </c>
      <c r="B93" s="4"/>
      <c r="C93" s="6"/>
      <c r="D93" s="6"/>
      <c r="E93" s="6"/>
      <c r="F93" s="6"/>
    </row>
    <row r="94" spans="1:6" x14ac:dyDescent="0.3">
      <c r="A94">
        <f t="shared" si="5"/>
        <v>91</v>
      </c>
      <c r="B94" s="4"/>
      <c r="C94" s="6"/>
      <c r="D94" s="6"/>
      <c r="E94" s="6"/>
      <c r="F94" s="6"/>
    </row>
    <row r="95" spans="1:6" x14ac:dyDescent="0.3">
      <c r="A95">
        <f t="shared" si="5"/>
        <v>92</v>
      </c>
      <c r="B95" s="4"/>
      <c r="C95" s="6"/>
      <c r="D95" s="6"/>
      <c r="E95" s="6"/>
      <c r="F95" s="6"/>
    </row>
    <row r="96" spans="1:6" x14ac:dyDescent="0.3">
      <c r="A96">
        <f t="shared" si="5"/>
        <v>93</v>
      </c>
      <c r="B96" s="4"/>
      <c r="C96" s="6"/>
      <c r="D96" s="6"/>
      <c r="E96" s="6"/>
      <c r="F96" s="6"/>
    </row>
    <row r="97" spans="1:6" x14ac:dyDescent="0.3">
      <c r="A97">
        <f t="shared" si="5"/>
        <v>94</v>
      </c>
      <c r="B97" s="4"/>
      <c r="C97" s="6"/>
      <c r="D97" s="6"/>
      <c r="E97" s="6"/>
      <c r="F97" s="6"/>
    </row>
    <row r="98" spans="1:6" x14ac:dyDescent="0.3">
      <c r="A98">
        <f t="shared" si="5"/>
        <v>95</v>
      </c>
      <c r="B98" s="4"/>
      <c r="C98" s="6"/>
      <c r="D98" s="6"/>
      <c r="E98" s="6"/>
      <c r="F98" s="6"/>
    </row>
    <row r="99" spans="1:6" x14ac:dyDescent="0.3">
      <c r="A99">
        <f t="shared" si="5"/>
        <v>96</v>
      </c>
      <c r="B99" s="4"/>
      <c r="C99" s="6"/>
      <c r="D99" s="6"/>
      <c r="E99" s="6"/>
      <c r="F99" s="6"/>
    </row>
    <row r="100" spans="1:6" x14ac:dyDescent="0.3">
      <c r="A100">
        <f t="shared" si="5"/>
        <v>97</v>
      </c>
      <c r="B100" s="4"/>
      <c r="C100" s="6"/>
      <c r="D100" s="6"/>
      <c r="E100" s="6"/>
      <c r="F100" s="6"/>
    </row>
    <row r="101" spans="1:6" x14ac:dyDescent="0.3">
      <c r="A101">
        <f t="shared" si="5"/>
        <v>98</v>
      </c>
      <c r="B101" s="4"/>
      <c r="C101" s="6"/>
      <c r="D101" s="6"/>
      <c r="E101" s="6"/>
      <c r="F101" s="6"/>
    </row>
    <row r="102" spans="1:6" x14ac:dyDescent="0.3">
      <c r="A102">
        <f t="shared" si="5"/>
        <v>99</v>
      </c>
      <c r="B102" s="4"/>
      <c r="C102" s="6"/>
      <c r="D102" s="6"/>
      <c r="E102" s="6"/>
      <c r="F102" s="6"/>
    </row>
    <row r="103" spans="1:6" x14ac:dyDescent="0.3">
      <c r="A103">
        <f t="shared" si="5"/>
        <v>100</v>
      </c>
      <c r="B103" s="4"/>
      <c r="C103" s="6"/>
      <c r="D103" s="6"/>
      <c r="E103" s="6"/>
      <c r="F103" s="6"/>
    </row>
    <row r="104" spans="1:6" x14ac:dyDescent="0.3">
      <c r="A104">
        <f t="shared" si="5"/>
        <v>101</v>
      </c>
      <c r="B104" s="4"/>
      <c r="C104" s="6"/>
      <c r="D104" s="6"/>
      <c r="E104" s="6"/>
      <c r="F104" s="6"/>
    </row>
    <row r="105" spans="1:6" x14ac:dyDescent="0.3">
      <c r="A105">
        <f t="shared" si="5"/>
        <v>102</v>
      </c>
      <c r="B105" s="4"/>
      <c r="C105" s="6"/>
      <c r="D105" s="6"/>
      <c r="E105" s="6"/>
      <c r="F105" s="6"/>
    </row>
    <row r="106" spans="1:6" x14ac:dyDescent="0.3">
      <c r="A106">
        <f t="shared" si="5"/>
        <v>103</v>
      </c>
      <c r="B106" s="4"/>
      <c r="C106" s="6"/>
      <c r="D106" s="6"/>
      <c r="E106" s="6"/>
      <c r="F106" s="6"/>
    </row>
    <row r="107" spans="1:6" x14ac:dyDescent="0.3">
      <c r="A107">
        <f t="shared" si="5"/>
        <v>104</v>
      </c>
      <c r="B107" s="4"/>
      <c r="C107" s="6"/>
      <c r="D107" s="6"/>
      <c r="E107" s="6"/>
      <c r="F107" s="6"/>
    </row>
    <row r="108" spans="1:6" x14ac:dyDescent="0.3">
      <c r="A108">
        <f t="shared" si="5"/>
        <v>105</v>
      </c>
      <c r="B108" s="4"/>
      <c r="C108" s="6"/>
      <c r="D108" s="6"/>
      <c r="E108" s="6"/>
      <c r="F108" s="6"/>
    </row>
    <row r="109" spans="1:6" x14ac:dyDescent="0.3">
      <c r="A109">
        <f t="shared" si="5"/>
        <v>106</v>
      </c>
      <c r="B109" s="4"/>
      <c r="C109" s="6"/>
      <c r="D109" s="6"/>
      <c r="E109" s="6"/>
      <c r="F109" s="6"/>
    </row>
    <row r="110" spans="1:6" x14ac:dyDescent="0.3">
      <c r="A110">
        <f t="shared" si="5"/>
        <v>107</v>
      </c>
      <c r="B110" s="4"/>
      <c r="C110" s="6"/>
      <c r="D110" s="6"/>
      <c r="E110" s="6"/>
      <c r="F110" s="6"/>
    </row>
    <row r="111" spans="1:6" x14ac:dyDescent="0.3">
      <c r="A111">
        <f t="shared" si="5"/>
        <v>108</v>
      </c>
      <c r="B111" s="4"/>
      <c r="C111" s="6"/>
      <c r="D111" s="6"/>
      <c r="E111" s="6"/>
      <c r="F111" s="6"/>
    </row>
    <row r="112" spans="1:6" x14ac:dyDescent="0.3">
      <c r="A112">
        <f t="shared" si="5"/>
        <v>109</v>
      </c>
      <c r="B112" s="4"/>
      <c r="C112" s="6"/>
      <c r="D112" s="6"/>
      <c r="E112" s="6"/>
      <c r="F112" s="6"/>
    </row>
    <row r="113" spans="1:6" x14ac:dyDescent="0.3">
      <c r="A113">
        <f t="shared" si="5"/>
        <v>110</v>
      </c>
      <c r="B113" s="4"/>
      <c r="C113" s="6"/>
      <c r="D113" s="6"/>
      <c r="E113" s="6"/>
      <c r="F113" s="6"/>
    </row>
    <row r="114" spans="1:6" x14ac:dyDescent="0.3">
      <c r="A114">
        <f t="shared" si="5"/>
        <v>111</v>
      </c>
      <c r="B114" s="4"/>
      <c r="C114" s="6"/>
      <c r="D114" s="6"/>
      <c r="E114" s="6"/>
      <c r="F114" s="6"/>
    </row>
    <row r="115" spans="1:6" x14ac:dyDescent="0.3">
      <c r="A115">
        <f t="shared" si="5"/>
        <v>112</v>
      </c>
      <c r="B115" s="4"/>
      <c r="C115" s="6"/>
      <c r="D115" s="6"/>
      <c r="E115" s="6"/>
      <c r="F115" s="6"/>
    </row>
    <row r="116" spans="1:6" x14ac:dyDescent="0.3">
      <c r="A116">
        <f t="shared" si="5"/>
        <v>113</v>
      </c>
      <c r="B116" s="4"/>
      <c r="C116" s="6"/>
      <c r="D116" s="6"/>
      <c r="E116" s="6"/>
      <c r="F116" s="6"/>
    </row>
    <row r="117" spans="1:6" x14ac:dyDescent="0.3">
      <c r="A117">
        <f t="shared" si="5"/>
        <v>114</v>
      </c>
      <c r="B117" s="4"/>
      <c r="C117" s="6"/>
      <c r="D117" s="6"/>
      <c r="E117" s="6"/>
      <c r="F117" s="6"/>
    </row>
    <row r="118" spans="1:6" x14ac:dyDescent="0.3">
      <c r="A118">
        <f t="shared" si="5"/>
        <v>115</v>
      </c>
      <c r="B118" s="4"/>
      <c r="C118" s="6"/>
      <c r="D118" s="6"/>
      <c r="E118" s="6"/>
      <c r="F118" s="6"/>
    </row>
    <row r="119" spans="1:6" x14ac:dyDescent="0.3">
      <c r="A119">
        <f t="shared" si="5"/>
        <v>116</v>
      </c>
      <c r="B119" s="4"/>
      <c r="C119" s="6"/>
      <c r="D119" s="6"/>
      <c r="E119" s="6"/>
      <c r="F119" s="6"/>
    </row>
    <row r="120" spans="1:6" x14ac:dyDescent="0.3">
      <c r="A120">
        <f t="shared" si="5"/>
        <v>117</v>
      </c>
      <c r="B120" s="4"/>
      <c r="C120" s="6"/>
      <c r="D120" s="6"/>
      <c r="E120" s="6"/>
      <c r="F120" s="6"/>
    </row>
    <row r="121" spans="1:6" x14ac:dyDescent="0.3">
      <c r="A121">
        <f t="shared" si="5"/>
        <v>118</v>
      </c>
      <c r="B121" s="4"/>
      <c r="C121" s="6"/>
      <c r="D121" s="6"/>
      <c r="E121" s="6"/>
      <c r="F121" s="6"/>
    </row>
    <row r="122" spans="1:6" x14ac:dyDescent="0.3">
      <c r="A122">
        <f t="shared" si="5"/>
        <v>119</v>
      </c>
      <c r="B122" s="4"/>
      <c r="C122" s="6"/>
      <c r="D122" s="6"/>
      <c r="E122" s="6"/>
      <c r="F122" s="6"/>
    </row>
    <row r="123" spans="1:6" x14ac:dyDescent="0.3">
      <c r="A123">
        <f t="shared" si="5"/>
        <v>120</v>
      </c>
      <c r="B123" s="4"/>
      <c r="C123" s="6"/>
      <c r="D123" s="6"/>
      <c r="E123" s="6"/>
      <c r="F123" s="6"/>
    </row>
    <row r="124" spans="1:6" x14ac:dyDescent="0.3">
      <c r="A124">
        <f t="shared" si="5"/>
        <v>121</v>
      </c>
      <c r="B124" s="4"/>
      <c r="C124" s="6"/>
      <c r="D124" s="6"/>
      <c r="E124" s="6"/>
      <c r="F124" s="6"/>
    </row>
    <row r="125" spans="1:6" x14ac:dyDescent="0.3">
      <c r="A125">
        <f t="shared" si="5"/>
        <v>122</v>
      </c>
      <c r="B125" s="4"/>
      <c r="C125" s="6"/>
      <c r="D125" s="6"/>
      <c r="E125" s="6"/>
      <c r="F125" s="6"/>
    </row>
    <row r="126" spans="1:6" x14ac:dyDescent="0.3">
      <c r="A126">
        <f t="shared" si="5"/>
        <v>123</v>
      </c>
      <c r="B126" s="4"/>
      <c r="C126" s="6"/>
      <c r="D126" s="6"/>
      <c r="E126" s="6"/>
      <c r="F126" s="6"/>
    </row>
    <row r="127" spans="1:6" x14ac:dyDescent="0.3">
      <c r="A127">
        <f t="shared" si="5"/>
        <v>124</v>
      </c>
      <c r="B127" s="4"/>
      <c r="C127" s="6"/>
      <c r="D127" s="6"/>
      <c r="E127" s="6"/>
      <c r="F127" s="6"/>
    </row>
    <row r="128" spans="1:6" x14ac:dyDescent="0.3">
      <c r="A128">
        <f t="shared" si="5"/>
        <v>125</v>
      </c>
      <c r="B128" s="4"/>
      <c r="C128" s="6"/>
      <c r="D128" s="6"/>
      <c r="E128" s="6"/>
      <c r="F128" s="6"/>
    </row>
    <row r="129" spans="1:6" x14ac:dyDescent="0.3">
      <c r="A129">
        <f t="shared" si="5"/>
        <v>126</v>
      </c>
      <c r="B129" s="4"/>
      <c r="C129" s="6"/>
      <c r="D129" s="6"/>
      <c r="E129" s="6"/>
      <c r="F129" s="6"/>
    </row>
    <row r="130" spans="1:6" x14ac:dyDescent="0.3">
      <c r="A130">
        <f t="shared" si="5"/>
        <v>127</v>
      </c>
      <c r="B130" s="4"/>
      <c r="C130" s="6"/>
      <c r="D130" s="6"/>
      <c r="E130" s="6"/>
      <c r="F130" s="6"/>
    </row>
    <row r="131" spans="1:6" x14ac:dyDescent="0.3">
      <c r="A131">
        <f t="shared" si="5"/>
        <v>128</v>
      </c>
      <c r="B131" s="4"/>
      <c r="C131" s="6"/>
      <c r="D131" s="6"/>
      <c r="E131" s="6"/>
      <c r="F131" s="6"/>
    </row>
    <row r="132" spans="1:6" x14ac:dyDescent="0.3">
      <c r="A132">
        <f t="shared" si="5"/>
        <v>129</v>
      </c>
      <c r="B132" s="4"/>
      <c r="C132" s="6"/>
      <c r="D132" s="6"/>
      <c r="E132" s="6"/>
      <c r="F132" s="6"/>
    </row>
    <row r="133" spans="1:6" x14ac:dyDescent="0.3">
      <c r="A133">
        <f t="shared" ref="A133:A196" si="6">A132+1</f>
        <v>130</v>
      </c>
      <c r="B133" s="4"/>
      <c r="C133" s="6"/>
      <c r="D133" s="6"/>
      <c r="E133" s="6"/>
      <c r="F133" s="6"/>
    </row>
    <row r="134" spans="1:6" x14ac:dyDescent="0.3">
      <c r="A134">
        <f t="shared" si="6"/>
        <v>131</v>
      </c>
      <c r="B134" s="4"/>
      <c r="C134" s="6"/>
      <c r="D134" s="6"/>
      <c r="E134" s="6"/>
      <c r="F134" s="6"/>
    </row>
    <row r="135" spans="1:6" x14ac:dyDescent="0.3">
      <c r="A135">
        <f t="shared" si="6"/>
        <v>132</v>
      </c>
      <c r="B135" s="4"/>
      <c r="C135" s="6"/>
      <c r="D135" s="6"/>
      <c r="E135" s="6"/>
      <c r="F135" s="6"/>
    </row>
    <row r="136" spans="1:6" x14ac:dyDescent="0.3">
      <c r="A136">
        <f t="shared" si="6"/>
        <v>133</v>
      </c>
      <c r="B136" s="4"/>
      <c r="C136" s="6"/>
      <c r="D136" s="6"/>
      <c r="E136" s="6"/>
      <c r="F136" s="6"/>
    </row>
    <row r="137" spans="1:6" x14ac:dyDescent="0.3">
      <c r="A137">
        <f t="shared" si="6"/>
        <v>134</v>
      </c>
      <c r="B137" s="4"/>
      <c r="C137" s="6"/>
      <c r="D137" s="6"/>
      <c r="E137" s="6"/>
      <c r="F137" s="6"/>
    </row>
    <row r="138" spans="1:6" x14ac:dyDescent="0.3">
      <c r="A138">
        <f t="shared" si="6"/>
        <v>135</v>
      </c>
      <c r="B138" s="4"/>
      <c r="C138" s="6"/>
      <c r="D138" s="6"/>
      <c r="E138" s="6"/>
      <c r="F138" s="6"/>
    </row>
    <row r="139" spans="1:6" x14ac:dyDescent="0.3">
      <c r="A139">
        <f t="shared" si="6"/>
        <v>136</v>
      </c>
      <c r="B139" s="4"/>
      <c r="C139" s="6"/>
      <c r="D139" s="6"/>
      <c r="E139" s="6"/>
      <c r="F139" s="6"/>
    </row>
    <row r="140" spans="1:6" x14ac:dyDescent="0.3">
      <c r="A140">
        <f t="shared" si="6"/>
        <v>137</v>
      </c>
      <c r="B140" s="4"/>
      <c r="C140" s="6"/>
      <c r="D140" s="6"/>
      <c r="E140" s="6"/>
      <c r="F140" s="6"/>
    </row>
    <row r="141" spans="1:6" x14ac:dyDescent="0.3">
      <c r="A141">
        <f t="shared" si="6"/>
        <v>138</v>
      </c>
      <c r="B141" s="4"/>
      <c r="C141" s="6"/>
      <c r="D141" s="6"/>
      <c r="E141" s="6"/>
      <c r="F141" s="6"/>
    </row>
    <row r="142" spans="1:6" x14ac:dyDescent="0.3">
      <c r="A142">
        <f t="shared" si="6"/>
        <v>139</v>
      </c>
      <c r="B142" s="4"/>
      <c r="C142" s="6"/>
      <c r="D142" s="6"/>
      <c r="E142" s="6"/>
      <c r="F142" s="6"/>
    </row>
    <row r="143" spans="1:6" x14ac:dyDescent="0.3">
      <c r="A143">
        <f t="shared" si="6"/>
        <v>140</v>
      </c>
      <c r="B143" s="4"/>
      <c r="C143" s="6"/>
      <c r="D143" s="6"/>
      <c r="E143" s="6"/>
      <c r="F143" s="6"/>
    </row>
    <row r="144" spans="1:6" x14ac:dyDescent="0.3">
      <c r="A144">
        <f t="shared" si="6"/>
        <v>141</v>
      </c>
      <c r="B144" s="4"/>
      <c r="C144" s="6"/>
      <c r="D144" s="6"/>
      <c r="E144" s="6"/>
      <c r="F144" s="6"/>
    </row>
    <row r="145" spans="1:6" x14ac:dyDescent="0.3">
      <c r="A145">
        <f t="shared" si="6"/>
        <v>142</v>
      </c>
      <c r="B145" s="4"/>
      <c r="C145" s="6"/>
      <c r="D145" s="6"/>
      <c r="E145" s="6"/>
      <c r="F145" s="6"/>
    </row>
    <row r="146" spans="1:6" x14ac:dyDescent="0.3">
      <c r="A146">
        <f t="shared" si="6"/>
        <v>143</v>
      </c>
      <c r="B146" s="4"/>
      <c r="C146" s="6"/>
      <c r="D146" s="6"/>
      <c r="E146" s="6"/>
      <c r="F146" s="6"/>
    </row>
    <row r="147" spans="1:6" x14ac:dyDescent="0.3">
      <c r="A147">
        <f t="shared" si="6"/>
        <v>144</v>
      </c>
      <c r="B147" s="4"/>
      <c r="C147" s="6"/>
      <c r="D147" s="6"/>
      <c r="E147" s="6"/>
      <c r="F147" s="6"/>
    </row>
    <row r="148" spans="1:6" x14ac:dyDescent="0.3">
      <c r="A148">
        <f t="shared" si="6"/>
        <v>145</v>
      </c>
      <c r="B148" s="4"/>
      <c r="C148" s="6"/>
      <c r="D148" s="6"/>
      <c r="E148" s="6"/>
      <c r="F148" s="6"/>
    </row>
    <row r="149" spans="1:6" x14ac:dyDescent="0.3">
      <c r="A149">
        <f t="shared" si="6"/>
        <v>146</v>
      </c>
      <c r="B149" s="4"/>
      <c r="C149" s="6"/>
      <c r="D149" s="6"/>
      <c r="E149" s="6"/>
      <c r="F149" s="6"/>
    </row>
    <row r="150" spans="1:6" x14ac:dyDescent="0.3">
      <c r="A150">
        <f t="shared" si="6"/>
        <v>147</v>
      </c>
      <c r="B150" s="4"/>
      <c r="C150" s="6"/>
      <c r="D150" s="6"/>
      <c r="E150" s="6"/>
      <c r="F150" s="6"/>
    </row>
    <row r="151" spans="1:6" x14ac:dyDescent="0.3">
      <c r="A151">
        <f t="shared" si="6"/>
        <v>148</v>
      </c>
      <c r="B151" s="4"/>
      <c r="C151" s="6"/>
      <c r="D151" s="6"/>
      <c r="E151" s="6"/>
      <c r="F151" s="6"/>
    </row>
    <row r="152" spans="1:6" x14ac:dyDescent="0.3">
      <c r="A152">
        <f t="shared" si="6"/>
        <v>149</v>
      </c>
      <c r="B152" s="4"/>
      <c r="C152" s="6"/>
      <c r="D152" s="6"/>
      <c r="E152" s="6"/>
      <c r="F152" s="6"/>
    </row>
    <row r="153" spans="1:6" x14ac:dyDescent="0.3">
      <c r="A153">
        <f t="shared" si="6"/>
        <v>150</v>
      </c>
      <c r="B153" s="4"/>
      <c r="C153" s="6"/>
      <c r="D153" s="6"/>
      <c r="E153" s="6"/>
      <c r="F153" s="6"/>
    </row>
    <row r="154" spans="1:6" x14ac:dyDescent="0.3">
      <c r="A154">
        <f t="shared" si="6"/>
        <v>151</v>
      </c>
      <c r="B154" s="4"/>
      <c r="C154" s="6"/>
      <c r="D154" s="6"/>
      <c r="E154" s="6"/>
      <c r="F154" s="6"/>
    </row>
    <row r="155" spans="1:6" x14ac:dyDescent="0.3">
      <c r="A155">
        <f t="shared" si="6"/>
        <v>152</v>
      </c>
      <c r="B155" s="4"/>
      <c r="C155" s="6"/>
      <c r="D155" s="6"/>
      <c r="E155" s="6"/>
      <c r="F155" s="6"/>
    </row>
    <row r="156" spans="1:6" x14ac:dyDescent="0.3">
      <c r="A156">
        <f t="shared" si="6"/>
        <v>153</v>
      </c>
      <c r="B156" s="4"/>
      <c r="C156" s="6"/>
      <c r="D156" s="6"/>
      <c r="E156" s="6"/>
      <c r="F156" s="6"/>
    </row>
    <row r="157" spans="1:6" x14ac:dyDescent="0.3">
      <c r="A157">
        <f t="shared" si="6"/>
        <v>154</v>
      </c>
      <c r="B157" s="4"/>
      <c r="C157" s="6"/>
      <c r="D157" s="6"/>
      <c r="E157" s="6"/>
      <c r="F157" s="6"/>
    </row>
    <row r="158" spans="1:6" x14ac:dyDescent="0.3">
      <c r="A158">
        <f t="shared" si="6"/>
        <v>155</v>
      </c>
      <c r="B158" s="4"/>
      <c r="C158" s="6"/>
      <c r="D158" s="6"/>
      <c r="E158" s="6"/>
      <c r="F158" s="6"/>
    </row>
    <row r="159" spans="1:6" x14ac:dyDescent="0.3">
      <c r="A159">
        <f t="shared" si="6"/>
        <v>156</v>
      </c>
      <c r="B159" s="4"/>
      <c r="C159" s="6"/>
      <c r="D159" s="6"/>
      <c r="E159" s="6"/>
      <c r="F159" s="6"/>
    </row>
    <row r="160" spans="1:6" x14ac:dyDescent="0.3">
      <c r="A160">
        <f t="shared" si="6"/>
        <v>157</v>
      </c>
      <c r="B160" s="4"/>
      <c r="C160" s="6"/>
      <c r="D160" s="6"/>
      <c r="E160" s="6"/>
      <c r="F160" s="6"/>
    </row>
    <row r="161" spans="1:6" x14ac:dyDescent="0.3">
      <c r="A161">
        <f t="shared" si="6"/>
        <v>158</v>
      </c>
      <c r="B161" s="4"/>
      <c r="C161" s="6"/>
      <c r="D161" s="6"/>
      <c r="E161" s="6"/>
      <c r="F161" s="6"/>
    </row>
    <row r="162" spans="1:6" x14ac:dyDescent="0.3">
      <c r="A162">
        <f t="shared" si="6"/>
        <v>159</v>
      </c>
      <c r="B162" s="4"/>
      <c r="C162" s="6"/>
      <c r="D162" s="6"/>
      <c r="E162" s="6"/>
      <c r="F162" s="6"/>
    </row>
    <row r="163" spans="1:6" x14ac:dyDescent="0.3">
      <c r="A163">
        <f t="shared" si="6"/>
        <v>160</v>
      </c>
      <c r="B163" s="4"/>
      <c r="C163" s="6"/>
      <c r="D163" s="6"/>
      <c r="E163" s="6"/>
      <c r="F163" s="6"/>
    </row>
    <row r="164" spans="1:6" x14ac:dyDescent="0.3">
      <c r="A164">
        <f t="shared" si="6"/>
        <v>161</v>
      </c>
      <c r="B164" s="4"/>
      <c r="C164" s="6"/>
      <c r="D164" s="6"/>
      <c r="E164" s="6"/>
      <c r="F164" s="6"/>
    </row>
    <row r="165" spans="1:6" x14ac:dyDescent="0.3">
      <c r="A165">
        <f t="shared" si="6"/>
        <v>162</v>
      </c>
      <c r="B165" s="4"/>
      <c r="C165" s="6"/>
      <c r="D165" s="6"/>
      <c r="E165" s="6"/>
      <c r="F165" s="6"/>
    </row>
    <row r="166" spans="1:6" x14ac:dyDescent="0.3">
      <c r="A166">
        <f t="shared" si="6"/>
        <v>163</v>
      </c>
      <c r="B166" s="4"/>
      <c r="C166" s="6"/>
      <c r="D166" s="6"/>
      <c r="E166" s="6"/>
      <c r="F166" s="6"/>
    </row>
    <row r="167" spans="1:6" x14ac:dyDescent="0.3">
      <c r="A167">
        <f t="shared" si="6"/>
        <v>164</v>
      </c>
      <c r="B167" s="4"/>
      <c r="C167" s="6"/>
      <c r="D167" s="6"/>
      <c r="E167" s="6"/>
      <c r="F167" s="6"/>
    </row>
    <row r="168" spans="1:6" x14ac:dyDescent="0.3">
      <c r="A168">
        <f t="shared" si="6"/>
        <v>165</v>
      </c>
      <c r="B168" s="4"/>
      <c r="C168" s="6"/>
      <c r="D168" s="6"/>
      <c r="E168" s="6"/>
      <c r="F168" s="6"/>
    </row>
    <row r="169" spans="1:6" x14ac:dyDescent="0.3">
      <c r="A169">
        <f t="shared" si="6"/>
        <v>166</v>
      </c>
      <c r="B169" s="4"/>
      <c r="C169" s="6"/>
      <c r="D169" s="6"/>
      <c r="E169" s="6"/>
      <c r="F169" s="6"/>
    </row>
    <row r="170" spans="1:6" x14ac:dyDescent="0.3">
      <c r="A170">
        <f t="shared" si="6"/>
        <v>167</v>
      </c>
      <c r="B170" s="4"/>
      <c r="C170" s="6"/>
      <c r="D170" s="6"/>
      <c r="E170" s="6"/>
      <c r="F170" s="6"/>
    </row>
    <row r="171" spans="1:6" x14ac:dyDescent="0.3">
      <c r="A171">
        <f t="shared" si="6"/>
        <v>168</v>
      </c>
      <c r="B171" s="4"/>
      <c r="C171" s="6"/>
      <c r="D171" s="6"/>
      <c r="E171" s="6"/>
      <c r="F171" s="6"/>
    </row>
    <row r="172" spans="1:6" x14ac:dyDescent="0.3">
      <c r="A172">
        <f t="shared" si="6"/>
        <v>169</v>
      </c>
      <c r="B172" s="4"/>
      <c r="C172" s="6"/>
      <c r="D172" s="6"/>
      <c r="E172" s="6"/>
      <c r="F172" s="6"/>
    </row>
    <row r="173" spans="1:6" x14ac:dyDescent="0.3">
      <c r="A173">
        <f t="shared" si="6"/>
        <v>170</v>
      </c>
      <c r="B173" s="4"/>
      <c r="C173" s="6"/>
      <c r="D173" s="6"/>
      <c r="E173" s="6"/>
      <c r="F173" s="6"/>
    </row>
    <row r="174" spans="1:6" x14ac:dyDescent="0.3">
      <c r="A174">
        <f t="shared" si="6"/>
        <v>171</v>
      </c>
      <c r="B174" s="4"/>
      <c r="C174" s="6"/>
      <c r="D174" s="6"/>
      <c r="E174" s="6"/>
      <c r="F174" s="6"/>
    </row>
    <row r="175" spans="1:6" x14ac:dyDescent="0.3">
      <c r="A175">
        <f t="shared" si="6"/>
        <v>172</v>
      </c>
      <c r="B175" s="4"/>
      <c r="C175" s="6"/>
      <c r="D175" s="6"/>
      <c r="E175" s="6"/>
      <c r="F175" s="6"/>
    </row>
    <row r="176" spans="1:6" x14ac:dyDescent="0.3">
      <c r="A176">
        <f t="shared" si="6"/>
        <v>173</v>
      </c>
      <c r="B176" s="4"/>
      <c r="C176" s="6"/>
      <c r="D176" s="6"/>
      <c r="E176" s="6"/>
      <c r="F176" s="6"/>
    </row>
    <row r="177" spans="1:6" x14ac:dyDescent="0.3">
      <c r="A177">
        <f t="shared" si="6"/>
        <v>174</v>
      </c>
      <c r="B177" s="4"/>
      <c r="C177" s="6"/>
      <c r="D177" s="6"/>
      <c r="E177" s="6"/>
      <c r="F177" s="6"/>
    </row>
    <row r="178" spans="1:6" x14ac:dyDescent="0.3">
      <c r="A178">
        <f t="shared" si="6"/>
        <v>175</v>
      </c>
      <c r="B178" s="4"/>
      <c r="C178" s="6"/>
      <c r="D178" s="6"/>
      <c r="E178" s="6"/>
      <c r="F178" s="6"/>
    </row>
    <row r="179" spans="1:6" x14ac:dyDescent="0.3">
      <c r="A179">
        <f t="shared" si="6"/>
        <v>176</v>
      </c>
      <c r="B179" s="4"/>
      <c r="C179" s="6"/>
      <c r="D179" s="6"/>
      <c r="E179" s="6"/>
      <c r="F179" s="6"/>
    </row>
    <row r="180" spans="1:6" x14ac:dyDescent="0.3">
      <c r="A180">
        <f t="shared" si="6"/>
        <v>177</v>
      </c>
      <c r="B180" s="4"/>
      <c r="C180" s="6"/>
      <c r="D180" s="6"/>
      <c r="E180" s="6"/>
      <c r="F180" s="6"/>
    </row>
    <row r="181" spans="1:6" x14ac:dyDescent="0.3">
      <c r="A181">
        <f t="shared" si="6"/>
        <v>178</v>
      </c>
      <c r="B181" s="4"/>
      <c r="C181" s="6"/>
      <c r="D181" s="6"/>
      <c r="E181" s="6"/>
      <c r="F181" s="6"/>
    </row>
    <row r="182" spans="1:6" x14ac:dyDescent="0.3">
      <c r="A182">
        <f t="shared" si="6"/>
        <v>179</v>
      </c>
      <c r="B182" s="4"/>
      <c r="C182" s="6"/>
      <c r="D182" s="6"/>
      <c r="E182" s="6"/>
      <c r="F182" s="6"/>
    </row>
    <row r="183" spans="1:6" x14ac:dyDescent="0.3">
      <c r="A183">
        <f t="shared" si="6"/>
        <v>180</v>
      </c>
      <c r="B183" s="4"/>
      <c r="C183" s="6"/>
      <c r="D183" s="6"/>
      <c r="E183" s="6"/>
      <c r="F183" s="6"/>
    </row>
    <row r="184" spans="1:6" x14ac:dyDescent="0.3">
      <c r="A184">
        <f t="shared" si="6"/>
        <v>181</v>
      </c>
      <c r="B184" s="4"/>
      <c r="C184" s="6"/>
      <c r="D184" s="6"/>
      <c r="E184" s="6"/>
      <c r="F184" s="6"/>
    </row>
    <row r="185" spans="1:6" x14ac:dyDescent="0.3">
      <c r="A185">
        <f t="shared" si="6"/>
        <v>182</v>
      </c>
      <c r="B185" s="4"/>
      <c r="C185" s="6"/>
      <c r="D185" s="6"/>
      <c r="E185" s="6"/>
      <c r="F185" s="6"/>
    </row>
    <row r="186" spans="1:6" x14ac:dyDescent="0.3">
      <c r="A186">
        <f t="shared" si="6"/>
        <v>183</v>
      </c>
      <c r="B186" s="4"/>
      <c r="C186" s="6"/>
      <c r="D186" s="6"/>
      <c r="E186" s="6"/>
      <c r="F186" s="6"/>
    </row>
    <row r="187" spans="1:6" x14ac:dyDescent="0.3">
      <c r="A187">
        <f t="shared" si="6"/>
        <v>184</v>
      </c>
      <c r="B187" s="4"/>
      <c r="C187" s="6"/>
      <c r="D187" s="6"/>
      <c r="E187" s="6"/>
      <c r="F187" s="6"/>
    </row>
    <row r="188" spans="1:6" x14ac:dyDescent="0.3">
      <c r="A188">
        <f t="shared" si="6"/>
        <v>185</v>
      </c>
      <c r="B188" s="4"/>
      <c r="C188" s="6"/>
      <c r="D188" s="6"/>
      <c r="E188" s="6"/>
      <c r="F188" s="6"/>
    </row>
    <row r="189" spans="1:6" x14ac:dyDescent="0.3">
      <c r="A189">
        <f t="shared" si="6"/>
        <v>186</v>
      </c>
      <c r="B189" s="4"/>
      <c r="C189" s="6"/>
      <c r="D189" s="6"/>
      <c r="E189" s="6"/>
      <c r="F189" s="6"/>
    </row>
    <row r="190" spans="1:6" x14ac:dyDescent="0.3">
      <c r="A190">
        <f t="shared" si="6"/>
        <v>187</v>
      </c>
      <c r="B190" s="4"/>
      <c r="C190" s="6"/>
      <c r="D190" s="6"/>
      <c r="E190" s="6"/>
      <c r="F190" s="6"/>
    </row>
    <row r="191" spans="1:6" x14ac:dyDescent="0.3">
      <c r="A191">
        <f t="shared" si="6"/>
        <v>188</v>
      </c>
      <c r="B191" s="4"/>
      <c r="C191" s="6"/>
      <c r="D191" s="6"/>
      <c r="E191" s="6"/>
      <c r="F191" s="6"/>
    </row>
    <row r="192" spans="1:6" x14ac:dyDescent="0.3">
      <c r="A192">
        <f t="shared" si="6"/>
        <v>189</v>
      </c>
      <c r="B192" s="4"/>
      <c r="C192" s="6"/>
      <c r="D192" s="6"/>
      <c r="E192" s="6"/>
      <c r="F192" s="6"/>
    </row>
    <row r="193" spans="1:6" x14ac:dyDescent="0.3">
      <c r="A193">
        <f t="shared" si="6"/>
        <v>190</v>
      </c>
      <c r="B193" s="4"/>
      <c r="C193" s="6"/>
      <c r="D193" s="6"/>
      <c r="E193" s="6"/>
      <c r="F193" s="6"/>
    </row>
    <row r="194" spans="1:6" x14ac:dyDescent="0.3">
      <c r="A194">
        <f t="shared" si="6"/>
        <v>191</v>
      </c>
      <c r="B194" s="4"/>
      <c r="C194" s="6"/>
      <c r="D194" s="6"/>
      <c r="E194" s="6"/>
      <c r="F194" s="6"/>
    </row>
    <row r="195" spans="1:6" x14ac:dyDescent="0.3">
      <c r="A195">
        <f t="shared" si="6"/>
        <v>192</v>
      </c>
      <c r="B195" s="4"/>
      <c r="C195" s="6"/>
      <c r="D195" s="6"/>
      <c r="E195" s="6"/>
      <c r="F195" s="6"/>
    </row>
    <row r="196" spans="1:6" x14ac:dyDescent="0.3">
      <c r="A196">
        <f t="shared" si="6"/>
        <v>193</v>
      </c>
      <c r="B196" s="4"/>
      <c r="C196" s="6"/>
      <c r="D196" s="6"/>
      <c r="E196" s="6"/>
      <c r="F196" s="6"/>
    </row>
    <row r="197" spans="1:6" x14ac:dyDescent="0.3">
      <c r="A197">
        <f t="shared" ref="A197:A260" si="7">A196+1</f>
        <v>194</v>
      </c>
      <c r="B197" s="4"/>
      <c r="C197" s="6"/>
      <c r="D197" s="6"/>
      <c r="E197" s="6"/>
      <c r="F197" s="6"/>
    </row>
    <row r="198" spans="1:6" x14ac:dyDescent="0.3">
      <c r="A198">
        <f t="shared" si="7"/>
        <v>195</v>
      </c>
      <c r="B198" s="4"/>
      <c r="C198" s="6"/>
      <c r="D198" s="6"/>
      <c r="E198" s="6"/>
      <c r="F198" s="6"/>
    </row>
    <row r="199" spans="1:6" x14ac:dyDescent="0.3">
      <c r="A199">
        <f t="shared" si="7"/>
        <v>196</v>
      </c>
      <c r="B199" s="4"/>
      <c r="C199" s="6"/>
      <c r="D199" s="6"/>
      <c r="E199" s="6"/>
      <c r="F199" s="6"/>
    </row>
    <row r="200" spans="1:6" x14ac:dyDescent="0.3">
      <c r="A200">
        <f t="shared" si="7"/>
        <v>197</v>
      </c>
      <c r="B200" s="4"/>
      <c r="C200" s="6"/>
      <c r="D200" s="6"/>
      <c r="E200" s="6"/>
      <c r="F200" s="6"/>
    </row>
    <row r="201" spans="1:6" x14ac:dyDescent="0.3">
      <c r="A201">
        <f t="shared" si="7"/>
        <v>198</v>
      </c>
      <c r="B201" s="4"/>
      <c r="C201" s="6"/>
      <c r="D201" s="6"/>
      <c r="E201" s="6"/>
      <c r="F201" s="6"/>
    </row>
    <row r="202" spans="1:6" x14ac:dyDescent="0.3">
      <c r="A202">
        <f t="shared" si="7"/>
        <v>199</v>
      </c>
      <c r="B202" s="4"/>
      <c r="C202" s="6"/>
      <c r="D202" s="6"/>
      <c r="E202" s="6"/>
      <c r="F202" s="6"/>
    </row>
    <row r="203" spans="1:6" x14ac:dyDescent="0.3">
      <c r="A203">
        <f t="shared" si="7"/>
        <v>200</v>
      </c>
      <c r="B203" s="4"/>
      <c r="C203" s="6"/>
      <c r="D203" s="6"/>
      <c r="E203" s="6"/>
      <c r="F203" s="6"/>
    </row>
    <row r="204" spans="1:6" x14ac:dyDescent="0.3">
      <c r="A204">
        <f t="shared" si="7"/>
        <v>201</v>
      </c>
      <c r="B204" s="4"/>
      <c r="C204" s="6"/>
      <c r="D204" s="6"/>
      <c r="E204" s="6"/>
      <c r="F204" s="6"/>
    </row>
    <row r="205" spans="1:6" x14ac:dyDescent="0.3">
      <c r="A205">
        <f t="shared" si="7"/>
        <v>202</v>
      </c>
      <c r="B205" s="4"/>
      <c r="C205" s="6"/>
      <c r="D205" s="6"/>
      <c r="E205" s="6"/>
      <c r="F205" s="6"/>
    </row>
    <row r="206" spans="1:6" x14ac:dyDescent="0.3">
      <c r="A206">
        <f t="shared" si="7"/>
        <v>203</v>
      </c>
      <c r="B206" s="4"/>
      <c r="C206" s="6"/>
      <c r="D206" s="6"/>
      <c r="E206" s="6"/>
      <c r="F206" s="6"/>
    </row>
    <row r="207" spans="1:6" x14ac:dyDescent="0.3">
      <c r="A207">
        <f t="shared" si="7"/>
        <v>204</v>
      </c>
      <c r="B207" s="4"/>
      <c r="C207" s="6"/>
      <c r="D207" s="6"/>
      <c r="E207" s="6"/>
      <c r="F207" s="6"/>
    </row>
    <row r="208" spans="1:6" x14ac:dyDescent="0.3">
      <c r="A208">
        <f t="shared" si="7"/>
        <v>205</v>
      </c>
      <c r="B208" s="4"/>
      <c r="C208" s="6"/>
      <c r="D208" s="6"/>
      <c r="E208" s="6"/>
      <c r="F208" s="6"/>
    </row>
    <row r="209" spans="1:6" x14ac:dyDescent="0.3">
      <c r="A209">
        <f t="shared" si="7"/>
        <v>206</v>
      </c>
      <c r="B209" s="4"/>
      <c r="C209" s="6"/>
      <c r="D209" s="6"/>
      <c r="E209" s="6"/>
      <c r="F209" s="6"/>
    </row>
    <row r="210" spans="1:6" x14ac:dyDescent="0.3">
      <c r="A210">
        <f t="shared" si="7"/>
        <v>207</v>
      </c>
      <c r="B210" s="4"/>
      <c r="C210" s="6"/>
      <c r="D210" s="6"/>
      <c r="E210" s="6"/>
      <c r="F210" s="6"/>
    </row>
    <row r="211" spans="1:6" x14ac:dyDescent="0.3">
      <c r="A211">
        <f t="shared" si="7"/>
        <v>208</v>
      </c>
      <c r="B211" s="4"/>
      <c r="C211" s="6"/>
      <c r="D211" s="6"/>
      <c r="E211" s="6"/>
      <c r="F211" s="6"/>
    </row>
    <row r="212" spans="1:6" x14ac:dyDescent="0.3">
      <c r="A212">
        <f t="shared" si="7"/>
        <v>209</v>
      </c>
      <c r="B212" s="4"/>
      <c r="C212" s="6"/>
      <c r="D212" s="6"/>
      <c r="E212" s="6"/>
      <c r="F212" s="6"/>
    </row>
    <row r="213" spans="1:6" x14ac:dyDescent="0.3">
      <c r="A213">
        <f t="shared" si="7"/>
        <v>210</v>
      </c>
      <c r="B213" s="4"/>
      <c r="C213" s="6"/>
      <c r="D213" s="6"/>
      <c r="E213" s="6"/>
      <c r="F213" s="6"/>
    </row>
    <row r="214" spans="1:6" x14ac:dyDescent="0.3">
      <c r="A214">
        <f t="shared" si="7"/>
        <v>211</v>
      </c>
      <c r="B214" s="4"/>
      <c r="C214" s="6"/>
      <c r="D214" s="6"/>
      <c r="E214" s="6"/>
      <c r="F214" s="6"/>
    </row>
    <row r="215" spans="1:6" x14ac:dyDescent="0.3">
      <c r="A215">
        <f t="shared" si="7"/>
        <v>212</v>
      </c>
      <c r="B215" s="4"/>
      <c r="C215" s="6"/>
      <c r="D215" s="6"/>
      <c r="E215" s="6"/>
      <c r="F215" s="6"/>
    </row>
    <row r="216" spans="1:6" x14ac:dyDescent="0.3">
      <c r="A216">
        <f t="shared" si="7"/>
        <v>213</v>
      </c>
      <c r="B216" s="4"/>
      <c r="C216" s="6"/>
      <c r="D216" s="6"/>
      <c r="E216" s="6"/>
      <c r="F216" s="6"/>
    </row>
    <row r="217" spans="1:6" x14ac:dyDescent="0.3">
      <c r="A217">
        <f t="shared" si="7"/>
        <v>214</v>
      </c>
      <c r="B217" s="4"/>
      <c r="C217" s="6"/>
      <c r="D217" s="6"/>
      <c r="E217" s="6"/>
      <c r="F217" s="6"/>
    </row>
    <row r="218" spans="1:6" x14ac:dyDescent="0.3">
      <c r="A218">
        <f t="shared" si="7"/>
        <v>215</v>
      </c>
      <c r="B218" s="4"/>
      <c r="C218" s="6"/>
      <c r="D218" s="6"/>
      <c r="E218" s="6"/>
      <c r="F218" s="6"/>
    </row>
    <row r="219" spans="1:6" x14ac:dyDescent="0.3">
      <c r="A219">
        <f t="shared" si="7"/>
        <v>216</v>
      </c>
      <c r="B219" s="4"/>
      <c r="C219" s="6"/>
      <c r="D219" s="6"/>
      <c r="E219" s="6"/>
      <c r="F219" s="6"/>
    </row>
    <row r="220" spans="1:6" x14ac:dyDescent="0.3">
      <c r="A220">
        <f t="shared" si="7"/>
        <v>217</v>
      </c>
      <c r="B220" s="4"/>
      <c r="C220" s="6"/>
      <c r="D220" s="6"/>
      <c r="E220" s="6"/>
      <c r="F220" s="6"/>
    </row>
    <row r="221" spans="1:6" x14ac:dyDescent="0.3">
      <c r="A221">
        <f t="shared" si="7"/>
        <v>218</v>
      </c>
      <c r="B221" s="4"/>
      <c r="C221" s="6"/>
      <c r="D221" s="6"/>
      <c r="E221" s="6"/>
      <c r="F221" s="6"/>
    </row>
    <row r="222" spans="1:6" x14ac:dyDescent="0.3">
      <c r="A222">
        <f t="shared" si="7"/>
        <v>219</v>
      </c>
      <c r="B222" s="4"/>
      <c r="C222" s="6"/>
      <c r="D222" s="6"/>
      <c r="E222" s="6"/>
      <c r="F222" s="6"/>
    </row>
    <row r="223" spans="1:6" x14ac:dyDescent="0.3">
      <c r="A223">
        <f t="shared" si="7"/>
        <v>220</v>
      </c>
      <c r="B223" s="4"/>
      <c r="C223" s="6"/>
      <c r="D223" s="6"/>
      <c r="E223" s="6"/>
      <c r="F223" s="6"/>
    </row>
    <row r="224" spans="1:6" x14ac:dyDescent="0.3">
      <c r="A224">
        <f t="shared" si="7"/>
        <v>221</v>
      </c>
      <c r="B224" s="4"/>
      <c r="C224" s="6"/>
      <c r="D224" s="6"/>
      <c r="E224" s="6"/>
      <c r="F224" s="6"/>
    </row>
    <row r="225" spans="1:6" x14ac:dyDescent="0.3">
      <c r="A225">
        <f t="shared" si="7"/>
        <v>222</v>
      </c>
      <c r="B225" s="4"/>
      <c r="C225" s="6"/>
      <c r="D225" s="6"/>
      <c r="E225" s="6"/>
      <c r="F225" s="6"/>
    </row>
    <row r="226" spans="1:6" x14ac:dyDescent="0.3">
      <c r="A226">
        <f t="shared" si="7"/>
        <v>223</v>
      </c>
      <c r="B226" s="4"/>
      <c r="C226" s="6"/>
      <c r="D226" s="6"/>
      <c r="E226" s="6"/>
      <c r="F226" s="6"/>
    </row>
    <row r="227" spans="1:6" x14ac:dyDescent="0.3">
      <c r="A227">
        <f t="shared" si="7"/>
        <v>224</v>
      </c>
      <c r="B227" s="4"/>
      <c r="C227" s="6"/>
      <c r="D227" s="6"/>
      <c r="E227" s="6"/>
      <c r="F227" s="6"/>
    </row>
    <row r="228" spans="1:6" x14ac:dyDescent="0.3">
      <c r="A228">
        <f t="shared" si="7"/>
        <v>225</v>
      </c>
      <c r="B228" s="4"/>
      <c r="C228" s="6"/>
      <c r="D228" s="6"/>
      <c r="E228" s="6"/>
      <c r="F228" s="6"/>
    </row>
    <row r="229" spans="1:6" x14ac:dyDescent="0.3">
      <c r="A229">
        <f t="shared" si="7"/>
        <v>226</v>
      </c>
      <c r="B229" s="4"/>
      <c r="C229" s="6"/>
      <c r="D229" s="6"/>
      <c r="E229" s="6"/>
      <c r="F229" s="6"/>
    </row>
    <row r="230" spans="1:6" x14ac:dyDescent="0.3">
      <c r="A230">
        <f t="shared" si="7"/>
        <v>227</v>
      </c>
      <c r="B230" s="4"/>
      <c r="C230" s="6"/>
      <c r="D230" s="6"/>
      <c r="E230" s="6"/>
      <c r="F230" s="6"/>
    </row>
    <row r="231" spans="1:6" x14ac:dyDescent="0.3">
      <c r="A231">
        <f t="shared" si="7"/>
        <v>228</v>
      </c>
      <c r="B231" s="4"/>
      <c r="C231" s="6"/>
      <c r="D231" s="6"/>
      <c r="E231" s="6"/>
      <c r="F231" s="6"/>
    </row>
    <row r="232" spans="1:6" x14ac:dyDescent="0.3">
      <c r="A232">
        <f t="shared" si="7"/>
        <v>229</v>
      </c>
      <c r="B232" s="4"/>
      <c r="C232" s="6"/>
      <c r="D232" s="6"/>
      <c r="E232" s="6"/>
      <c r="F232" s="6"/>
    </row>
    <row r="233" spans="1:6" x14ac:dyDescent="0.3">
      <c r="A233">
        <f t="shared" si="7"/>
        <v>230</v>
      </c>
      <c r="B233" s="4"/>
      <c r="C233" s="6"/>
      <c r="D233" s="6"/>
      <c r="E233" s="6"/>
      <c r="F233" s="6"/>
    </row>
    <row r="234" spans="1:6" x14ac:dyDescent="0.3">
      <c r="A234">
        <f t="shared" si="7"/>
        <v>231</v>
      </c>
      <c r="B234" s="4"/>
      <c r="C234" s="6"/>
      <c r="D234" s="6"/>
      <c r="E234" s="6"/>
      <c r="F234" s="6"/>
    </row>
    <row r="235" spans="1:6" x14ac:dyDescent="0.3">
      <c r="A235">
        <f t="shared" si="7"/>
        <v>232</v>
      </c>
      <c r="B235" s="4"/>
      <c r="C235" s="6"/>
      <c r="D235" s="6"/>
      <c r="E235" s="6"/>
      <c r="F235" s="6"/>
    </row>
    <row r="236" spans="1:6" x14ac:dyDescent="0.3">
      <c r="A236">
        <f t="shared" si="7"/>
        <v>233</v>
      </c>
      <c r="B236" s="4"/>
      <c r="C236" s="6"/>
      <c r="D236" s="6"/>
      <c r="E236" s="6"/>
      <c r="F236" s="6"/>
    </row>
    <row r="237" spans="1:6" x14ac:dyDescent="0.3">
      <c r="A237">
        <f t="shared" si="7"/>
        <v>234</v>
      </c>
      <c r="B237" s="4"/>
      <c r="C237" s="6"/>
      <c r="D237" s="6"/>
      <c r="E237" s="6"/>
      <c r="F237" s="6"/>
    </row>
    <row r="238" spans="1:6" x14ac:dyDescent="0.3">
      <c r="A238">
        <f t="shared" si="7"/>
        <v>235</v>
      </c>
      <c r="B238" s="4"/>
      <c r="C238" s="6"/>
      <c r="D238" s="6"/>
      <c r="E238" s="6"/>
      <c r="F238" s="6"/>
    </row>
    <row r="239" spans="1:6" x14ac:dyDescent="0.3">
      <c r="A239">
        <f t="shared" si="7"/>
        <v>236</v>
      </c>
      <c r="B239" s="4"/>
      <c r="C239" s="6"/>
      <c r="D239" s="6"/>
      <c r="E239" s="6"/>
      <c r="F239" s="6"/>
    </row>
    <row r="240" spans="1:6" x14ac:dyDescent="0.3">
      <c r="A240">
        <f t="shared" si="7"/>
        <v>237</v>
      </c>
      <c r="B240" s="4"/>
      <c r="C240" s="6"/>
      <c r="D240" s="6"/>
      <c r="E240" s="6"/>
      <c r="F240" s="6"/>
    </row>
    <row r="241" spans="1:6" x14ac:dyDescent="0.3">
      <c r="A241">
        <f t="shared" si="7"/>
        <v>238</v>
      </c>
      <c r="B241" s="4"/>
      <c r="C241" s="6"/>
      <c r="D241" s="6"/>
      <c r="E241" s="6"/>
      <c r="F241" s="6"/>
    </row>
    <row r="242" spans="1:6" x14ac:dyDescent="0.3">
      <c r="A242">
        <f t="shared" si="7"/>
        <v>239</v>
      </c>
      <c r="B242" s="4"/>
      <c r="C242" s="6"/>
      <c r="D242" s="6"/>
      <c r="E242" s="6"/>
      <c r="F242" s="6"/>
    </row>
    <row r="243" spans="1:6" x14ac:dyDescent="0.3">
      <c r="A243">
        <f t="shared" si="7"/>
        <v>240</v>
      </c>
      <c r="B243" s="4"/>
      <c r="C243" s="6"/>
      <c r="D243" s="6"/>
      <c r="E243" s="6"/>
      <c r="F243" s="6"/>
    </row>
    <row r="244" spans="1:6" x14ac:dyDescent="0.3">
      <c r="A244">
        <f t="shared" si="7"/>
        <v>241</v>
      </c>
      <c r="B244" s="4"/>
      <c r="C244" s="6"/>
      <c r="D244" s="6"/>
      <c r="E244" s="6"/>
      <c r="F244" s="6"/>
    </row>
    <row r="245" spans="1:6" x14ac:dyDescent="0.3">
      <c r="A245">
        <f t="shared" si="7"/>
        <v>242</v>
      </c>
      <c r="B245" s="4"/>
      <c r="C245" s="6"/>
      <c r="D245" s="6"/>
      <c r="E245" s="6"/>
      <c r="F245" s="6"/>
    </row>
    <row r="246" spans="1:6" x14ac:dyDescent="0.3">
      <c r="A246">
        <f t="shared" si="7"/>
        <v>243</v>
      </c>
      <c r="B246" s="4"/>
      <c r="C246" s="6"/>
      <c r="D246" s="6"/>
      <c r="E246" s="6"/>
      <c r="F246" s="6"/>
    </row>
    <row r="247" spans="1:6" x14ac:dyDescent="0.3">
      <c r="A247">
        <f t="shared" si="7"/>
        <v>244</v>
      </c>
      <c r="B247" s="4"/>
      <c r="C247" s="6"/>
      <c r="D247" s="6"/>
      <c r="E247" s="6"/>
      <c r="F247" s="6"/>
    </row>
    <row r="248" spans="1:6" x14ac:dyDescent="0.3">
      <c r="A248">
        <f t="shared" si="7"/>
        <v>245</v>
      </c>
      <c r="B248" s="4"/>
      <c r="C248" s="6"/>
      <c r="D248" s="6"/>
      <c r="E248" s="6"/>
      <c r="F248" s="6"/>
    </row>
    <row r="249" spans="1:6" x14ac:dyDescent="0.3">
      <c r="A249">
        <f t="shared" si="7"/>
        <v>246</v>
      </c>
      <c r="B249" s="4"/>
      <c r="C249" s="6"/>
      <c r="D249" s="6"/>
      <c r="E249" s="6"/>
      <c r="F249" s="6"/>
    </row>
    <row r="250" spans="1:6" x14ac:dyDescent="0.3">
      <c r="A250">
        <f t="shared" si="7"/>
        <v>247</v>
      </c>
      <c r="B250" s="4"/>
      <c r="C250" s="6"/>
      <c r="D250" s="6"/>
      <c r="E250" s="6"/>
      <c r="F250" s="6"/>
    </row>
    <row r="251" spans="1:6" x14ac:dyDescent="0.3">
      <c r="A251">
        <f t="shared" si="7"/>
        <v>248</v>
      </c>
      <c r="B251" s="4"/>
      <c r="C251" s="6"/>
      <c r="D251" s="6"/>
      <c r="E251" s="6"/>
      <c r="F251" s="6"/>
    </row>
    <row r="252" spans="1:6" x14ac:dyDescent="0.3">
      <c r="A252">
        <f t="shared" si="7"/>
        <v>249</v>
      </c>
      <c r="B252" s="4"/>
      <c r="C252" s="6"/>
      <c r="D252" s="6"/>
      <c r="E252" s="6"/>
      <c r="F252" s="6"/>
    </row>
    <row r="253" spans="1:6" x14ac:dyDescent="0.3">
      <c r="A253">
        <f t="shared" si="7"/>
        <v>250</v>
      </c>
      <c r="B253" s="4"/>
      <c r="C253" s="6"/>
      <c r="D253" s="6"/>
      <c r="E253" s="6"/>
      <c r="F253" s="6"/>
    </row>
    <row r="254" spans="1:6" x14ac:dyDescent="0.3">
      <c r="A254">
        <f t="shared" si="7"/>
        <v>251</v>
      </c>
      <c r="B254" s="4"/>
      <c r="C254" s="6"/>
      <c r="D254" s="6"/>
      <c r="E254" s="6"/>
      <c r="F254" s="6"/>
    </row>
    <row r="255" spans="1:6" x14ac:dyDescent="0.3">
      <c r="A255">
        <f t="shared" si="7"/>
        <v>252</v>
      </c>
      <c r="B255" s="4"/>
      <c r="C255" s="6"/>
      <c r="D255" s="6"/>
      <c r="E255" s="6"/>
      <c r="F255" s="6"/>
    </row>
    <row r="256" spans="1:6" x14ac:dyDescent="0.3">
      <c r="A256">
        <f t="shared" si="7"/>
        <v>253</v>
      </c>
      <c r="B256" s="4"/>
      <c r="C256" s="6"/>
      <c r="D256" s="6"/>
      <c r="E256" s="6"/>
      <c r="F256" s="6"/>
    </row>
    <row r="257" spans="1:6" x14ac:dyDescent="0.3">
      <c r="A257">
        <f t="shared" si="7"/>
        <v>254</v>
      </c>
      <c r="B257" s="4"/>
      <c r="C257" s="6"/>
      <c r="D257" s="6"/>
      <c r="E257" s="6"/>
      <c r="F257" s="6"/>
    </row>
    <row r="258" spans="1:6" x14ac:dyDescent="0.3">
      <c r="A258">
        <f t="shared" si="7"/>
        <v>255</v>
      </c>
      <c r="B258" s="4"/>
      <c r="C258" s="6"/>
      <c r="D258" s="6"/>
      <c r="E258" s="6"/>
      <c r="F258" s="6"/>
    </row>
    <row r="259" spans="1:6" x14ac:dyDescent="0.3">
      <c r="A259">
        <f t="shared" si="7"/>
        <v>256</v>
      </c>
      <c r="B259" s="4"/>
      <c r="C259" s="6"/>
      <c r="D259" s="6"/>
      <c r="E259" s="6"/>
      <c r="F259" s="6"/>
    </row>
    <row r="260" spans="1:6" x14ac:dyDescent="0.3">
      <c r="A260">
        <f t="shared" si="7"/>
        <v>257</v>
      </c>
      <c r="B260" s="4"/>
      <c r="C260" s="6"/>
      <c r="D260" s="6"/>
      <c r="E260" s="6"/>
      <c r="F260" s="6"/>
    </row>
    <row r="261" spans="1:6" x14ac:dyDescent="0.3">
      <c r="A261">
        <f t="shared" ref="A261:A300" si="8">A260+1</f>
        <v>258</v>
      </c>
      <c r="B261" s="4"/>
      <c r="C261" s="6"/>
      <c r="D261" s="6"/>
      <c r="E261" s="6"/>
      <c r="F261" s="6"/>
    </row>
    <row r="262" spans="1:6" x14ac:dyDescent="0.3">
      <c r="A262">
        <f t="shared" si="8"/>
        <v>259</v>
      </c>
      <c r="B262" s="4"/>
      <c r="C262" s="6"/>
      <c r="D262" s="6"/>
      <c r="E262" s="6"/>
      <c r="F262" s="6"/>
    </row>
    <row r="263" spans="1:6" x14ac:dyDescent="0.3">
      <c r="A263">
        <f t="shared" si="8"/>
        <v>260</v>
      </c>
      <c r="B263" s="4"/>
      <c r="C263" s="6"/>
      <c r="D263" s="6"/>
      <c r="E263" s="6"/>
      <c r="F263" s="6"/>
    </row>
    <row r="264" spans="1:6" x14ac:dyDescent="0.3">
      <c r="A264">
        <f t="shared" si="8"/>
        <v>261</v>
      </c>
      <c r="B264" s="4"/>
      <c r="C264" s="6"/>
      <c r="D264" s="6"/>
      <c r="E264" s="6"/>
      <c r="F264" s="6"/>
    </row>
    <row r="265" spans="1:6" x14ac:dyDescent="0.3">
      <c r="A265">
        <f t="shared" si="8"/>
        <v>262</v>
      </c>
      <c r="B265" s="4"/>
      <c r="C265" s="6"/>
      <c r="D265" s="6"/>
      <c r="E265" s="6"/>
      <c r="F265" s="6"/>
    </row>
    <row r="266" spans="1:6" x14ac:dyDescent="0.3">
      <c r="A266">
        <f t="shared" si="8"/>
        <v>263</v>
      </c>
      <c r="B266" s="4"/>
      <c r="C266" s="6"/>
      <c r="D266" s="6"/>
      <c r="E266" s="6"/>
      <c r="F266" s="6"/>
    </row>
    <row r="267" spans="1:6" x14ac:dyDescent="0.3">
      <c r="A267">
        <f t="shared" si="8"/>
        <v>264</v>
      </c>
      <c r="B267" s="4"/>
      <c r="C267" s="6"/>
      <c r="D267" s="6"/>
      <c r="E267" s="6"/>
      <c r="F267" s="6"/>
    </row>
    <row r="268" spans="1:6" x14ac:dyDescent="0.3">
      <c r="A268">
        <f t="shared" si="8"/>
        <v>265</v>
      </c>
      <c r="B268" s="4"/>
      <c r="C268" s="6"/>
      <c r="D268" s="6"/>
      <c r="E268" s="6"/>
      <c r="F268" s="6"/>
    </row>
    <row r="269" spans="1:6" x14ac:dyDescent="0.3">
      <c r="A269">
        <f t="shared" si="8"/>
        <v>266</v>
      </c>
      <c r="B269" s="4"/>
      <c r="C269" s="6"/>
      <c r="D269" s="6"/>
      <c r="E269" s="6"/>
      <c r="F269" s="6"/>
    </row>
    <row r="270" spans="1:6" x14ac:dyDescent="0.3">
      <c r="A270">
        <f t="shared" si="8"/>
        <v>267</v>
      </c>
      <c r="B270" s="4"/>
      <c r="C270" s="6"/>
      <c r="D270" s="6"/>
      <c r="E270" s="6"/>
      <c r="F270" s="6"/>
    </row>
    <row r="271" spans="1:6" x14ac:dyDescent="0.3">
      <c r="A271">
        <f t="shared" si="8"/>
        <v>268</v>
      </c>
      <c r="B271" s="4"/>
      <c r="C271" s="6"/>
      <c r="D271" s="6"/>
      <c r="E271" s="6"/>
      <c r="F271" s="6"/>
    </row>
    <row r="272" spans="1:6" x14ac:dyDescent="0.3">
      <c r="A272">
        <f t="shared" si="8"/>
        <v>269</v>
      </c>
      <c r="B272" s="4"/>
      <c r="C272" s="6"/>
      <c r="D272" s="6"/>
      <c r="E272" s="6"/>
      <c r="F272" s="6"/>
    </row>
    <row r="273" spans="1:6" x14ac:dyDescent="0.3">
      <c r="A273">
        <f t="shared" si="8"/>
        <v>270</v>
      </c>
      <c r="B273" s="4"/>
      <c r="C273" s="6"/>
      <c r="D273" s="6"/>
      <c r="E273" s="6"/>
      <c r="F273" s="6"/>
    </row>
    <row r="274" spans="1:6" x14ac:dyDescent="0.3">
      <c r="A274">
        <f t="shared" si="8"/>
        <v>271</v>
      </c>
      <c r="B274" s="4"/>
      <c r="C274" s="6"/>
      <c r="D274" s="6"/>
      <c r="E274" s="6"/>
      <c r="F274" s="6"/>
    </row>
    <row r="275" spans="1:6" x14ac:dyDescent="0.3">
      <c r="A275">
        <f t="shared" si="8"/>
        <v>272</v>
      </c>
      <c r="B275" s="4"/>
      <c r="C275" s="6"/>
      <c r="D275" s="6"/>
      <c r="E275" s="6"/>
      <c r="F275" s="6"/>
    </row>
    <row r="276" spans="1:6" x14ac:dyDescent="0.3">
      <c r="A276">
        <f t="shared" si="8"/>
        <v>273</v>
      </c>
      <c r="B276" s="4"/>
      <c r="C276" s="6"/>
      <c r="D276" s="6"/>
      <c r="E276" s="6"/>
      <c r="F276" s="6"/>
    </row>
    <row r="277" spans="1:6" x14ac:dyDescent="0.3">
      <c r="A277">
        <f t="shared" si="8"/>
        <v>274</v>
      </c>
      <c r="B277" s="4"/>
      <c r="C277" s="6"/>
      <c r="D277" s="6"/>
      <c r="E277" s="6"/>
      <c r="F277" s="6"/>
    </row>
    <row r="278" spans="1:6" x14ac:dyDescent="0.3">
      <c r="A278">
        <f t="shared" si="8"/>
        <v>275</v>
      </c>
      <c r="B278" s="4"/>
      <c r="C278" s="6"/>
      <c r="D278" s="6"/>
      <c r="E278" s="6"/>
      <c r="F278" s="6"/>
    </row>
    <row r="279" spans="1:6" x14ac:dyDescent="0.3">
      <c r="A279">
        <f t="shared" si="8"/>
        <v>276</v>
      </c>
      <c r="B279" s="4"/>
      <c r="C279" s="6"/>
      <c r="D279" s="6"/>
      <c r="E279" s="6"/>
      <c r="F279" s="6"/>
    </row>
    <row r="280" spans="1:6" x14ac:dyDescent="0.3">
      <c r="A280">
        <f t="shared" si="8"/>
        <v>277</v>
      </c>
      <c r="B280" s="4"/>
      <c r="C280" s="6"/>
      <c r="D280" s="6"/>
      <c r="E280" s="6"/>
      <c r="F280" s="6"/>
    </row>
    <row r="281" spans="1:6" x14ac:dyDescent="0.3">
      <c r="A281">
        <f t="shared" si="8"/>
        <v>278</v>
      </c>
      <c r="B281" s="4"/>
      <c r="C281" s="6"/>
      <c r="D281" s="6"/>
      <c r="E281" s="6"/>
      <c r="F281" s="6"/>
    </row>
    <row r="282" spans="1:6" x14ac:dyDescent="0.3">
      <c r="A282">
        <f t="shared" si="8"/>
        <v>279</v>
      </c>
      <c r="B282" s="4"/>
      <c r="C282" s="6"/>
      <c r="D282" s="6"/>
      <c r="E282" s="6"/>
      <c r="F282" s="6"/>
    </row>
    <row r="283" spans="1:6" x14ac:dyDescent="0.3">
      <c r="A283">
        <f t="shared" si="8"/>
        <v>280</v>
      </c>
      <c r="B283" s="4"/>
      <c r="C283" s="6"/>
      <c r="D283" s="6"/>
      <c r="E283" s="6"/>
      <c r="F283" s="6"/>
    </row>
    <row r="284" spans="1:6" x14ac:dyDescent="0.3">
      <c r="A284">
        <f t="shared" si="8"/>
        <v>281</v>
      </c>
      <c r="B284" s="4"/>
      <c r="C284" s="6"/>
      <c r="D284" s="6"/>
      <c r="E284" s="6"/>
      <c r="F284" s="6"/>
    </row>
    <row r="285" spans="1:6" x14ac:dyDescent="0.3">
      <c r="A285">
        <f t="shared" si="8"/>
        <v>282</v>
      </c>
      <c r="B285" s="4"/>
      <c r="C285" s="6"/>
      <c r="D285" s="6"/>
      <c r="E285" s="6"/>
      <c r="F285" s="6"/>
    </row>
    <row r="286" spans="1:6" x14ac:dyDescent="0.3">
      <c r="A286">
        <f t="shared" si="8"/>
        <v>283</v>
      </c>
      <c r="B286" s="4"/>
      <c r="C286" s="6"/>
      <c r="D286" s="6"/>
      <c r="E286" s="6"/>
      <c r="F286" s="6"/>
    </row>
    <row r="287" spans="1:6" x14ac:dyDescent="0.3">
      <c r="A287">
        <f t="shared" si="8"/>
        <v>284</v>
      </c>
      <c r="B287" s="4"/>
      <c r="C287" s="6"/>
      <c r="D287" s="6"/>
      <c r="E287" s="6"/>
      <c r="F287" s="6"/>
    </row>
    <row r="288" spans="1:6" x14ac:dyDescent="0.3">
      <c r="A288">
        <f t="shared" si="8"/>
        <v>285</v>
      </c>
      <c r="B288" s="4"/>
      <c r="C288" s="6"/>
      <c r="D288" s="6"/>
      <c r="E288" s="6"/>
      <c r="F288" s="6"/>
    </row>
    <row r="289" spans="1:6" x14ac:dyDescent="0.3">
      <c r="A289">
        <f t="shared" si="8"/>
        <v>286</v>
      </c>
      <c r="B289" s="4"/>
      <c r="C289" s="6"/>
      <c r="D289" s="6"/>
      <c r="E289" s="6"/>
      <c r="F289" s="6"/>
    </row>
    <row r="290" spans="1:6" x14ac:dyDescent="0.3">
      <c r="A290">
        <f t="shared" si="8"/>
        <v>287</v>
      </c>
      <c r="B290" s="4"/>
      <c r="C290" s="6"/>
      <c r="D290" s="6"/>
      <c r="E290" s="6"/>
      <c r="F290" s="6"/>
    </row>
    <row r="291" spans="1:6" x14ac:dyDescent="0.3">
      <c r="A291">
        <f t="shared" si="8"/>
        <v>288</v>
      </c>
      <c r="B291" s="4"/>
      <c r="C291" s="6"/>
      <c r="D291" s="6"/>
      <c r="E291" s="6"/>
      <c r="F291" s="6"/>
    </row>
    <row r="292" spans="1:6" x14ac:dyDescent="0.3">
      <c r="A292">
        <f t="shared" si="8"/>
        <v>289</v>
      </c>
      <c r="B292" s="4"/>
      <c r="C292" s="6"/>
      <c r="D292" s="6"/>
      <c r="E292" s="6"/>
      <c r="F292" s="6"/>
    </row>
    <row r="293" spans="1:6" x14ac:dyDescent="0.3">
      <c r="A293">
        <f t="shared" si="8"/>
        <v>290</v>
      </c>
      <c r="B293" s="4"/>
      <c r="C293" s="6"/>
      <c r="D293" s="6"/>
      <c r="E293" s="6"/>
      <c r="F293" s="6"/>
    </row>
    <row r="294" spans="1:6" x14ac:dyDescent="0.3">
      <c r="A294">
        <f t="shared" si="8"/>
        <v>291</v>
      </c>
      <c r="B294" s="4"/>
      <c r="C294" s="6"/>
      <c r="D294" s="6"/>
      <c r="E294" s="6"/>
      <c r="F294" s="6"/>
    </row>
    <row r="295" spans="1:6" x14ac:dyDescent="0.3">
      <c r="A295">
        <f t="shared" si="8"/>
        <v>292</v>
      </c>
      <c r="B295" s="4"/>
      <c r="C295" s="6"/>
      <c r="D295" s="6"/>
      <c r="E295" s="6"/>
      <c r="F295" s="6"/>
    </row>
    <row r="296" spans="1:6" x14ac:dyDescent="0.3">
      <c r="A296">
        <f t="shared" si="8"/>
        <v>293</v>
      </c>
      <c r="B296" s="4"/>
      <c r="C296" s="6"/>
      <c r="D296" s="6"/>
      <c r="E296" s="6"/>
      <c r="F296" s="6"/>
    </row>
    <row r="297" spans="1:6" x14ac:dyDescent="0.3">
      <c r="A297">
        <f t="shared" si="8"/>
        <v>294</v>
      </c>
      <c r="B297" s="4"/>
      <c r="C297" s="6"/>
      <c r="D297" s="6"/>
      <c r="E297" s="6"/>
      <c r="F297" s="6"/>
    </row>
    <row r="298" spans="1:6" x14ac:dyDescent="0.3">
      <c r="A298">
        <f t="shared" si="8"/>
        <v>295</v>
      </c>
      <c r="B298" s="4"/>
      <c r="C298" s="6"/>
      <c r="D298" s="6"/>
      <c r="E298" s="6"/>
      <c r="F298" s="6"/>
    </row>
    <row r="299" spans="1:6" x14ac:dyDescent="0.3">
      <c r="A299">
        <f t="shared" si="8"/>
        <v>296</v>
      </c>
      <c r="B299" s="4"/>
      <c r="C299" s="6"/>
      <c r="D299" s="6"/>
      <c r="E299" s="6"/>
      <c r="F299" s="6"/>
    </row>
    <row r="300" spans="1:6" x14ac:dyDescent="0.3">
      <c r="A300">
        <f t="shared" si="8"/>
        <v>297</v>
      </c>
      <c r="B300" s="4"/>
      <c r="C300" s="6"/>
      <c r="D300" s="6"/>
      <c r="E300" s="6"/>
      <c r="F300" s="6"/>
    </row>
  </sheetData>
  <mergeCells count="1">
    <mergeCell ref="A1:F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8FFF-FD40-4536-8797-C287FF0181D8}">
  <dimension ref="A1:M35"/>
  <sheetViews>
    <sheetView tabSelected="1" workbookViewId="0">
      <selection activeCell="J17" sqref="J17"/>
    </sheetView>
  </sheetViews>
  <sheetFormatPr baseColWidth="10" defaultRowHeight="14.4" x14ac:dyDescent="0.3"/>
  <cols>
    <col min="3" max="3" width="11.88671875" bestFit="1" customWidth="1"/>
    <col min="4" max="4" width="21.33203125" customWidth="1"/>
    <col min="5" max="5" width="16.88671875" bestFit="1" customWidth="1"/>
    <col min="6" max="6" width="16.109375" customWidth="1"/>
  </cols>
  <sheetData>
    <row r="1" spans="1:13" x14ac:dyDescent="0.3">
      <c r="A1" s="9" t="s">
        <v>4</v>
      </c>
      <c r="B1" s="9" t="s">
        <v>39</v>
      </c>
      <c r="C1" s="9" t="s">
        <v>48</v>
      </c>
      <c r="D1" s="9" t="s">
        <v>47</v>
      </c>
      <c r="E1" s="9" t="s">
        <v>46</v>
      </c>
      <c r="F1" s="9" t="s">
        <v>46</v>
      </c>
      <c r="I1" t="s">
        <v>43</v>
      </c>
      <c r="J1" t="s">
        <v>44</v>
      </c>
    </row>
    <row r="2" spans="1:13" x14ac:dyDescent="0.3">
      <c r="A2">
        <v>0</v>
      </c>
      <c r="B2" s="4">
        <v>100</v>
      </c>
      <c r="C2">
        <f>B2*(1+$M$3)^(-A2)</f>
        <v>100</v>
      </c>
      <c r="D2">
        <f>A2*B2 *(1+$M$3)^(-A2-1)</f>
        <v>0</v>
      </c>
      <c r="E2">
        <f>A2*(A2+1)*B2*(1+$M$3)^(-A2-2)</f>
        <v>0</v>
      </c>
      <c r="F2">
        <f>A2^2*B2*(1+$M$3)^(-A2)</f>
        <v>0</v>
      </c>
      <c r="L2" t="s">
        <v>7</v>
      </c>
    </row>
    <row r="3" spans="1:13" x14ac:dyDescent="0.3">
      <c r="A3">
        <f>A2+1</f>
        <v>1</v>
      </c>
      <c r="B3" s="4">
        <v>120</v>
      </c>
      <c r="C3">
        <f t="shared" ref="C3:C35" si="0">B3*(1+$M$3)^(-A3)</f>
        <v>114.28571428571428</v>
      </c>
      <c r="D3">
        <f t="shared" ref="D3:D35" si="1">A3*B3 *(1+$M$3)^(-A3-1)</f>
        <v>108.84353741496598</v>
      </c>
      <c r="E3">
        <f t="shared" ref="E3:F35" si="2">A3*(A3+1)*B3*(1+$M$3)^(-A3-2)</f>
        <v>207.32102364755426</v>
      </c>
      <c r="F3">
        <f t="shared" ref="F3:F35" si="3">A3^2*B3*(1+$M$3)^(-A3)</f>
        <v>114.28571428571428</v>
      </c>
      <c r="L3" t="s">
        <v>1</v>
      </c>
      <c r="M3" s="4">
        <v>0.05</v>
      </c>
    </row>
    <row r="4" spans="1:13" x14ac:dyDescent="0.3">
      <c r="A4">
        <f t="shared" ref="A4:A35" si="4">A3+1</f>
        <v>2</v>
      </c>
      <c r="B4" s="4">
        <v>20</v>
      </c>
      <c r="C4">
        <f t="shared" si="0"/>
        <v>18.140589569160998</v>
      </c>
      <c r="D4">
        <f t="shared" si="1"/>
        <v>34.553503941259038</v>
      </c>
      <c r="E4">
        <f t="shared" si="2"/>
        <v>98.724296975025837</v>
      </c>
      <c r="F4">
        <f t="shared" si="3"/>
        <v>72.562358276643991</v>
      </c>
    </row>
    <row r="5" spans="1:13" x14ac:dyDescent="0.3">
      <c r="A5">
        <f t="shared" si="4"/>
        <v>3</v>
      </c>
      <c r="B5" s="4">
        <v>1020</v>
      </c>
      <c r="C5">
        <f t="shared" si="0"/>
        <v>881.11435050210548</v>
      </c>
      <c r="D5">
        <f t="shared" si="1"/>
        <v>2517.4695728631586</v>
      </c>
      <c r="E5">
        <f t="shared" si="2"/>
        <v>9590.3602775739382</v>
      </c>
      <c r="F5">
        <f t="shared" si="3"/>
        <v>7930.0291545189502</v>
      </c>
      <c r="L5" s="7" t="s">
        <v>40</v>
      </c>
    </row>
    <row r="6" spans="1:13" x14ac:dyDescent="0.3">
      <c r="A6">
        <f t="shared" si="4"/>
        <v>4</v>
      </c>
      <c r="B6" s="4">
        <v>-2000</v>
      </c>
      <c r="C6">
        <f t="shared" si="0"/>
        <v>-1645.4049495837639</v>
      </c>
      <c r="D6">
        <f t="shared" si="1"/>
        <v>-6268.209331747672</v>
      </c>
      <c r="E6">
        <f t="shared" si="2"/>
        <v>-29848.615865465104</v>
      </c>
      <c r="F6">
        <f t="shared" si="3"/>
        <v>-26326.479193340223</v>
      </c>
      <c r="L6" s="7">
        <f>SUM(D2:D35)/SUM(C2:C35)</f>
        <v>12.516816493205896</v>
      </c>
    </row>
    <row r="7" spans="1:13" x14ac:dyDescent="0.3">
      <c r="A7">
        <f t="shared" si="4"/>
        <v>5</v>
      </c>
      <c r="B7" s="4">
        <v>134</v>
      </c>
      <c r="C7">
        <f t="shared" si="0"/>
        <v>104.99250630677351</v>
      </c>
      <c r="D7">
        <f t="shared" si="1"/>
        <v>499.96431574654048</v>
      </c>
      <c r="E7">
        <f t="shared" si="2"/>
        <v>2856.9389471230884</v>
      </c>
      <c r="F7">
        <f t="shared" si="3"/>
        <v>2624.8126576693376</v>
      </c>
      <c r="L7" s="7" t="s">
        <v>41</v>
      </c>
    </row>
    <row r="8" spans="1:13" x14ac:dyDescent="0.3">
      <c r="A8">
        <f t="shared" si="4"/>
        <v>6</v>
      </c>
      <c r="B8" s="4">
        <v>1414</v>
      </c>
      <c r="C8">
        <f t="shared" si="0"/>
        <v>1055.1485708441915</v>
      </c>
      <c r="D8">
        <f t="shared" si="1"/>
        <v>6029.4204048239508</v>
      </c>
      <c r="E8">
        <f t="shared" si="2"/>
        <v>40196.136032159673</v>
      </c>
      <c r="F8">
        <f t="shared" si="3"/>
        <v>37985.348550390889</v>
      </c>
      <c r="L8" s="7">
        <f>SUM(D2:D35) *(1+M3)/SUM(C2:C35)</f>
        <v>13.14265731786619</v>
      </c>
    </row>
    <row r="9" spans="1:13" x14ac:dyDescent="0.3">
      <c r="A9">
        <f t="shared" si="4"/>
        <v>7</v>
      </c>
      <c r="B9" s="4">
        <v>24</v>
      </c>
      <c r="C9">
        <f t="shared" si="0"/>
        <v>17.056351923122914</v>
      </c>
      <c r="D9">
        <f t="shared" si="1"/>
        <v>113.70901282081945</v>
      </c>
      <c r="E9">
        <f t="shared" si="2"/>
        <v>866.35438339671953</v>
      </c>
      <c r="F9">
        <f t="shared" si="3"/>
        <v>835.76124423302281</v>
      </c>
      <c r="L9" s="7" t="s">
        <v>45</v>
      </c>
    </row>
    <row r="10" spans="1:13" x14ac:dyDescent="0.3">
      <c r="A10">
        <f t="shared" si="4"/>
        <v>8</v>
      </c>
      <c r="B10" s="4">
        <v>525</v>
      </c>
      <c r="C10">
        <f t="shared" si="0"/>
        <v>355.34066506506076</v>
      </c>
      <c r="D10">
        <f t="shared" si="1"/>
        <v>2707.3574481147484</v>
      </c>
      <c r="E10">
        <f t="shared" si="2"/>
        <v>23205.920983840701</v>
      </c>
      <c r="F10">
        <f t="shared" si="3"/>
        <v>22741.802564163889</v>
      </c>
      <c r="L10" s="7">
        <f>SUM(E2:E35)/SUM(C2:C35)</f>
        <v>295.93710379836529</v>
      </c>
    </row>
    <row r="11" spans="1:13" x14ac:dyDescent="0.3">
      <c r="A11">
        <f t="shared" si="4"/>
        <v>9</v>
      </c>
      <c r="B11" s="4">
        <v>0</v>
      </c>
      <c r="C11">
        <f t="shared" si="0"/>
        <v>0</v>
      </c>
      <c r="D11">
        <f t="shared" si="1"/>
        <v>0</v>
      </c>
      <c r="E11">
        <f t="shared" si="2"/>
        <v>0</v>
      </c>
      <c r="F11">
        <f t="shared" si="3"/>
        <v>0</v>
      </c>
      <c r="L11" s="7" t="s">
        <v>42</v>
      </c>
    </row>
    <row r="12" spans="1:13" x14ac:dyDescent="0.3">
      <c r="A12">
        <f t="shared" si="4"/>
        <v>10</v>
      </c>
      <c r="B12" s="4">
        <v>0</v>
      </c>
      <c r="C12">
        <f t="shared" si="0"/>
        <v>0</v>
      </c>
      <c r="D12">
        <f t="shared" si="1"/>
        <v>0</v>
      </c>
      <c r="E12">
        <f t="shared" si="2"/>
        <v>0</v>
      </c>
      <c r="F12">
        <f t="shared" si="3"/>
        <v>0</v>
      </c>
      <c r="L12" s="7">
        <f>SUM(F2:F35)/SUM(C2:C35)</f>
        <v>313.12799961983154</v>
      </c>
    </row>
    <row r="13" spans="1:13" x14ac:dyDescent="0.3">
      <c r="A13">
        <f t="shared" si="4"/>
        <v>11</v>
      </c>
      <c r="B13" s="4">
        <v>0</v>
      </c>
      <c r="C13">
        <f t="shared" si="0"/>
        <v>0</v>
      </c>
      <c r="D13">
        <f t="shared" si="1"/>
        <v>0</v>
      </c>
      <c r="E13">
        <f t="shared" si="2"/>
        <v>0</v>
      </c>
      <c r="F13">
        <f t="shared" si="3"/>
        <v>0</v>
      </c>
    </row>
    <row r="14" spans="1:13" x14ac:dyDescent="0.3">
      <c r="A14">
        <f t="shared" si="4"/>
        <v>12</v>
      </c>
      <c r="B14" s="4">
        <v>0</v>
      </c>
      <c r="C14">
        <f t="shared" si="0"/>
        <v>0</v>
      </c>
      <c r="D14">
        <f t="shared" si="1"/>
        <v>0</v>
      </c>
      <c r="E14">
        <f t="shared" si="2"/>
        <v>0</v>
      </c>
      <c r="F14">
        <f t="shared" si="3"/>
        <v>0</v>
      </c>
    </row>
    <row r="15" spans="1:13" x14ac:dyDescent="0.3">
      <c r="A15">
        <f t="shared" si="4"/>
        <v>13</v>
      </c>
      <c r="B15" s="4">
        <v>0</v>
      </c>
      <c r="C15">
        <f t="shared" si="0"/>
        <v>0</v>
      </c>
      <c r="D15">
        <f t="shared" si="1"/>
        <v>0</v>
      </c>
      <c r="E15">
        <f t="shared" si="2"/>
        <v>0</v>
      </c>
      <c r="F15">
        <f t="shared" si="3"/>
        <v>0</v>
      </c>
    </row>
    <row r="16" spans="1:13" x14ac:dyDescent="0.3">
      <c r="A16">
        <f t="shared" si="4"/>
        <v>14</v>
      </c>
      <c r="B16" s="4">
        <v>0</v>
      </c>
      <c r="C16">
        <f t="shared" si="0"/>
        <v>0</v>
      </c>
      <c r="D16">
        <f t="shared" si="1"/>
        <v>0</v>
      </c>
      <c r="E16">
        <f t="shared" si="2"/>
        <v>0</v>
      </c>
      <c r="F16">
        <f t="shared" si="3"/>
        <v>0</v>
      </c>
    </row>
    <row r="17" spans="1:6" x14ac:dyDescent="0.3">
      <c r="A17">
        <f t="shared" si="4"/>
        <v>15</v>
      </c>
      <c r="B17" s="4">
        <v>0</v>
      </c>
      <c r="C17">
        <f t="shared" si="0"/>
        <v>0</v>
      </c>
      <c r="D17">
        <f t="shared" si="1"/>
        <v>0</v>
      </c>
      <c r="E17">
        <f t="shared" si="2"/>
        <v>0</v>
      </c>
      <c r="F17">
        <f t="shared" si="3"/>
        <v>0</v>
      </c>
    </row>
    <row r="18" spans="1:6" x14ac:dyDescent="0.3">
      <c r="A18">
        <f t="shared" si="4"/>
        <v>16</v>
      </c>
      <c r="B18" s="4">
        <v>0</v>
      </c>
      <c r="C18">
        <f t="shared" si="0"/>
        <v>0</v>
      </c>
      <c r="D18">
        <f t="shared" si="1"/>
        <v>0</v>
      </c>
      <c r="E18">
        <f t="shared" si="2"/>
        <v>0</v>
      </c>
      <c r="F18">
        <f t="shared" si="3"/>
        <v>0</v>
      </c>
    </row>
    <row r="19" spans="1:6" x14ac:dyDescent="0.3">
      <c r="A19">
        <f t="shared" si="4"/>
        <v>17</v>
      </c>
      <c r="B19" s="4">
        <v>0</v>
      </c>
      <c r="C19">
        <f t="shared" si="0"/>
        <v>0</v>
      </c>
      <c r="D19">
        <f t="shared" si="1"/>
        <v>0</v>
      </c>
      <c r="E19">
        <f t="shared" si="2"/>
        <v>0</v>
      </c>
      <c r="F19">
        <f t="shared" si="3"/>
        <v>0</v>
      </c>
    </row>
    <row r="20" spans="1:6" x14ac:dyDescent="0.3">
      <c r="A20">
        <f t="shared" si="4"/>
        <v>18</v>
      </c>
      <c r="B20" s="4">
        <v>0</v>
      </c>
      <c r="C20">
        <f t="shared" si="0"/>
        <v>0</v>
      </c>
      <c r="D20">
        <f t="shared" si="1"/>
        <v>0</v>
      </c>
      <c r="E20">
        <f t="shared" si="2"/>
        <v>0</v>
      </c>
      <c r="F20">
        <f t="shared" si="3"/>
        <v>0</v>
      </c>
    </row>
    <row r="21" spans="1:6" x14ac:dyDescent="0.3">
      <c r="A21">
        <f t="shared" si="4"/>
        <v>19</v>
      </c>
      <c r="B21" s="4">
        <v>0</v>
      </c>
      <c r="C21">
        <f t="shared" si="0"/>
        <v>0</v>
      </c>
      <c r="D21">
        <f t="shared" si="1"/>
        <v>0</v>
      </c>
      <c r="E21">
        <f t="shared" si="2"/>
        <v>0</v>
      </c>
      <c r="F21">
        <f t="shared" si="3"/>
        <v>0</v>
      </c>
    </row>
    <row r="22" spans="1:6" x14ac:dyDescent="0.3">
      <c r="A22">
        <f t="shared" si="4"/>
        <v>20</v>
      </c>
      <c r="B22" s="4">
        <v>0</v>
      </c>
      <c r="C22">
        <f t="shared" si="0"/>
        <v>0</v>
      </c>
      <c r="D22">
        <f t="shared" si="1"/>
        <v>0</v>
      </c>
      <c r="E22">
        <f t="shared" si="2"/>
        <v>0</v>
      </c>
      <c r="F22">
        <f t="shared" si="3"/>
        <v>0</v>
      </c>
    </row>
    <row r="23" spans="1:6" x14ac:dyDescent="0.3">
      <c r="A23">
        <f t="shared" si="4"/>
        <v>21</v>
      </c>
      <c r="B23" s="4">
        <v>0</v>
      </c>
      <c r="C23">
        <f t="shared" si="0"/>
        <v>0</v>
      </c>
      <c r="D23">
        <f t="shared" si="1"/>
        <v>0</v>
      </c>
      <c r="E23">
        <f t="shared" si="2"/>
        <v>0</v>
      </c>
      <c r="F23">
        <f t="shared" si="3"/>
        <v>0</v>
      </c>
    </row>
    <row r="24" spans="1:6" x14ac:dyDescent="0.3">
      <c r="A24">
        <f t="shared" si="4"/>
        <v>22</v>
      </c>
      <c r="B24" s="4">
        <v>0</v>
      </c>
      <c r="C24">
        <f t="shared" si="0"/>
        <v>0</v>
      </c>
      <c r="D24">
        <f t="shared" si="1"/>
        <v>0</v>
      </c>
      <c r="E24">
        <f t="shared" si="2"/>
        <v>0</v>
      </c>
      <c r="F24">
        <f t="shared" si="3"/>
        <v>0</v>
      </c>
    </row>
    <row r="25" spans="1:6" x14ac:dyDescent="0.3">
      <c r="A25">
        <f t="shared" si="4"/>
        <v>23</v>
      </c>
      <c r="B25" s="4">
        <v>0</v>
      </c>
      <c r="C25">
        <f t="shared" si="0"/>
        <v>0</v>
      </c>
      <c r="D25">
        <f t="shared" si="1"/>
        <v>0</v>
      </c>
      <c r="E25">
        <f t="shared" si="2"/>
        <v>0</v>
      </c>
      <c r="F25">
        <f t="shared" si="3"/>
        <v>0</v>
      </c>
    </row>
    <row r="26" spans="1:6" x14ac:dyDescent="0.3">
      <c r="A26">
        <f t="shared" si="4"/>
        <v>24</v>
      </c>
      <c r="B26" s="4">
        <v>0</v>
      </c>
      <c r="C26">
        <f t="shared" si="0"/>
        <v>0</v>
      </c>
      <c r="D26">
        <f t="shared" si="1"/>
        <v>0</v>
      </c>
      <c r="E26">
        <f t="shared" si="2"/>
        <v>0</v>
      </c>
      <c r="F26">
        <f t="shared" si="3"/>
        <v>0</v>
      </c>
    </row>
    <row r="27" spans="1:6" x14ac:dyDescent="0.3">
      <c r="A27">
        <f t="shared" si="4"/>
        <v>25</v>
      </c>
      <c r="B27" s="4">
        <v>0</v>
      </c>
      <c r="C27">
        <f t="shared" si="0"/>
        <v>0</v>
      </c>
      <c r="D27">
        <f t="shared" si="1"/>
        <v>0</v>
      </c>
      <c r="E27">
        <f t="shared" si="2"/>
        <v>0</v>
      </c>
      <c r="F27">
        <f t="shared" si="3"/>
        <v>0</v>
      </c>
    </row>
    <row r="28" spans="1:6" x14ac:dyDescent="0.3">
      <c r="A28">
        <f t="shared" si="4"/>
        <v>26</v>
      </c>
      <c r="B28" s="4">
        <v>0</v>
      </c>
      <c r="C28">
        <f t="shared" si="0"/>
        <v>0</v>
      </c>
      <c r="D28">
        <f t="shared" si="1"/>
        <v>0</v>
      </c>
      <c r="E28">
        <f t="shared" si="2"/>
        <v>0</v>
      </c>
      <c r="F28">
        <f t="shared" si="3"/>
        <v>0</v>
      </c>
    </row>
    <row r="29" spans="1:6" x14ac:dyDescent="0.3">
      <c r="A29">
        <f t="shared" si="4"/>
        <v>27</v>
      </c>
      <c r="B29" s="4">
        <v>0</v>
      </c>
      <c r="C29">
        <f t="shared" si="0"/>
        <v>0</v>
      </c>
      <c r="D29">
        <f t="shared" si="1"/>
        <v>0</v>
      </c>
      <c r="E29">
        <f t="shared" si="2"/>
        <v>0</v>
      </c>
      <c r="F29">
        <f t="shared" si="3"/>
        <v>0</v>
      </c>
    </row>
    <row r="30" spans="1:6" x14ac:dyDescent="0.3">
      <c r="A30">
        <f t="shared" si="4"/>
        <v>28</v>
      </c>
      <c r="B30" s="4">
        <v>0</v>
      </c>
      <c r="C30">
        <f t="shared" si="0"/>
        <v>0</v>
      </c>
      <c r="D30">
        <f t="shared" si="1"/>
        <v>0</v>
      </c>
      <c r="E30">
        <f t="shared" si="2"/>
        <v>0</v>
      </c>
      <c r="F30">
        <f t="shared" si="3"/>
        <v>0</v>
      </c>
    </row>
    <row r="31" spans="1:6" x14ac:dyDescent="0.3">
      <c r="A31">
        <f t="shared" si="4"/>
        <v>29</v>
      </c>
      <c r="B31" s="4">
        <v>0</v>
      </c>
      <c r="C31">
        <f t="shared" si="0"/>
        <v>0</v>
      </c>
      <c r="D31">
        <f t="shared" si="1"/>
        <v>0</v>
      </c>
      <c r="E31">
        <f t="shared" si="2"/>
        <v>0</v>
      </c>
      <c r="F31">
        <f t="shared" si="3"/>
        <v>0</v>
      </c>
    </row>
    <row r="32" spans="1:6" x14ac:dyDescent="0.3">
      <c r="A32">
        <f t="shared" si="4"/>
        <v>30</v>
      </c>
      <c r="B32" s="4">
        <v>0</v>
      </c>
      <c r="C32">
        <f t="shared" si="0"/>
        <v>0</v>
      </c>
      <c r="D32">
        <f t="shared" si="1"/>
        <v>0</v>
      </c>
      <c r="E32">
        <f t="shared" si="2"/>
        <v>0</v>
      </c>
      <c r="F32">
        <f t="shared" si="3"/>
        <v>0</v>
      </c>
    </row>
    <row r="33" spans="1:6" x14ac:dyDescent="0.3">
      <c r="A33">
        <f t="shared" si="4"/>
        <v>31</v>
      </c>
      <c r="B33" s="4">
        <v>0</v>
      </c>
      <c r="C33">
        <f t="shared" si="0"/>
        <v>0</v>
      </c>
      <c r="D33">
        <f t="shared" si="1"/>
        <v>0</v>
      </c>
      <c r="E33">
        <f t="shared" si="2"/>
        <v>0</v>
      </c>
      <c r="F33">
        <f t="shared" si="3"/>
        <v>0</v>
      </c>
    </row>
    <row r="34" spans="1:6" x14ac:dyDescent="0.3">
      <c r="A34">
        <f t="shared" si="4"/>
        <v>32</v>
      </c>
      <c r="B34" s="4">
        <v>2000</v>
      </c>
      <c r="C34">
        <f t="shared" si="0"/>
        <v>419.73233316255431</v>
      </c>
      <c r="D34">
        <f t="shared" si="1"/>
        <v>12791.842534477846</v>
      </c>
      <c r="E34">
        <f t="shared" si="2"/>
        <v>402029.33679787518</v>
      </c>
      <c r="F34">
        <f t="shared" si="3"/>
        <v>429805.90915845562</v>
      </c>
    </row>
    <row r="35" spans="1:6" x14ac:dyDescent="0.3">
      <c r="A35">
        <f t="shared" si="4"/>
        <v>33</v>
      </c>
      <c r="B35" s="4">
        <v>-200</v>
      </c>
      <c r="C35">
        <f t="shared" si="0"/>
        <v>-39.974507920243269</v>
      </c>
      <c r="D35">
        <f t="shared" si="1"/>
        <v>-1256.3416774933598</v>
      </c>
      <c r="E35">
        <f t="shared" si="2"/>
        <v>-40681.540033118312</v>
      </c>
      <c r="F35">
        <f t="shared" si="3"/>
        <v>-43532.239125144923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Intérêt</vt:lpstr>
      <vt:lpstr>Equations Valeur Temporelle</vt:lpstr>
      <vt:lpstr>Annuités</vt:lpstr>
      <vt:lpstr>Prêts</vt:lpstr>
      <vt:lpstr>Duration, Convexité, immun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Chevalier</dc:creator>
  <cp:lastModifiedBy>Dominik Chevalier</cp:lastModifiedBy>
  <dcterms:created xsi:type="dcterms:W3CDTF">2025-03-25T00:27:26Z</dcterms:created>
  <dcterms:modified xsi:type="dcterms:W3CDTF">2025-03-25T02:38:04Z</dcterms:modified>
</cp:coreProperties>
</file>