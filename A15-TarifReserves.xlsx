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9c8639e63a457/projets_pro/ICA/Capstone/Templates_Codes_XL/"/>
    </mc:Choice>
  </mc:AlternateContent>
  <xr:revisionPtr revIDLastSave="1057" documentId="8_{4D345AC6-9B4C-4585-8546-D63B2EB51A8D}" xr6:coauthVersionLast="47" xr6:coauthVersionMax="47" xr10:uidLastSave="{4876BCD9-E681-47A7-BE7A-B89BB476A9A7}"/>
  <bookViews>
    <workbookView xWindow="-28920" yWindow="-3045" windowWidth="29040" windowHeight="15720" activeTab="1" xr2:uid="{BE163844-3C76-4A75-8C83-A4B658021935}"/>
  </bookViews>
  <sheets>
    <sheet name="Reserves" sheetId="6" r:id="rId1"/>
    <sheet name="Feuil2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7" l="1"/>
  <c r="I4" i="7"/>
  <c r="G4" i="7"/>
  <c r="E4" i="7"/>
  <c r="M60" i="6"/>
  <c r="M61" i="6" s="1"/>
  <c r="M62" i="6" s="1"/>
  <c r="M63" i="6" s="1"/>
  <c r="M64" i="6" s="1"/>
  <c r="M65" i="6" s="1"/>
  <c r="M66" i="6" s="1"/>
  <c r="M67" i="6" s="1"/>
  <c r="M68" i="6" s="1"/>
  <c r="M69" i="6" s="1"/>
  <c r="M70" i="6" s="1"/>
  <c r="M71" i="6" s="1"/>
  <c r="M72" i="6" s="1"/>
  <c r="M73" i="6" s="1"/>
  <c r="M74" i="6" s="1"/>
  <c r="M75" i="6" s="1"/>
  <c r="M76" i="6" s="1"/>
  <c r="M77" i="6" s="1"/>
  <c r="M78" i="6" s="1"/>
  <c r="M79" i="6" s="1"/>
  <c r="M80" i="6" s="1"/>
  <c r="M81" i="6" s="1"/>
  <c r="O58" i="6"/>
  <c r="P58" i="6" s="1"/>
  <c r="Q58" i="6" s="1"/>
  <c r="R58" i="6" s="1"/>
  <c r="S58" i="6" s="1"/>
  <c r="T58" i="6" s="1"/>
  <c r="U58" i="6" s="1"/>
  <c r="V58" i="6" s="1"/>
  <c r="O31" i="6"/>
  <c r="P31" i="6" s="1"/>
  <c r="Q31" i="6" s="1"/>
  <c r="R31" i="6" s="1"/>
  <c r="S31" i="6" s="1"/>
  <c r="T31" i="6" s="1"/>
  <c r="U31" i="6" s="1"/>
  <c r="V31" i="6" s="1"/>
  <c r="A33" i="6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C31" i="6"/>
  <c r="D31" i="6" s="1"/>
  <c r="E31" i="6" s="1"/>
  <c r="F31" i="6" s="1"/>
  <c r="G31" i="6" s="1"/>
  <c r="H31" i="6" s="1"/>
  <c r="I31" i="6" s="1"/>
  <c r="J31" i="6" s="1"/>
  <c r="N5" i="6"/>
  <c r="O5" i="6" s="1"/>
  <c r="P5" i="6" s="1"/>
  <c r="Q5" i="6" s="1"/>
  <c r="D33" i="6" s="1"/>
  <c r="N6" i="6"/>
  <c r="O6" i="6" s="1"/>
  <c r="P6" i="6" s="1"/>
  <c r="C34" i="6" s="1"/>
  <c r="N7" i="6"/>
  <c r="O7" i="6" s="1"/>
  <c r="B35" i="6" s="1"/>
  <c r="N8" i="6"/>
  <c r="N63" i="6" s="1"/>
  <c r="N4" i="6"/>
  <c r="O4" i="6" s="1"/>
  <c r="P4" i="6" s="1"/>
  <c r="Q4" i="6" s="1"/>
  <c r="R4" i="6" s="1"/>
  <c r="Q32" i="6" s="1"/>
  <c r="M5" i="6"/>
  <c r="M6" i="6" s="1"/>
  <c r="M7" i="6" s="1"/>
  <c r="M8" i="6" s="1"/>
  <c r="M9" i="6" s="1"/>
  <c r="M10" i="6" s="1"/>
  <c r="M11" i="6" s="1"/>
  <c r="M12" i="6" s="1"/>
  <c r="M13" i="6" s="1"/>
  <c r="M14" i="6" s="1"/>
  <c r="M15" i="6" s="1"/>
  <c r="M16" i="6" s="1"/>
  <c r="M17" i="6" s="1"/>
  <c r="M18" i="6" s="1"/>
  <c r="M19" i="6" s="1"/>
  <c r="M20" i="6" s="1"/>
  <c r="M21" i="6" s="1"/>
  <c r="M22" i="6" s="1"/>
  <c r="M23" i="6" s="1"/>
  <c r="M24" i="6" s="1"/>
  <c r="M25" i="6" s="1"/>
  <c r="M26" i="6" s="1"/>
  <c r="O3" i="6"/>
  <c r="P3" i="6" s="1"/>
  <c r="Q3" i="6" s="1"/>
  <c r="R3" i="6" s="1"/>
  <c r="S3" i="6" s="1"/>
  <c r="T3" i="6" s="1"/>
  <c r="U3" i="6" s="1"/>
  <c r="V3" i="6" s="1"/>
  <c r="C3" i="6"/>
  <c r="D3" i="6" s="1"/>
  <c r="E3" i="6" s="1"/>
  <c r="F3" i="6" s="1"/>
  <c r="G3" i="6" s="1"/>
  <c r="H3" i="6" s="1"/>
  <c r="I3" i="6" s="1"/>
  <c r="J3" i="6" s="1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J7" i="7" l="1"/>
  <c r="J8" i="7" s="1"/>
  <c r="F7" i="7"/>
  <c r="O62" i="6"/>
  <c r="P61" i="6"/>
  <c r="O59" i="6"/>
  <c r="O61" i="6"/>
  <c r="P60" i="6"/>
  <c r="R59" i="6"/>
  <c r="P59" i="6"/>
  <c r="Q60" i="6"/>
  <c r="R60" i="6" s="1"/>
  <c r="W60" i="6" s="1"/>
  <c r="O60" i="6"/>
  <c r="N61" i="6"/>
  <c r="Q59" i="6"/>
  <c r="N59" i="6"/>
  <c r="N62" i="6"/>
  <c r="N60" i="6"/>
  <c r="P32" i="6"/>
  <c r="O32" i="6"/>
  <c r="N32" i="6"/>
  <c r="O63" i="6" s="1"/>
  <c r="E32" i="6"/>
  <c r="C33" i="6"/>
  <c r="D32" i="6"/>
  <c r="C32" i="6"/>
  <c r="B34" i="6"/>
  <c r="B33" i="6"/>
  <c r="B32" i="6"/>
  <c r="P63" i="6" l="1"/>
  <c r="Q63" i="6" s="1"/>
  <c r="R63" i="6" s="1"/>
  <c r="W63" i="6" s="1"/>
  <c r="P62" i="6"/>
  <c r="Q62" i="6" s="1"/>
  <c r="R62" i="6" s="1"/>
  <c r="W62" i="6" s="1"/>
  <c r="Q61" i="6"/>
  <c r="R61" i="6" s="1"/>
  <c r="W61" i="6" s="1"/>
  <c r="W58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Dominik Chevalier</author>
  </authors>
  <commentList>
    <comment ref="F4" authorId="0" shapeId="0" xr:uid="{B8CAC396-3FC3-4AAA-A8D9-D152CB591584}">
      <text>
        <r>
          <rPr>
            <b/>
            <sz val="9"/>
            <color indexed="81"/>
            <rFont val="Tahoma"/>
            <family val="2"/>
          </rPr>
          <t>Dominik Chevalier:</t>
        </r>
        <r>
          <rPr>
            <sz val="9"/>
            <color indexed="81"/>
            <rFont val="Tahoma"/>
            <family val="2"/>
          </rPr>
          <t xml:space="preserve">
(inclus dans pertes totales mais parfois faut les ajouter)</t>
        </r>
      </text>
    </comment>
    <comment ref="J4" authorId="0" shapeId="0" xr:uid="{68FBD202-3F5C-41EC-A6C8-A5A0E8C9B0D1}">
      <text>
        <r>
          <rPr>
            <b/>
            <sz val="9"/>
            <color indexed="81"/>
            <rFont val="Tahoma"/>
            <family val="2"/>
          </rPr>
          <t>Dominik Chevalier:</t>
        </r>
        <r>
          <rPr>
            <sz val="9"/>
            <color indexed="81"/>
            <rFont val="Tahoma"/>
            <family val="2"/>
          </rPr>
          <t xml:space="preserve">
(inclus dans pertes totales mais parfois faut les ajouter)</t>
        </r>
      </text>
    </comment>
    <comment ref="A7" authorId="0" shapeId="0" xr:uid="{C8428167-C6FD-422E-B51C-80556E45D9D9}">
      <text>
        <r>
          <rPr>
            <b/>
            <sz val="9"/>
            <color indexed="81"/>
            <rFont val="Tahoma"/>
            <family val="2"/>
          </rPr>
          <t>Dominik Chevalier:</t>
        </r>
        <r>
          <rPr>
            <sz val="9"/>
            <color indexed="81"/>
            <rFont val="Tahoma"/>
            <family val="2"/>
          </rPr>
          <t xml:space="preserve">
1 - variable expense ratio - profit and contingencies ratio</t>
        </r>
      </text>
    </comment>
  </commentList>
</comments>
</file>

<file path=xl/sharedStrings.xml><?xml version="1.0" encoding="utf-8"?>
<sst xmlns="http://schemas.openxmlformats.org/spreadsheetml/2006/main" count="33" uniqueCount="25">
  <si>
    <t>Hypothèses</t>
  </si>
  <si>
    <t>Année d'accident</t>
  </si>
  <si>
    <t>Développement (mois)</t>
  </si>
  <si>
    <t>Triangle incrémental</t>
  </si>
  <si>
    <t>Triangle cumulatif (À UTILISER POUR CHAIN-LADDER)</t>
  </si>
  <si>
    <t>Facteurs âge à âge (MACK AU BESOIN)</t>
  </si>
  <si>
    <t>Facteurs de développement (CHAIN-LADDER)</t>
  </si>
  <si>
    <t>Triangle développé (Chain-Ladder)</t>
  </si>
  <si>
    <t>Réserve</t>
  </si>
  <si>
    <t>Pertes totales (au taux courant et développées)</t>
  </si>
  <si>
    <t>Unités d'exposition acquises</t>
  </si>
  <si>
    <t>Primes acquises (au taux courant)</t>
  </si>
  <si>
    <t>Taux de prime actuel</t>
  </si>
  <si>
    <t>Frais fixes totaux</t>
  </si>
  <si>
    <t>PLR (permissible loss ratio)</t>
  </si>
  <si>
    <t>Méthode de la prime pure (pure premium method/loss cost method)</t>
  </si>
  <si>
    <t>Prime pure</t>
  </si>
  <si>
    <t>Frais de règlement de sinistres par unité</t>
  </si>
  <si>
    <t>Frais fixed de souscription par unité</t>
  </si>
  <si>
    <t>Prime indiquée</t>
  </si>
  <si>
    <t>Méthode du ratio de perte</t>
  </si>
  <si>
    <t>Loss Ratio</t>
  </si>
  <si>
    <t>Ratio de frais</t>
  </si>
  <si>
    <t>Facteur de prime indiqué</t>
  </si>
  <si>
    <t>Augmentation indiquée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</si>
</sst>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5" formatCode="_-&quot;$&quot;* #,##0_-;\-&quot;$&quot;* #,##0_-;_-&quot;$&quot;* &quot;-&quot;??_-;_-@_-"/>
    <numFmt numFmtId="171" formatCode="_-* #,##0.000_-;\-* #,##0.0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9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3" borderId="0" xfId="0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5" borderId="0" xfId="0" applyFont="1" applyFill="1"/>
    <xf numFmtId="0" fontId="7" fillId="5" borderId="0" xfId="0" applyFont="1" applyFill="1"/>
    <xf numFmtId="0" fontId="0" fillId="5" borderId="0" xfId="0" applyFill="1"/>
    <xf numFmtId="0" fontId="8" fillId="0" borderId="0" xfId="0" applyFont="1"/>
    <xf numFmtId="0" fontId="4" fillId="0" borderId="0" xfId="0" applyFont="1"/>
    <xf numFmtId="165" fontId="0" fillId="3" borderId="0" xfId="1" applyNumberFormat="1" applyFont="1" applyFill="1"/>
    <xf numFmtId="44" fontId="0" fillId="3" borderId="0" xfId="1" applyFont="1" applyFill="1"/>
    <xf numFmtId="10" fontId="0" fillId="0" borderId="0" xfId="3" applyNumberFormat="1" applyFont="1"/>
    <xf numFmtId="171" fontId="0" fillId="3" borderId="0" xfId="2" applyNumberFormat="1" applyFont="1" applyFill="1"/>
  </cellXfs>
  <cellStyles count="4">
    <cellStyle name="Milliers" xfId="2" builtinId="3"/>
    <cellStyle name="Monétaire" xfId="1" builtinId="4"/>
    <cellStyle name="Normal" xfId="0" builtinId="0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FF6E-4DE1-4C8A-AB01-D6A56F5DB9BA}">
  <dimension ref="A1:W81"/>
  <sheetViews>
    <sheetView workbookViewId="0">
      <selection activeCell="C14" sqref="C14"/>
    </sheetView>
  </sheetViews>
  <sheetFormatPr baseColWidth="10" defaultRowHeight="14.4" x14ac:dyDescent="0.3"/>
  <cols>
    <col min="1" max="1" width="14.77734375" bestFit="1" customWidth="1"/>
    <col min="23" max="23" width="12.44140625" bestFit="1" customWidth="1"/>
  </cols>
  <sheetData>
    <row r="1" spans="1:22" x14ac:dyDescent="0.3">
      <c r="A1" s="4" t="s">
        <v>3</v>
      </c>
      <c r="B1" s="4"/>
      <c r="C1" s="4"/>
      <c r="D1" s="4"/>
      <c r="E1" s="4"/>
      <c r="F1" s="4"/>
      <c r="G1" s="4"/>
      <c r="H1" s="4"/>
      <c r="I1" s="4"/>
      <c r="J1" s="4"/>
      <c r="M1" s="4" t="s">
        <v>4</v>
      </c>
      <c r="N1" s="4"/>
      <c r="O1" s="4"/>
      <c r="P1" s="4"/>
      <c r="Q1" s="4"/>
      <c r="R1" s="4"/>
      <c r="S1" s="4"/>
      <c r="T1" s="4"/>
      <c r="U1" s="4"/>
      <c r="V1" s="4"/>
    </row>
    <row r="2" spans="1:22" x14ac:dyDescent="0.3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M2" s="2" t="s">
        <v>1</v>
      </c>
      <c r="N2" s="3" t="s">
        <v>2</v>
      </c>
      <c r="O2" s="3"/>
      <c r="P2" s="3"/>
      <c r="Q2" s="3"/>
      <c r="R2" s="3"/>
      <c r="S2" s="3"/>
      <c r="T2" s="3"/>
      <c r="U2" s="3"/>
      <c r="V2" s="3"/>
    </row>
    <row r="3" spans="1:22" x14ac:dyDescent="0.3">
      <c r="A3" s="7"/>
      <c r="B3" s="7">
        <v>12</v>
      </c>
      <c r="C3" s="7">
        <f>B3+12</f>
        <v>24</v>
      </c>
      <c r="D3" s="7">
        <f t="shared" ref="D3:J3" si="0">C3+12</f>
        <v>36</v>
      </c>
      <c r="E3" s="7">
        <f t="shared" si="0"/>
        <v>48</v>
      </c>
      <c r="F3" s="7">
        <f t="shared" si="0"/>
        <v>60</v>
      </c>
      <c r="G3" s="7">
        <f t="shared" si="0"/>
        <v>72</v>
      </c>
      <c r="H3" s="7">
        <f t="shared" si="0"/>
        <v>84</v>
      </c>
      <c r="I3" s="7">
        <f t="shared" si="0"/>
        <v>96</v>
      </c>
      <c r="J3" s="7">
        <f t="shared" si="0"/>
        <v>108</v>
      </c>
      <c r="M3" s="7"/>
      <c r="N3" s="7">
        <v>12</v>
      </c>
      <c r="O3" s="7">
        <f>N3+12</f>
        <v>24</v>
      </c>
      <c r="P3" s="7">
        <f t="shared" ref="P3:V3" si="1">O3+12</f>
        <v>36</v>
      </c>
      <c r="Q3" s="7">
        <f t="shared" si="1"/>
        <v>48</v>
      </c>
      <c r="R3" s="7">
        <f t="shared" si="1"/>
        <v>60</v>
      </c>
      <c r="S3" s="7">
        <f t="shared" si="1"/>
        <v>72</v>
      </c>
      <c r="T3" s="7">
        <f t="shared" si="1"/>
        <v>84</v>
      </c>
      <c r="U3" s="7">
        <f t="shared" si="1"/>
        <v>96</v>
      </c>
      <c r="V3" s="7">
        <f t="shared" si="1"/>
        <v>108</v>
      </c>
    </row>
    <row r="4" spans="1:22" x14ac:dyDescent="0.3">
      <c r="A4" s="5">
        <v>1997</v>
      </c>
      <c r="B4">
        <v>26312</v>
      </c>
      <c r="C4">
        <v>31467</v>
      </c>
      <c r="D4">
        <v>24672</v>
      </c>
      <c r="E4">
        <v>13055</v>
      </c>
      <c r="F4">
        <v>6158</v>
      </c>
      <c r="M4" s="5">
        <v>1997</v>
      </c>
      <c r="N4">
        <f>B4</f>
        <v>26312</v>
      </c>
      <c r="O4">
        <f>N4+C4</f>
        <v>57779</v>
      </c>
      <c r="P4">
        <f>O4+D4</f>
        <v>82451</v>
      </c>
      <c r="Q4">
        <f>P4+E4</f>
        <v>95506</v>
      </c>
      <c r="R4">
        <f>Q4+F4</f>
        <v>101664</v>
      </c>
    </row>
    <row r="5" spans="1:22" x14ac:dyDescent="0.3">
      <c r="A5" s="6">
        <f>A4+1</f>
        <v>1998</v>
      </c>
      <c r="B5">
        <v>30470</v>
      </c>
      <c r="C5">
        <v>35012</v>
      </c>
      <c r="D5">
        <v>25491</v>
      </c>
      <c r="E5">
        <v>12589</v>
      </c>
      <c r="M5" s="6">
        <f>M4+1</f>
        <v>1998</v>
      </c>
      <c r="N5">
        <f>B5</f>
        <v>30470</v>
      </c>
      <c r="O5">
        <f>N5+C5</f>
        <v>65482</v>
      </c>
      <c r="P5">
        <f>O5+D5</f>
        <v>90973</v>
      </c>
      <c r="Q5">
        <f>P5+E5</f>
        <v>103562</v>
      </c>
    </row>
    <row r="6" spans="1:22" x14ac:dyDescent="0.3">
      <c r="A6" s="6">
        <f t="shared" ref="A6:A26" si="2">A5+1</f>
        <v>1999</v>
      </c>
      <c r="B6">
        <v>49756</v>
      </c>
      <c r="C6">
        <v>51831</v>
      </c>
      <c r="D6">
        <v>35267</v>
      </c>
      <c r="M6" s="6">
        <f t="shared" ref="M6:M26" si="3">M5+1</f>
        <v>1999</v>
      </c>
      <c r="N6">
        <f>B6</f>
        <v>49756</v>
      </c>
      <c r="O6">
        <f>N6+C6</f>
        <v>101587</v>
      </c>
      <c r="P6">
        <f>O6+D6</f>
        <v>136854</v>
      </c>
    </row>
    <row r="7" spans="1:22" x14ac:dyDescent="0.3">
      <c r="A7" s="6">
        <f t="shared" si="2"/>
        <v>2000</v>
      </c>
      <c r="B7">
        <v>50420</v>
      </c>
      <c r="C7">
        <v>52315</v>
      </c>
      <c r="M7" s="6">
        <f t="shared" si="3"/>
        <v>2000</v>
      </c>
      <c r="N7">
        <f>B7</f>
        <v>50420</v>
      </c>
      <c r="O7">
        <f>N7+C7</f>
        <v>102735</v>
      </c>
    </row>
    <row r="8" spans="1:22" x14ac:dyDescent="0.3">
      <c r="A8" s="6">
        <f t="shared" si="2"/>
        <v>2001</v>
      </c>
      <c r="B8">
        <v>56762</v>
      </c>
      <c r="M8" s="6">
        <f t="shared" si="3"/>
        <v>2001</v>
      </c>
      <c r="N8">
        <f>B8</f>
        <v>56762</v>
      </c>
    </row>
    <row r="9" spans="1:22" x14ac:dyDescent="0.3">
      <c r="A9" s="6">
        <f t="shared" si="2"/>
        <v>2002</v>
      </c>
      <c r="M9" s="6">
        <f t="shared" si="3"/>
        <v>2002</v>
      </c>
    </row>
    <row r="10" spans="1:22" x14ac:dyDescent="0.3">
      <c r="A10" s="6">
        <f t="shared" si="2"/>
        <v>2003</v>
      </c>
      <c r="M10" s="6">
        <f t="shared" si="3"/>
        <v>2003</v>
      </c>
    </row>
    <row r="11" spans="1:22" x14ac:dyDescent="0.3">
      <c r="A11" s="6">
        <f t="shared" si="2"/>
        <v>2004</v>
      </c>
      <c r="M11" s="6">
        <f t="shared" si="3"/>
        <v>2004</v>
      </c>
    </row>
    <row r="12" spans="1:22" x14ac:dyDescent="0.3">
      <c r="A12" s="6">
        <f t="shared" si="2"/>
        <v>2005</v>
      </c>
      <c r="M12" s="6">
        <f t="shared" si="3"/>
        <v>2005</v>
      </c>
    </row>
    <row r="13" spans="1:22" x14ac:dyDescent="0.3">
      <c r="A13" s="6">
        <f t="shared" si="2"/>
        <v>2006</v>
      </c>
      <c r="M13" s="6">
        <f t="shared" si="3"/>
        <v>2006</v>
      </c>
    </row>
    <row r="14" spans="1:22" x14ac:dyDescent="0.3">
      <c r="A14" s="6">
        <f t="shared" si="2"/>
        <v>2007</v>
      </c>
      <c r="M14" s="6">
        <f t="shared" si="3"/>
        <v>2007</v>
      </c>
    </row>
    <row r="15" spans="1:22" x14ac:dyDescent="0.3">
      <c r="A15" s="6">
        <f t="shared" si="2"/>
        <v>2008</v>
      </c>
      <c r="M15" s="6">
        <f t="shared" si="3"/>
        <v>2008</v>
      </c>
    </row>
    <row r="16" spans="1:22" x14ac:dyDescent="0.3">
      <c r="A16" s="6">
        <f t="shared" si="2"/>
        <v>2009</v>
      </c>
      <c r="M16" s="6">
        <f t="shared" si="3"/>
        <v>2009</v>
      </c>
    </row>
    <row r="17" spans="1:22" x14ac:dyDescent="0.3">
      <c r="A17" s="6">
        <f t="shared" si="2"/>
        <v>2010</v>
      </c>
      <c r="M17" s="6">
        <f t="shared" si="3"/>
        <v>2010</v>
      </c>
    </row>
    <row r="18" spans="1:22" x14ac:dyDescent="0.3">
      <c r="A18" s="6">
        <f t="shared" si="2"/>
        <v>2011</v>
      </c>
      <c r="M18" s="6">
        <f t="shared" si="3"/>
        <v>2011</v>
      </c>
    </row>
    <row r="19" spans="1:22" x14ac:dyDescent="0.3">
      <c r="A19" s="6">
        <f t="shared" si="2"/>
        <v>2012</v>
      </c>
      <c r="M19" s="6">
        <f t="shared" si="3"/>
        <v>2012</v>
      </c>
    </row>
    <row r="20" spans="1:22" x14ac:dyDescent="0.3">
      <c r="A20" s="6">
        <f t="shared" si="2"/>
        <v>2013</v>
      </c>
      <c r="M20" s="6">
        <f t="shared" si="3"/>
        <v>2013</v>
      </c>
    </row>
    <row r="21" spans="1:22" x14ac:dyDescent="0.3">
      <c r="A21" s="6">
        <f t="shared" si="2"/>
        <v>2014</v>
      </c>
      <c r="M21" s="6">
        <f t="shared" si="3"/>
        <v>2014</v>
      </c>
    </row>
    <row r="22" spans="1:22" x14ac:dyDescent="0.3">
      <c r="A22" s="6">
        <f t="shared" si="2"/>
        <v>2015</v>
      </c>
      <c r="M22" s="6">
        <f t="shared" si="3"/>
        <v>2015</v>
      </c>
    </row>
    <row r="23" spans="1:22" x14ac:dyDescent="0.3">
      <c r="A23" s="6">
        <f t="shared" si="2"/>
        <v>2016</v>
      </c>
      <c r="M23" s="6">
        <f t="shared" si="3"/>
        <v>2016</v>
      </c>
    </row>
    <row r="24" spans="1:22" x14ac:dyDescent="0.3">
      <c r="A24" s="6">
        <f t="shared" si="2"/>
        <v>2017</v>
      </c>
      <c r="M24" s="6">
        <f t="shared" si="3"/>
        <v>2017</v>
      </c>
    </row>
    <row r="25" spans="1:22" x14ac:dyDescent="0.3">
      <c r="A25" s="6">
        <f t="shared" si="2"/>
        <v>2018</v>
      </c>
      <c r="M25" s="6">
        <f t="shared" si="3"/>
        <v>2018</v>
      </c>
    </row>
    <row r="26" spans="1:22" x14ac:dyDescent="0.3">
      <c r="A26" s="6">
        <f t="shared" si="2"/>
        <v>2019</v>
      </c>
      <c r="M26" s="6">
        <f t="shared" si="3"/>
        <v>2019</v>
      </c>
    </row>
    <row r="29" spans="1:22" x14ac:dyDescent="0.3">
      <c r="A29" s="4" t="s">
        <v>5</v>
      </c>
      <c r="B29" s="4"/>
      <c r="C29" s="4"/>
      <c r="D29" s="4"/>
      <c r="E29" s="4"/>
      <c r="F29" s="4"/>
      <c r="G29" s="4"/>
      <c r="H29" s="4"/>
      <c r="I29" s="4"/>
      <c r="J29" s="4"/>
      <c r="M29" s="4" t="s">
        <v>6</v>
      </c>
      <c r="N29" s="4"/>
      <c r="O29" s="4"/>
      <c r="P29" s="4"/>
      <c r="Q29" s="4"/>
      <c r="R29" s="4"/>
      <c r="S29" s="4"/>
      <c r="T29" s="4"/>
      <c r="U29" s="4"/>
      <c r="V29" s="4"/>
    </row>
    <row r="30" spans="1:22" x14ac:dyDescent="0.3">
      <c r="A30" s="2" t="s">
        <v>1</v>
      </c>
      <c r="B30" s="3" t="s">
        <v>2</v>
      </c>
      <c r="C30" s="3"/>
      <c r="D30" s="3"/>
      <c r="E30" s="3"/>
      <c r="F30" s="3"/>
      <c r="G30" s="3"/>
      <c r="H30" s="3"/>
      <c r="I30" s="3"/>
      <c r="J30" s="3"/>
      <c r="M30" s="2" t="s">
        <v>1</v>
      </c>
      <c r="N30" s="3" t="s">
        <v>2</v>
      </c>
      <c r="O30" s="3"/>
      <c r="P30" s="3"/>
      <c r="Q30" s="3"/>
      <c r="R30" s="3"/>
      <c r="S30" s="3"/>
      <c r="T30" s="3"/>
      <c r="U30" s="3"/>
      <c r="V30" s="3"/>
    </row>
    <row r="31" spans="1:22" x14ac:dyDescent="0.3">
      <c r="A31" s="7"/>
      <c r="B31" s="7">
        <v>12</v>
      </c>
      <c r="C31" s="7">
        <f>B31+12</f>
        <v>24</v>
      </c>
      <c r="D31" s="7">
        <f t="shared" ref="D31:J31" si="4">C31+12</f>
        <v>36</v>
      </c>
      <c r="E31" s="7">
        <f t="shared" si="4"/>
        <v>48</v>
      </c>
      <c r="F31" s="7">
        <f t="shared" si="4"/>
        <v>60</v>
      </c>
      <c r="G31" s="7">
        <f t="shared" si="4"/>
        <v>72</v>
      </c>
      <c r="H31" s="7">
        <f t="shared" si="4"/>
        <v>84</v>
      </c>
      <c r="I31" s="7">
        <f t="shared" si="4"/>
        <v>96</v>
      </c>
      <c r="J31" s="7">
        <f t="shared" si="4"/>
        <v>108</v>
      </c>
      <c r="M31" s="7"/>
      <c r="N31" s="7">
        <v>12</v>
      </c>
      <c r="O31" s="7">
        <f>N31+12</f>
        <v>24</v>
      </c>
      <c r="P31" s="7">
        <f t="shared" ref="P31:V31" si="5">O31+12</f>
        <v>36</v>
      </c>
      <c r="Q31" s="7">
        <f t="shared" si="5"/>
        <v>48</v>
      </c>
      <c r="R31" s="7">
        <f t="shared" si="5"/>
        <v>60</v>
      </c>
      <c r="S31" s="7">
        <f t="shared" si="5"/>
        <v>72</v>
      </c>
      <c r="T31" s="7">
        <f t="shared" si="5"/>
        <v>84</v>
      </c>
      <c r="U31" s="7">
        <f t="shared" si="5"/>
        <v>96</v>
      </c>
      <c r="V31" s="7">
        <f t="shared" si="5"/>
        <v>108</v>
      </c>
    </row>
    <row r="32" spans="1:22" x14ac:dyDescent="0.3">
      <c r="A32" s="5">
        <v>1997</v>
      </c>
      <c r="B32">
        <f>O4/N4</f>
        <v>2.1959182122225602</v>
      </c>
      <c r="C32">
        <f t="shared" ref="C32:E34" si="6">P4/O4</f>
        <v>1.4270063517887122</v>
      </c>
      <c r="D32">
        <f t="shared" si="6"/>
        <v>1.1583364665073801</v>
      </c>
      <c r="E32">
        <f t="shared" si="6"/>
        <v>1.0644776244424434</v>
      </c>
      <c r="N32">
        <f>SUM(O4:O7)/SUM(N4:N7)</f>
        <v>2.0870742491621961</v>
      </c>
      <c r="O32">
        <f>SUM(P4:P6)/SUM(O4:O6)</f>
        <v>1.3799455632249342</v>
      </c>
      <c r="P32">
        <f>SUM(Q4:Q5)/SUM(P4:P5)</f>
        <v>1.1478688070855245</v>
      </c>
      <c r="Q32">
        <f>SUM(R4)/SUM(Q4)</f>
        <v>1.0644776244424434</v>
      </c>
    </row>
    <row r="33" spans="1:4" x14ac:dyDescent="0.3">
      <c r="A33" s="6">
        <f>A32+1</f>
        <v>1998</v>
      </c>
      <c r="B33">
        <f t="shared" ref="B33:B35" si="7">O5/N5</f>
        <v>2.1490646537577947</v>
      </c>
      <c r="C33">
        <f t="shared" si="6"/>
        <v>1.3892825509300266</v>
      </c>
      <c r="D33">
        <f t="shared" si="6"/>
        <v>1.1383817176524904</v>
      </c>
    </row>
    <row r="34" spans="1:4" x14ac:dyDescent="0.3">
      <c r="A34" s="6">
        <f t="shared" ref="A34:A54" si="8">A33+1</f>
        <v>1999</v>
      </c>
      <c r="B34">
        <f t="shared" si="7"/>
        <v>2.0417035131441432</v>
      </c>
      <c r="C34">
        <f t="shared" si="6"/>
        <v>1.3471605618829181</v>
      </c>
    </row>
    <row r="35" spans="1:4" x14ac:dyDescent="0.3">
      <c r="A35" s="6">
        <f t="shared" si="8"/>
        <v>2000</v>
      </c>
      <c r="B35">
        <f t="shared" si="7"/>
        <v>2.0375842919476397</v>
      </c>
    </row>
    <row r="36" spans="1:4" x14ac:dyDescent="0.3">
      <c r="A36" s="6">
        <f t="shared" si="8"/>
        <v>2001</v>
      </c>
    </row>
    <row r="37" spans="1:4" x14ac:dyDescent="0.3">
      <c r="A37" s="6">
        <f t="shared" si="8"/>
        <v>2002</v>
      </c>
    </row>
    <row r="38" spans="1:4" x14ac:dyDescent="0.3">
      <c r="A38" s="6">
        <f t="shared" si="8"/>
        <v>2003</v>
      </c>
    </row>
    <row r="39" spans="1:4" x14ac:dyDescent="0.3">
      <c r="A39" s="6">
        <f t="shared" si="8"/>
        <v>2004</v>
      </c>
    </row>
    <row r="40" spans="1:4" x14ac:dyDescent="0.3">
      <c r="A40" s="6">
        <f t="shared" si="8"/>
        <v>2005</v>
      </c>
    </row>
    <row r="41" spans="1:4" x14ac:dyDescent="0.3">
      <c r="A41" s="6">
        <f t="shared" si="8"/>
        <v>2006</v>
      </c>
    </row>
    <row r="42" spans="1:4" x14ac:dyDescent="0.3">
      <c r="A42" s="6">
        <f t="shared" si="8"/>
        <v>2007</v>
      </c>
    </row>
    <row r="43" spans="1:4" x14ac:dyDescent="0.3">
      <c r="A43" s="6">
        <f t="shared" si="8"/>
        <v>2008</v>
      </c>
    </row>
    <row r="44" spans="1:4" x14ac:dyDescent="0.3">
      <c r="A44" s="6">
        <f t="shared" si="8"/>
        <v>2009</v>
      </c>
    </row>
    <row r="45" spans="1:4" x14ac:dyDescent="0.3">
      <c r="A45" s="6">
        <f t="shared" si="8"/>
        <v>2010</v>
      </c>
    </row>
    <row r="46" spans="1:4" x14ac:dyDescent="0.3">
      <c r="A46" s="6">
        <f t="shared" si="8"/>
        <v>2011</v>
      </c>
    </row>
    <row r="47" spans="1:4" x14ac:dyDescent="0.3">
      <c r="A47" s="6">
        <f t="shared" si="8"/>
        <v>2012</v>
      </c>
    </row>
    <row r="48" spans="1:4" x14ac:dyDescent="0.3">
      <c r="A48" s="6">
        <f t="shared" si="8"/>
        <v>2013</v>
      </c>
    </row>
    <row r="49" spans="1:23" x14ac:dyDescent="0.3">
      <c r="A49" s="6">
        <f t="shared" si="8"/>
        <v>2014</v>
      </c>
    </row>
    <row r="50" spans="1:23" x14ac:dyDescent="0.3">
      <c r="A50" s="6">
        <f t="shared" si="8"/>
        <v>2015</v>
      </c>
    </row>
    <row r="51" spans="1:23" x14ac:dyDescent="0.3">
      <c r="A51" s="6">
        <f t="shared" si="8"/>
        <v>2016</v>
      </c>
    </row>
    <row r="52" spans="1:23" x14ac:dyDescent="0.3">
      <c r="A52" s="6">
        <f t="shared" si="8"/>
        <v>2017</v>
      </c>
    </row>
    <row r="53" spans="1:23" x14ac:dyDescent="0.3">
      <c r="A53" s="6">
        <f t="shared" si="8"/>
        <v>2018</v>
      </c>
    </row>
    <row r="54" spans="1:23" x14ac:dyDescent="0.3">
      <c r="A54" s="6">
        <f t="shared" si="8"/>
        <v>2019</v>
      </c>
    </row>
    <row r="56" spans="1:23" x14ac:dyDescent="0.3">
      <c r="M56" s="4" t="s">
        <v>7</v>
      </c>
      <c r="N56" s="4"/>
      <c r="O56" s="4"/>
      <c r="P56" s="4"/>
      <c r="Q56" s="4"/>
      <c r="R56" s="4"/>
      <c r="S56" s="4"/>
      <c r="T56" s="4"/>
      <c r="U56" s="4"/>
      <c r="V56" s="4"/>
    </row>
    <row r="57" spans="1:23" x14ac:dyDescent="0.3">
      <c r="M57" s="2" t="s">
        <v>1</v>
      </c>
      <c r="N57" s="3" t="s">
        <v>2</v>
      </c>
      <c r="O57" s="3"/>
      <c r="P57" s="3"/>
      <c r="Q57" s="3"/>
      <c r="R57" s="3"/>
      <c r="S57" s="3"/>
      <c r="T57" s="3"/>
      <c r="U57" s="3"/>
      <c r="V57" s="3"/>
      <c r="W57" t="s">
        <v>8</v>
      </c>
    </row>
    <row r="58" spans="1:23" x14ac:dyDescent="0.3">
      <c r="M58" s="7"/>
      <c r="N58" s="7">
        <v>12</v>
      </c>
      <c r="O58" s="7">
        <f>N58+12</f>
        <v>24</v>
      </c>
      <c r="P58" s="7">
        <f t="shared" ref="P58:V58" si="9">O58+12</f>
        <v>36</v>
      </c>
      <c r="Q58" s="7">
        <f t="shared" si="9"/>
        <v>48</v>
      </c>
      <c r="R58" s="7">
        <f t="shared" si="9"/>
        <v>60</v>
      </c>
      <c r="S58" s="7">
        <f t="shared" si="9"/>
        <v>72</v>
      </c>
      <c r="T58" s="7">
        <f t="shared" si="9"/>
        <v>84</v>
      </c>
      <c r="U58" s="7">
        <f t="shared" si="9"/>
        <v>96</v>
      </c>
      <c r="V58" s="7">
        <f t="shared" si="9"/>
        <v>108</v>
      </c>
      <c r="W58" s="10">
        <f>SUM(W59:W81)</f>
        <v>250519.92115558102</v>
      </c>
    </row>
    <row r="59" spans="1:23" x14ac:dyDescent="0.3">
      <c r="M59" s="5">
        <v>1997</v>
      </c>
      <c r="N59" s="8">
        <f>N4</f>
        <v>26312</v>
      </c>
      <c r="O59" s="8">
        <f t="shared" ref="O59:R59" si="10">O4</f>
        <v>57779</v>
      </c>
      <c r="P59" s="8">
        <f t="shared" si="10"/>
        <v>82451</v>
      </c>
      <c r="Q59" s="8">
        <f t="shared" si="10"/>
        <v>95506</v>
      </c>
      <c r="R59" s="8">
        <f t="shared" si="10"/>
        <v>101664</v>
      </c>
    </row>
    <row r="60" spans="1:23" x14ac:dyDescent="0.3">
      <c r="M60" s="6">
        <f>M59+1</f>
        <v>1998</v>
      </c>
      <c r="N60" s="8">
        <f t="shared" ref="N60:Q63" si="11">N5</f>
        <v>30470</v>
      </c>
      <c r="O60" s="8">
        <f t="shared" si="11"/>
        <v>65482</v>
      </c>
      <c r="P60" s="8">
        <f t="shared" si="11"/>
        <v>90973</v>
      </c>
      <c r="Q60" s="8">
        <f t="shared" si="11"/>
        <v>103562</v>
      </c>
      <c r="R60" s="9">
        <f>Q60*$Q$32</f>
        <v>110239.43174250833</v>
      </c>
      <c r="W60">
        <f>R60-Q60</f>
        <v>6677.4317425083282</v>
      </c>
    </row>
    <row r="61" spans="1:23" x14ac:dyDescent="0.3">
      <c r="M61" s="6">
        <f t="shared" ref="M61:M81" si="12">M60+1</f>
        <v>1999</v>
      </c>
      <c r="N61" s="8">
        <f t="shared" si="11"/>
        <v>49756</v>
      </c>
      <c r="O61" s="8">
        <f t="shared" si="11"/>
        <v>101587</v>
      </c>
      <c r="P61" s="8">
        <f t="shared" si="11"/>
        <v>136854</v>
      </c>
      <c r="Q61">
        <f>P61*$P$32</f>
        <v>157090.43772488239</v>
      </c>
      <c r="R61" s="9">
        <f t="shared" ref="R61:R63" si="13">Q61*$Q$32</f>
        <v>167219.25597200639</v>
      </c>
      <c r="W61">
        <f>R61-P61</f>
        <v>30365.255972006387</v>
      </c>
    </row>
    <row r="62" spans="1:23" x14ac:dyDescent="0.3">
      <c r="M62" s="6">
        <f t="shared" si="12"/>
        <v>2000</v>
      </c>
      <c r="N62" s="8">
        <f t="shared" si="11"/>
        <v>50420</v>
      </c>
      <c r="O62" s="8">
        <f t="shared" si="11"/>
        <v>102735</v>
      </c>
      <c r="P62">
        <f>O62*$O$32</f>
        <v>141768.70743791363</v>
      </c>
      <c r="Q62">
        <f t="shared" ref="Q62:Q63" si="14">P62*$P$32</f>
        <v>162731.87708881465</v>
      </c>
      <c r="R62" s="9">
        <f t="shared" si="13"/>
        <v>173224.44194456111</v>
      </c>
      <c r="W62">
        <f>R62-O62</f>
        <v>70489.441944561113</v>
      </c>
    </row>
    <row r="63" spans="1:23" x14ac:dyDescent="0.3">
      <c r="M63" s="6">
        <f t="shared" si="12"/>
        <v>2001</v>
      </c>
      <c r="N63" s="8">
        <f t="shared" si="11"/>
        <v>56762</v>
      </c>
      <c r="O63" s="9">
        <f>N63*$N$32</f>
        <v>118466.50853094457</v>
      </c>
      <c r="P63">
        <f>O63*$O$32</f>
        <v>163477.33283802579</v>
      </c>
      <c r="Q63">
        <f t="shared" si="14"/>
        <v>187650.5310303079</v>
      </c>
      <c r="R63" s="9">
        <f t="shared" si="13"/>
        <v>199749.79149650518</v>
      </c>
      <c r="W63">
        <f>R63-N63</f>
        <v>142987.79149650518</v>
      </c>
    </row>
    <row r="64" spans="1:23" x14ac:dyDescent="0.3">
      <c r="M64" s="6">
        <f t="shared" si="12"/>
        <v>2002</v>
      </c>
    </row>
    <row r="65" spans="13:13" x14ac:dyDescent="0.3">
      <c r="M65" s="6">
        <f t="shared" si="12"/>
        <v>2003</v>
      </c>
    </row>
    <row r="66" spans="13:13" x14ac:dyDescent="0.3">
      <c r="M66" s="6">
        <f t="shared" si="12"/>
        <v>2004</v>
      </c>
    </row>
    <row r="67" spans="13:13" x14ac:dyDescent="0.3">
      <c r="M67" s="6">
        <f t="shared" si="12"/>
        <v>2005</v>
      </c>
    </row>
    <row r="68" spans="13:13" x14ac:dyDescent="0.3">
      <c r="M68" s="6">
        <f t="shared" si="12"/>
        <v>2006</v>
      </c>
    </row>
    <row r="69" spans="13:13" x14ac:dyDescent="0.3">
      <c r="M69" s="6">
        <f t="shared" si="12"/>
        <v>2007</v>
      </c>
    </row>
    <row r="70" spans="13:13" x14ac:dyDescent="0.3">
      <c r="M70" s="6">
        <f t="shared" si="12"/>
        <v>2008</v>
      </c>
    </row>
    <row r="71" spans="13:13" x14ac:dyDescent="0.3">
      <c r="M71" s="6">
        <f t="shared" si="12"/>
        <v>2009</v>
      </c>
    </row>
    <row r="72" spans="13:13" x14ac:dyDescent="0.3">
      <c r="M72" s="6">
        <f t="shared" si="12"/>
        <v>2010</v>
      </c>
    </row>
    <row r="73" spans="13:13" x14ac:dyDescent="0.3">
      <c r="M73" s="6">
        <f t="shared" si="12"/>
        <v>2011</v>
      </c>
    </row>
    <row r="74" spans="13:13" x14ac:dyDescent="0.3">
      <c r="M74" s="6">
        <f t="shared" si="12"/>
        <v>2012</v>
      </c>
    </row>
    <row r="75" spans="13:13" x14ac:dyDescent="0.3">
      <c r="M75" s="6">
        <f t="shared" si="12"/>
        <v>2013</v>
      </c>
    </row>
    <row r="76" spans="13:13" x14ac:dyDescent="0.3">
      <c r="M76" s="6">
        <f t="shared" si="12"/>
        <v>2014</v>
      </c>
    </row>
    <row r="77" spans="13:13" x14ac:dyDescent="0.3">
      <c r="M77" s="6">
        <f t="shared" si="12"/>
        <v>2015</v>
      </c>
    </row>
    <row r="78" spans="13:13" x14ac:dyDescent="0.3">
      <c r="M78" s="6">
        <f t="shared" si="12"/>
        <v>2016</v>
      </c>
    </row>
    <row r="79" spans="13:13" x14ac:dyDescent="0.3">
      <c r="M79" s="6">
        <f t="shared" si="12"/>
        <v>2017</v>
      </c>
    </row>
    <row r="80" spans="13:13" x14ac:dyDescent="0.3">
      <c r="M80" s="6">
        <f t="shared" si="12"/>
        <v>2018</v>
      </c>
    </row>
    <row r="81" spans="13:13" x14ac:dyDescent="0.3">
      <c r="M81" s="6">
        <f t="shared" si="12"/>
        <v>2019</v>
      </c>
    </row>
  </sheetData>
  <mergeCells count="10">
    <mergeCell ref="M56:V56"/>
    <mergeCell ref="N57:V57"/>
    <mergeCell ref="B2:J2"/>
    <mergeCell ref="A1:J1"/>
    <mergeCell ref="M1:V1"/>
    <mergeCell ref="N2:V2"/>
    <mergeCell ref="A29:J29"/>
    <mergeCell ref="B30:J30"/>
    <mergeCell ref="M29:V29"/>
    <mergeCell ref="N30:V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405F-C6F0-4579-9B65-F80EC7FFFA17}">
  <dimension ref="A1:K8"/>
  <sheetViews>
    <sheetView tabSelected="1" workbookViewId="0">
      <selection activeCell="E25" sqref="E25"/>
    </sheetView>
  </sheetViews>
  <sheetFormatPr baseColWidth="10" defaultRowHeight="14.4" x14ac:dyDescent="0.3"/>
  <cols>
    <col min="1" max="1" width="41.5546875" bestFit="1" customWidth="1"/>
    <col min="5" max="5" width="13.88671875" bestFit="1" customWidth="1"/>
    <col min="6" max="6" width="35.6640625" bestFit="1" customWidth="1"/>
    <col min="7" max="7" width="32.109375" bestFit="1" customWidth="1"/>
    <col min="9" max="9" width="22.44140625" bestFit="1" customWidth="1"/>
  </cols>
  <sheetData>
    <row r="1" spans="1:11" x14ac:dyDescent="0.3">
      <c r="A1" s="2" t="s">
        <v>0</v>
      </c>
    </row>
    <row r="2" spans="1:11" x14ac:dyDescent="0.3">
      <c r="A2" t="s">
        <v>9</v>
      </c>
      <c r="B2">
        <v>30000000</v>
      </c>
      <c r="E2" s="4" t="s">
        <v>15</v>
      </c>
      <c r="F2" s="4"/>
      <c r="G2" s="4"/>
      <c r="I2" s="4" t="s">
        <v>20</v>
      </c>
      <c r="J2" s="4"/>
      <c r="K2" s="4"/>
    </row>
    <row r="3" spans="1:11" x14ac:dyDescent="0.3">
      <c r="A3" t="s">
        <v>10</v>
      </c>
      <c r="B3">
        <v>1000000</v>
      </c>
      <c r="E3" s="2" t="s">
        <v>16</v>
      </c>
      <c r="F3" s="2" t="s">
        <v>17</v>
      </c>
      <c r="G3" s="2" t="s">
        <v>18</v>
      </c>
      <c r="I3" s="2" t="s">
        <v>21</v>
      </c>
      <c r="J3" s="2" t="s">
        <v>22</v>
      </c>
      <c r="K3" s="2"/>
    </row>
    <row r="4" spans="1:11" x14ac:dyDescent="0.3">
      <c r="A4" t="s">
        <v>11</v>
      </c>
      <c r="B4">
        <v>45000000</v>
      </c>
      <c r="E4">
        <f>B2/B3</f>
        <v>30</v>
      </c>
      <c r="F4">
        <v>0</v>
      </c>
      <c r="G4">
        <f>B6/B3</f>
        <v>5</v>
      </c>
      <c r="I4">
        <f>B2/B4</f>
        <v>0.66666666666666663</v>
      </c>
      <c r="J4">
        <f>B6/B4</f>
        <v>0.1111111111111111</v>
      </c>
    </row>
    <row r="5" spans="1:11" x14ac:dyDescent="0.3">
      <c r="A5" t="s">
        <v>12</v>
      </c>
      <c r="B5">
        <v>45</v>
      </c>
    </row>
    <row r="6" spans="1:11" x14ac:dyDescent="0.3">
      <c r="A6" t="s">
        <v>13</v>
      </c>
      <c r="B6">
        <v>5000000</v>
      </c>
    </row>
    <row r="7" spans="1:11" x14ac:dyDescent="0.3">
      <c r="A7" t="s">
        <v>14</v>
      </c>
      <c r="B7">
        <v>0.75</v>
      </c>
      <c r="E7" s="1" t="s">
        <v>19</v>
      </c>
      <c r="F7" s="11">
        <f>(E4+G4)/B7</f>
        <v>46.666666666666664</v>
      </c>
      <c r="I7" s="1" t="s">
        <v>23</v>
      </c>
      <c r="J7" s="13">
        <f>(I4+J4)/B7</f>
        <v>1.037037037037037</v>
      </c>
    </row>
    <row r="8" spans="1:11" x14ac:dyDescent="0.3">
      <c r="I8" t="s">
        <v>24</v>
      </c>
      <c r="J8" s="12">
        <f>J7-1</f>
        <v>3.7037037037036979E-2</v>
      </c>
    </row>
  </sheetData>
  <mergeCells count="2">
    <mergeCell ref="E2:G2"/>
    <mergeCell ref="I2:K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Reserves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Chevalier</dc:creator>
  <cp:lastModifiedBy>Dominik Chevalier</cp:lastModifiedBy>
  <dcterms:created xsi:type="dcterms:W3CDTF">2025-03-25T00:27:26Z</dcterms:created>
  <dcterms:modified xsi:type="dcterms:W3CDTF">2025-03-30T13:33:55Z</dcterms:modified>
</cp:coreProperties>
</file>