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69c8639e63a457/projets_pro/ICA/Capstone/Templates_Codes_XL/AICA_CapstoneExam/"/>
    </mc:Choice>
  </mc:AlternateContent>
  <xr:revisionPtr revIDLastSave="916" documentId="8_{4D345AC6-9B4C-4585-8546-D63B2EB51A8D}" xr6:coauthVersionLast="47" xr6:coauthVersionMax="47" xr10:uidLastSave="{B3809BC5-D50A-4893-B373-97DBC115F58B}"/>
  <bookViews>
    <workbookView xWindow="3345" yWindow="-18120" windowWidth="29040" windowHeight="17520" activeTab="1" xr2:uid="{BE163844-3C76-4A75-8C83-A4B658021935}"/>
  </bookViews>
  <sheets>
    <sheet name="LONG" sheetId="6" r:id="rId1"/>
    <sheet name="SHORT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7" l="1"/>
  <c r="F6" i="7"/>
  <c r="F7" i="7"/>
  <c r="F8" i="7"/>
  <c r="F9" i="7"/>
  <c r="F10" i="7"/>
  <c r="F11" i="7"/>
  <c r="F4" i="7"/>
  <c r="C4" i="7"/>
  <c r="A4" i="7"/>
  <c r="A5" i="7" s="1"/>
  <c r="A6" i="7" s="1"/>
  <c r="A7" i="7" s="1"/>
  <c r="A8" i="7" s="1"/>
  <c r="A9" i="7" s="1"/>
  <c r="A10" i="7" s="1"/>
  <c r="A11" i="7" s="1"/>
  <c r="G3" i="7"/>
  <c r="K2" i="7"/>
  <c r="K3" i="7" s="1"/>
  <c r="F5" i="6"/>
  <c r="F6" i="6"/>
  <c r="F7" i="6"/>
  <c r="F8" i="6"/>
  <c r="F9" i="6"/>
  <c r="F10" i="6"/>
  <c r="F11" i="6"/>
  <c r="F4" i="6"/>
  <c r="K3" i="6"/>
  <c r="K2" i="6"/>
  <c r="G3" i="6" s="1"/>
  <c r="C4" i="6" s="1"/>
  <c r="A5" i="6"/>
  <c r="A6" i="6" s="1"/>
  <c r="A7" i="6" s="1"/>
  <c r="A8" i="6" s="1"/>
  <c r="A9" i="6" s="1"/>
  <c r="A10" i="6" s="1"/>
  <c r="A11" i="6" s="1"/>
  <c r="A4" i="6"/>
  <c r="D4" i="7" l="1"/>
  <c r="D4" i="6"/>
  <c r="E4" i="6" s="1"/>
  <c r="E4" i="7" l="1"/>
  <c r="G4" i="7" s="1"/>
  <c r="C5" i="7" s="1"/>
  <c r="G4" i="6"/>
  <c r="C5" i="6" s="1"/>
  <c r="D5" i="6"/>
  <c r="D5" i="7" l="1"/>
  <c r="E5" i="7" s="1"/>
  <c r="E5" i="6"/>
  <c r="G5" i="6" s="1"/>
  <c r="C6" i="6" s="1"/>
  <c r="D6" i="6" s="1"/>
  <c r="G5" i="7" l="1"/>
  <c r="C6" i="7" s="1"/>
  <c r="E6" i="6"/>
  <c r="G6" i="6" s="1"/>
  <c r="C7" i="6" s="1"/>
  <c r="D6" i="7" l="1"/>
  <c r="E6" i="7" s="1"/>
  <c r="D7" i="6"/>
  <c r="E7" i="6" s="1"/>
  <c r="G6" i="7" l="1"/>
  <c r="C7" i="7" s="1"/>
  <c r="G7" i="6"/>
  <c r="C8" i="6" s="1"/>
  <c r="D7" i="7" l="1"/>
  <c r="E7" i="7"/>
  <c r="D8" i="6"/>
  <c r="G7" i="7" l="1"/>
  <c r="C8" i="7" s="1"/>
  <c r="D8" i="7" s="1"/>
  <c r="E8" i="6"/>
  <c r="G8" i="6" s="1"/>
  <c r="C9" i="6" s="1"/>
  <c r="E8" i="7" l="1"/>
  <c r="G8" i="7" s="1"/>
  <c r="C9" i="7" s="1"/>
  <c r="D9" i="6"/>
  <c r="E9" i="6" s="1"/>
  <c r="G9" i="6" s="1"/>
  <c r="C10" i="6" s="1"/>
  <c r="D9" i="7" l="1"/>
  <c r="D10" i="6"/>
  <c r="E9" i="7" l="1"/>
  <c r="G9" i="7" s="1"/>
  <c r="C10" i="7" s="1"/>
  <c r="E10" i="6"/>
  <c r="G10" i="6" s="1"/>
  <c r="C11" i="6" s="1"/>
  <c r="D10" i="7" l="1"/>
  <c r="E10" i="7" s="1"/>
  <c r="D11" i="6"/>
  <c r="E11" i="6" s="1"/>
  <c r="G10" i="7" l="1"/>
  <c r="C11" i="7" s="1"/>
  <c r="G11" i="6"/>
  <c r="D11" i="7" l="1"/>
  <c r="E11" i="7" l="1"/>
  <c r="G1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Dominik Chevalier</author>
  </authors>
  <commentList>
    <comment ref="J4" authorId="0" shapeId="0" xr:uid="{F52F76F9-E8AC-4C95-B7B6-F65E77908FB3}">
      <text>
        <r>
          <rPr>
            <b/>
            <sz val="9"/>
            <color indexed="81"/>
            <rFont val="Tahoma"/>
            <family val="2"/>
          </rPr>
          <t>Dominik Chevalier:</t>
        </r>
        <r>
          <rPr>
            <sz val="9"/>
            <color indexed="81"/>
            <rFont val="Tahoma"/>
            <family val="2"/>
          </rPr>
          <t xml:space="preserve">
Période t  = fréquence du marking-to-market. Si 12 % composé mensuellement, on met 0.01.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Dominik Chevalier</author>
  </authors>
  <commentList>
    <comment ref="J4" authorId="0" shapeId="0" xr:uid="{138D7350-02D5-4183-A6F4-107BFEA394DB}">
      <text>
        <r>
          <rPr>
            <b/>
            <sz val="9"/>
            <color indexed="81"/>
            <rFont val="Tahoma"/>
            <family val="2"/>
          </rPr>
          <t>Dominik Chevalier:</t>
        </r>
        <r>
          <rPr>
            <sz val="9"/>
            <color indexed="81"/>
            <rFont val="Tahoma"/>
            <family val="2"/>
          </rPr>
          <t xml:space="preserve">
Période t  = fréquence du marking-to-market. Si 12 % composé mensuellement, on met 0.01.</t>
        </r>
      </text>
    </comment>
  </commentList>
</comments>
</file>

<file path=xl/sharedStrings.xml><?xml version="1.0" encoding="utf-8"?>
<sst xmlns="http://schemas.openxmlformats.org/spreadsheetml/2006/main" count="32" uniqueCount="17">
  <si>
    <t>t</t>
  </si>
  <si>
    <t>Prix forward T à t</t>
  </si>
  <si>
    <t>Margin Call</t>
  </si>
  <si>
    <t>Intérêt</t>
  </si>
  <si>
    <t>Gain/Perte</t>
  </si>
  <si>
    <t>Solde initial</t>
  </si>
  <si>
    <t>Solde final</t>
  </si>
  <si>
    <t>Marge initiale</t>
  </si>
  <si>
    <t>Marge de maintenance</t>
  </si>
  <si>
    <t xml:space="preserve">Taux d'intérêt (par  période t) </t>
  </si>
  <si>
    <t xml:space="preserve"> </t>
  </si>
  <si>
    <t>Mettre la marge initiale et la valeur initiale pour un portefeuille complet. Si on a 1000 futures de 5 $, utiliser 5000 $. RAPPEL: Sur le S&amp;P500, chaque contrat future a une valeur notionnelle de 250.</t>
  </si>
  <si>
    <t>nombre</t>
  </si>
  <si>
    <t>Marge initiale par contrat</t>
  </si>
  <si>
    <t>Niveau de maintenance</t>
  </si>
  <si>
    <t>POSITION LONGUE DANS LE FUTURE</t>
  </si>
  <si>
    <t>POSITION SHORT DANS LE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</si>
</sst>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3" borderId="0" xfId="0" applyFill="1"/>
    <xf numFmtId="0" fontId="3" fillId="0" borderId="0" xfId="0" applyFont="1"/>
    <xf numFmtId="44" fontId="0" fillId="0" borderId="0" xfId="1" applyFont="1"/>
    <xf numFmtId="0" fontId="2" fillId="2" borderId="0" xfId="0" applyFont="1" applyFill="1"/>
    <xf numFmtId="0" fontId="2" fillId="2" borderId="1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3" fillId="0" borderId="2" xfId="0" applyFont="1" applyBorder="1"/>
    <xf numFmtId="0" fontId="3" fillId="0" borderId="4" xfId="0" applyFont="1" applyBorder="1"/>
    <xf numFmtId="0" fontId="3" fillId="0" borderId="6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4791-ACDB-48B2-85E3-601B8523A423}">
  <dimension ref="A1:K15"/>
  <sheetViews>
    <sheetView workbookViewId="0">
      <selection activeCell="A2" sqref="A2"/>
    </sheetView>
  </sheetViews>
  <sheetFormatPr baseColWidth="10" defaultRowHeight="14.4" x14ac:dyDescent="0.3"/>
  <cols>
    <col min="2" max="2" width="15.109375" bestFit="1" customWidth="1"/>
    <col min="3" max="3" width="14.33203125" bestFit="1" customWidth="1"/>
    <col min="7" max="7" width="13.21875" bestFit="1" customWidth="1"/>
    <col min="10" max="10" width="25.77734375" bestFit="1" customWidth="1"/>
  </cols>
  <sheetData>
    <row r="1" spans="1:11" ht="15" thickBot="1" x14ac:dyDescent="0.35">
      <c r="A1" s="12" t="s">
        <v>15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3">
      <c r="A2" s="4" t="s">
        <v>0</v>
      </c>
      <c r="B2" s="4" t="s">
        <v>1</v>
      </c>
      <c r="C2" s="4" t="s">
        <v>5</v>
      </c>
      <c r="D2" s="4" t="s">
        <v>2</v>
      </c>
      <c r="E2" s="4" t="s">
        <v>3</v>
      </c>
      <c r="F2" s="4" t="s">
        <v>4</v>
      </c>
      <c r="G2" s="4" t="s">
        <v>6</v>
      </c>
      <c r="J2" s="5" t="s">
        <v>7</v>
      </c>
      <c r="K2" s="8">
        <f>K5*K6</f>
        <v>5000</v>
      </c>
    </row>
    <row r="3" spans="1:11" x14ac:dyDescent="0.3">
      <c r="A3" s="4">
        <v>0</v>
      </c>
      <c r="B3" s="2">
        <v>100</v>
      </c>
      <c r="C3" s="1"/>
      <c r="D3" s="1"/>
      <c r="E3" s="1"/>
      <c r="F3" s="1"/>
      <c r="G3">
        <f>K2</f>
        <v>5000</v>
      </c>
      <c r="J3" s="6" t="s">
        <v>8</v>
      </c>
      <c r="K3" s="9">
        <f>K2*K7</f>
        <v>3500</v>
      </c>
    </row>
    <row r="4" spans="1:11" ht="15" thickBot="1" x14ac:dyDescent="0.35">
      <c r="A4" s="4">
        <f>A3+1</f>
        <v>1</v>
      </c>
      <c r="B4" s="2">
        <v>101</v>
      </c>
      <c r="C4" s="3">
        <f>G3</f>
        <v>5000</v>
      </c>
      <c r="D4" s="3">
        <f>IF(C4&lt;$K$3, $K$2-C4, 0)</f>
        <v>0</v>
      </c>
      <c r="E4" s="3">
        <f>(C4+D4)*$K$4</f>
        <v>50</v>
      </c>
      <c r="F4" s="3">
        <f>(B4-B3)*$K$6</f>
        <v>1000</v>
      </c>
      <c r="G4" s="3">
        <f>C4+D4+E4+F4</f>
        <v>6050</v>
      </c>
      <c r="J4" s="7" t="s">
        <v>9</v>
      </c>
      <c r="K4" s="10">
        <v>0.01</v>
      </c>
    </row>
    <row r="5" spans="1:11" x14ac:dyDescent="0.3">
      <c r="A5" s="4">
        <f t="shared" ref="A5:A11" si="0">A4+1</f>
        <v>2</v>
      </c>
      <c r="B5" s="2">
        <v>99</v>
      </c>
      <c r="C5" s="3">
        <f t="shared" ref="C5:C11" si="1">G4</f>
        <v>6050</v>
      </c>
      <c r="D5" s="3">
        <f t="shared" ref="D5:D11" si="2">IF(C5&lt;$K$3, $K$2-C5, 0)</f>
        <v>0</v>
      </c>
      <c r="E5" s="3">
        <f t="shared" ref="E5:E11" si="3">(C5+D5)*$K$4</f>
        <v>60.5</v>
      </c>
      <c r="F5" s="3">
        <f t="shared" ref="F5:F11" si="4">(B5-B4)*$K$6</f>
        <v>-2000</v>
      </c>
      <c r="G5" s="3">
        <f t="shared" ref="G5:G11" si="5">C5+D5+E5+F5</f>
        <v>4110.5</v>
      </c>
      <c r="J5" s="6" t="s">
        <v>13</v>
      </c>
      <c r="K5" s="2">
        <v>5</v>
      </c>
    </row>
    <row r="6" spans="1:11" x14ac:dyDescent="0.3">
      <c r="A6" s="4">
        <f t="shared" si="0"/>
        <v>3</v>
      </c>
      <c r="B6" s="2">
        <v>98</v>
      </c>
      <c r="C6" s="3">
        <f t="shared" si="1"/>
        <v>4110.5</v>
      </c>
      <c r="D6" s="3">
        <f t="shared" si="2"/>
        <v>0</v>
      </c>
      <c r="E6" s="3">
        <f t="shared" si="3"/>
        <v>41.105000000000004</v>
      </c>
      <c r="F6" s="3">
        <f t="shared" si="4"/>
        <v>-1000</v>
      </c>
      <c r="G6" s="3">
        <f t="shared" si="5"/>
        <v>3151.6049999999996</v>
      </c>
      <c r="J6" s="6" t="s">
        <v>12</v>
      </c>
      <c r="K6" s="2">
        <v>1000</v>
      </c>
    </row>
    <row r="7" spans="1:11" x14ac:dyDescent="0.3">
      <c r="A7" s="4">
        <f t="shared" si="0"/>
        <v>4</v>
      </c>
      <c r="B7" s="2">
        <v>97</v>
      </c>
      <c r="C7" s="3">
        <f t="shared" si="1"/>
        <v>3151.6049999999996</v>
      </c>
      <c r="D7" s="3">
        <f t="shared" si="2"/>
        <v>1848.3950000000004</v>
      </c>
      <c r="E7" s="3">
        <f>(C7+D7)*$K$4</f>
        <v>50</v>
      </c>
      <c r="F7" s="3">
        <f t="shared" si="4"/>
        <v>-1000</v>
      </c>
      <c r="G7" s="3">
        <f t="shared" si="5"/>
        <v>4050</v>
      </c>
      <c r="J7" s="6" t="s">
        <v>14</v>
      </c>
      <c r="K7" s="2">
        <v>0.7</v>
      </c>
    </row>
    <row r="8" spans="1:11" ht="14.4" customHeight="1" x14ac:dyDescent="0.3">
      <c r="A8" s="4">
        <f t="shared" si="0"/>
        <v>5</v>
      </c>
      <c r="B8" s="2">
        <v>99</v>
      </c>
      <c r="C8" s="3">
        <f t="shared" si="1"/>
        <v>4050</v>
      </c>
      <c r="D8" s="3">
        <f t="shared" si="2"/>
        <v>0</v>
      </c>
      <c r="E8" s="3">
        <f t="shared" si="3"/>
        <v>40.5</v>
      </c>
      <c r="F8" s="3">
        <f t="shared" si="4"/>
        <v>2000</v>
      </c>
      <c r="G8" s="3">
        <f t="shared" si="5"/>
        <v>6090.5</v>
      </c>
      <c r="I8" t="s">
        <v>10</v>
      </c>
      <c r="J8" s="11" t="s">
        <v>11</v>
      </c>
      <c r="K8" s="11"/>
    </row>
    <row r="9" spans="1:11" x14ac:dyDescent="0.3">
      <c r="A9" s="4">
        <f t="shared" si="0"/>
        <v>6</v>
      </c>
      <c r="B9" s="2">
        <v>96</v>
      </c>
      <c r="C9" s="3">
        <f t="shared" si="1"/>
        <v>6090.5</v>
      </c>
      <c r="D9" s="3">
        <f t="shared" si="2"/>
        <v>0</v>
      </c>
      <c r="E9" s="3">
        <f t="shared" si="3"/>
        <v>60.905000000000001</v>
      </c>
      <c r="F9" s="3">
        <f t="shared" si="4"/>
        <v>-3000</v>
      </c>
      <c r="G9" s="3">
        <f t="shared" si="5"/>
        <v>3151.4049999999997</v>
      </c>
      <c r="J9" s="11"/>
      <c r="K9" s="11"/>
    </row>
    <row r="10" spans="1:11" x14ac:dyDescent="0.3">
      <c r="A10" s="4">
        <f t="shared" si="0"/>
        <v>7</v>
      </c>
      <c r="B10" s="2">
        <v>104</v>
      </c>
      <c r="C10" s="3">
        <f t="shared" si="1"/>
        <v>3151.4049999999997</v>
      </c>
      <c r="D10" s="3">
        <f t="shared" si="2"/>
        <v>1848.5950000000003</v>
      </c>
      <c r="E10" s="3">
        <f t="shared" si="3"/>
        <v>50</v>
      </c>
      <c r="F10" s="3">
        <f t="shared" si="4"/>
        <v>8000</v>
      </c>
      <c r="G10" s="3">
        <f t="shared" si="5"/>
        <v>13050</v>
      </c>
      <c r="J10" s="11"/>
      <c r="K10" s="11"/>
    </row>
    <row r="11" spans="1:11" x14ac:dyDescent="0.3">
      <c r="A11" s="4">
        <f t="shared" si="0"/>
        <v>8</v>
      </c>
      <c r="B11" s="2">
        <v>102</v>
      </c>
      <c r="C11" s="3">
        <f t="shared" si="1"/>
        <v>13050</v>
      </c>
      <c r="D11" s="3">
        <f t="shared" si="2"/>
        <v>0</v>
      </c>
      <c r="E11" s="3">
        <f t="shared" si="3"/>
        <v>130.5</v>
      </c>
      <c r="F11" s="3">
        <f t="shared" si="4"/>
        <v>-2000</v>
      </c>
      <c r="G11" s="3">
        <f t="shared" si="5"/>
        <v>11180.5</v>
      </c>
      <c r="J11" s="11"/>
      <c r="K11" s="11"/>
    </row>
    <row r="12" spans="1:11" x14ac:dyDescent="0.3">
      <c r="J12" s="11"/>
      <c r="K12" s="11"/>
    </row>
    <row r="13" spans="1:11" x14ac:dyDescent="0.3">
      <c r="J13" s="11"/>
      <c r="K13" s="11"/>
    </row>
    <row r="14" spans="1:11" x14ac:dyDescent="0.3">
      <c r="J14" s="11"/>
      <c r="K14" s="11"/>
    </row>
    <row r="15" spans="1:11" x14ac:dyDescent="0.3">
      <c r="J15" s="11"/>
      <c r="K15" s="11"/>
    </row>
  </sheetData>
  <mergeCells count="2">
    <mergeCell ref="J8:K15"/>
    <mergeCell ref="A1:K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4AE6-083C-4F0D-83B2-5E1538B0148D}">
  <dimension ref="A1:K15"/>
  <sheetViews>
    <sheetView tabSelected="1" workbookViewId="0">
      <selection activeCell="H16" sqref="H16"/>
    </sheetView>
  </sheetViews>
  <sheetFormatPr baseColWidth="10" defaultRowHeight="14.4" x14ac:dyDescent="0.3"/>
  <cols>
    <col min="2" max="2" width="15.109375" bestFit="1" customWidth="1"/>
    <col min="3" max="3" width="14.33203125" bestFit="1" customWidth="1"/>
    <col min="7" max="7" width="13.21875" bestFit="1" customWidth="1"/>
    <col min="10" max="10" width="25.77734375" bestFit="1" customWidth="1"/>
  </cols>
  <sheetData>
    <row r="1" spans="1:11" ht="15" thickBot="1" x14ac:dyDescent="0.35">
      <c r="A1" s="12" t="s">
        <v>16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3">
      <c r="A2" s="4" t="s">
        <v>0</v>
      </c>
      <c r="B2" s="4" t="s">
        <v>1</v>
      </c>
      <c r="C2" s="4" t="s">
        <v>5</v>
      </c>
      <c r="D2" s="4" t="s">
        <v>2</v>
      </c>
      <c r="E2" s="4" t="s">
        <v>3</v>
      </c>
      <c r="F2" s="4" t="s">
        <v>4</v>
      </c>
      <c r="G2" s="4" t="s">
        <v>6</v>
      </c>
      <c r="J2" s="5" t="s">
        <v>7</v>
      </c>
      <c r="K2" s="8">
        <f>K5*K6</f>
        <v>5000</v>
      </c>
    </row>
    <row r="3" spans="1:11" x14ac:dyDescent="0.3">
      <c r="A3" s="4">
        <v>0</v>
      </c>
      <c r="B3" s="2">
        <v>100</v>
      </c>
      <c r="C3" s="1"/>
      <c r="D3" s="1"/>
      <c r="E3" s="1"/>
      <c r="F3" s="1"/>
      <c r="G3">
        <f>K2</f>
        <v>5000</v>
      </c>
      <c r="J3" s="6" t="s">
        <v>8</v>
      </c>
      <c r="K3" s="9">
        <f>K2*K7</f>
        <v>3500</v>
      </c>
    </row>
    <row r="4" spans="1:11" ht="15" thickBot="1" x14ac:dyDescent="0.35">
      <c r="A4" s="4">
        <f>A3+1</f>
        <v>1</v>
      </c>
      <c r="B4" s="2">
        <v>101</v>
      </c>
      <c r="C4" s="3">
        <f>G3</f>
        <v>5000</v>
      </c>
      <c r="D4" s="3">
        <f>IF(C4&lt;$K$3, $K$2-C4, 0)</f>
        <v>0</v>
      </c>
      <c r="E4" s="3">
        <f>(C4+D4)*$K$4</f>
        <v>50</v>
      </c>
      <c r="F4" s="3">
        <f>-(B4-B3)*$K$6</f>
        <v>-1000</v>
      </c>
      <c r="G4" s="3">
        <f>C4+D4+E4+F4</f>
        <v>4050</v>
      </c>
      <c r="J4" s="7" t="s">
        <v>9</v>
      </c>
      <c r="K4" s="10">
        <v>0.01</v>
      </c>
    </row>
    <row r="5" spans="1:11" x14ac:dyDescent="0.3">
      <c r="A5" s="4">
        <f t="shared" ref="A5:A11" si="0">A4+1</f>
        <v>2</v>
      </c>
      <c r="B5" s="2">
        <v>99</v>
      </c>
      <c r="C5" s="3">
        <f t="shared" ref="C5:C11" si="1">G4</f>
        <v>4050</v>
      </c>
      <c r="D5" s="3">
        <f t="shared" ref="D5:D11" si="2">IF(C5&lt;$K$3, $K$2-C5, 0)</f>
        <v>0</v>
      </c>
      <c r="E5" s="3">
        <f t="shared" ref="E5:E11" si="3">(C5+D5)*$K$4</f>
        <v>40.5</v>
      </c>
      <c r="F5" s="3">
        <f t="shared" ref="F5:F11" si="4">-(B5-B4)*$K$6</f>
        <v>2000</v>
      </c>
      <c r="G5" s="3">
        <f t="shared" ref="G5:G11" si="5">C5+D5+E5+F5</f>
        <v>6090.5</v>
      </c>
      <c r="J5" s="6" t="s">
        <v>13</v>
      </c>
      <c r="K5" s="2">
        <v>5</v>
      </c>
    </row>
    <row r="6" spans="1:11" x14ac:dyDescent="0.3">
      <c r="A6" s="4">
        <f t="shared" si="0"/>
        <v>3</v>
      </c>
      <c r="B6" s="2">
        <v>98</v>
      </c>
      <c r="C6" s="3">
        <f t="shared" si="1"/>
        <v>6090.5</v>
      </c>
      <c r="D6" s="3">
        <f t="shared" si="2"/>
        <v>0</v>
      </c>
      <c r="E6" s="3">
        <f t="shared" si="3"/>
        <v>60.905000000000001</v>
      </c>
      <c r="F6" s="3">
        <f t="shared" si="4"/>
        <v>1000</v>
      </c>
      <c r="G6" s="3">
        <f t="shared" si="5"/>
        <v>7151.4049999999997</v>
      </c>
      <c r="J6" s="6" t="s">
        <v>12</v>
      </c>
      <c r="K6" s="2">
        <v>1000</v>
      </c>
    </row>
    <row r="7" spans="1:11" x14ac:dyDescent="0.3">
      <c r="A7" s="4">
        <f t="shared" si="0"/>
        <v>4</v>
      </c>
      <c r="B7" s="2">
        <v>97</v>
      </c>
      <c r="C7" s="3">
        <f t="shared" si="1"/>
        <v>7151.4049999999997</v>
      </c>
      <c r="D7" s="3">
        <f t="shared" si="2"/>
        <v>0</v>
      </c>
      <c r="E7" s="3">
        <f>(C7+D7)*$K$4</f>
        <v>71.514049999999997</v>
      </c>
      <c r="F7" s="3">
        <f t="shared" si="4"/>
        <v>1000</v>
      </c>
      <c r="G7" s="3">
        <f t="shared" si="5"/>
        <v>8222.9190500000004</v>
      </c>
      <c r="J7" s="6" t="s">
        <v>14</v>
      </c>
      <c r="K7" s="2">
        <v>0.7</v>
      </c>
    </row>
    <row r="8" spans="1:11" ht="14.4" customHeight="1" x14ac:dyDescent="0.3">
      <c r="A8" s="4">
        <f t="shared" si="0"/>
        <v>5</v>
      </c>
      <c r="B8" s="2">
        <v>99</v>
      </c>
      <c r="C8" s="3">
        <f t="shared" si="1"/>
        <v>8222.9190500000004</v>
      </c>
      <c r="D8" s="3">
        <f t="shared" si="2"/>
        <v>0</v>
      </c>
      <c r="E8" s="3">
        <f t="shared" si="3"/>
        <v>82.229190500000001</v>
      </c>
      <c r="F8" s="3">
        <f t="shared" si="4"/>
        <v>-2000</v>
      </c>
      <c r="G8" s="3">
        <f t="shared" si="5"/>
        <v>6305.1482405000006</v>
      </c>
      <c r="I8" t="s">
        <v>10</v>
      </c>
      <c r="J8" s="11" t="s">
        <v>11</v>
      </c>
      <c r="K8" s="11"/>
    </row>
    <row r="9" spans="1:11" x14ac:dyDescent="0.3">
      <c r="A9" s="4">
        <f t="shared" si="0"/>
        <v>6</v>
      </c>
      <c r="B9" s="2">
        <v>96</v>
      </c>
      <c r="C9" s="3">
        <f t="shared" si="1"/>
        <v>6305.1482405000006</v>
      </c>
      <c r="D9" s="3">
        <f t="shared" si="2"/>
        <v>0</v>
      </c>
      <c r="E9" s="3">
        <f t="shared" si="3"/>
        <v>63.051482405000009</v>
      </c>
      <c r="F9" s="3">
        <f t="shared" si="4"/>
        <v>3000</v>
      </c>
      <c r="G9" s="3">
        <f t="shared" si="5"/>
        <v>9368.1997229049994</v>
      </c>
      <c r="J9" s="11"/>
      <c r="K9" s="11"/>
    </row>
    <row r="10" spans="1:11" x14ac:dyDescent="0.3">
      <c r="A10" s="4">
        <f t="shared" si="0"/>
        <v>7</v>
      </c>
      <c r="B10" s="2">
        <v>104</v>
      </c>
      <c r="C10" s="3">
        <f t="shared" si="1"/>
        <v>9368.1997229049994</v>
      </c>
      <c r="D10" s="3">
        <f t="shared" si="2"/>
        <v>0</v>
      </c>
      <c r="E10" s="3">
        <f t="shared" si="3"/>
        <v>93.681997229049998</v>
      </c>
      <c r="F10" s="3">
        <f t="shared" si="4"/>
        <v>-8000</v>
      </c>
      <c r="G10" s="3">
        <f t="shared" si="5"/>
        <v>1461.8817201340498</v>
      </c>
      <c r="J10" s="11"/>
      <c r="K10" s="11"/>
    </row>
    <row r="11" spans="1:11" x14ac:dyDescent="0.3">
      <c r="A11" s="4">
        <f t="shared" si="0"/>
        <v>8</v>
      </c>
      <c r="B11" s="2">
        <v>102</v>
      </c>
      <c r="C11" s="3">
        <f t="shared" si="1"/>
        <v>1461.8817201340498</v>
      </c>
      <c r="D11" s="3">
        <f t="shared" si="2"/>
        <v>3538.1182798659502</v>
      </c>
      <c r="E11" s="3">
        <f t="shared" si="3"/>
        <v>50</v>
      </c>
      <c r="F11" s="3">
        <f t="shared" si="4"/>
        <v>2000</v>
      </c>
      <c r="G11" s="3">
        <f t="shared" si="5"/>
        <v>7050</v>
      </c>
      <c r="J11" s="11"/>
      <c r="K11" s="11"/>
    </row>
    <row r="12" spans="1:11" x14ac:dyDescent="0.3">
      <c r="J12" s="11"/>
      <c r="K12" s="11"/>
    </row>
    <row r="13" spans="1:11" x14ac:dyDescent="0.3">
      <c r="J13" s="11"/>
      <c r="K13" s="11"/>
    </row>
    <row r="14" spans="1:11" x14ac:dyDescent="0.3">
      <c r="J14" s="11"/>
      <c r="K14" s="11"/>
    </row>
    <row r="15" spans="1:11" x14ac:dyDescent="0.3">
      <c r="J15" s="11"/>
      <c r="K15" s="11"/>
    </row>
  </sheetData>
  <mergeCells count="2">
    <mergeCell ref="A1:K1"/>
    <mergeCell ref="J8:K1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LONG</vt:lpstr>
      <vt:lpstr>SHORT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Chevalier</dc:creator>
  <cp:lastModifiedBy>Dominik Chevalier</cp:lastModifiedBy>
  <dcterms:created xsi:type="dcterms:W3CDTF">2025-03-25T00:27:26Z</dcterms:created>
  <dcterms:modified xsi:type="dcterms:W3CDTF">2025-04-16T01:07:50Z</dcterms:modified>
</cp:coreProperties>
</file>